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S:\01 TASKS\01 Public Opinion\EUROBAROMETRE\EB SPECIAL\EB104.2 Autumn 2025\Results - Volumes\"/>
    </mc:Choice>
  </mc:AlternateContent>
  <xr:revisionPtr revIDLastSave="0" documentId="13_ncr:1_{8903E6E5-5AB9-4CC7-94F7-8BDCC48EFFF7}" xr6:coauthVersionLast="47" xr6:coauthVersionMax="47" xr10:uidLastSave="{00000000-0000-0000-0000-000000000000}"/>
  <bookViews>
    <workbookView xWindow="-120" yWindow="-120" windowWidth="29040" windowHeight="15720" firstSheet="14" activeTab="18" xr2:uid="{00000000-000D-0000-FFFF-FFFF00000000}"/>
  </bookViews>
  <sheets>
    <sheet name="Content" sheetId="1" r:id="rId1"/>
    <sheet name="B" sheetId="2" r:id="rId2"/>
    <sheet name="QA1" sheetId="3" r:id="rId3"/>
    <sheet name="QA2" sheetId="4" r:id="rId4"/>
    <sheet name="D78" sheetId="5" r:id="rId5"/>
    <sheet name="QA3" sheetId="6" r:id="rId6"/>
    <sheet name="QA4a" sheetId="7" r:id="rId7"/>
    <sheet name="QA4b" sheetId="8" r:id="rId8"/>
    <sheet name="QA4ab" sheetId="9" r:id="rId9"/>
    <sheet name="QA5a" sheetId="10" r:id="rId10"/>
    <sheet name="QA5b" sheetId="11" r:id="rId11"/>
    <sheet name="QA5ab" sheetId="12" r:id="rId12"/>
    <sheet name="QA6" sheetId="13" r:id="rId13"/>
    <sheet name="QA7_1" sheetId="14" r:id="rId14"/>
    <sheet name="QA7_2" sheetId="15" r:id="rId15"/>
    <sheet name="QA7_3" sheetId="16" r:id="rId16"/>
    <sheet name="QA8a" sheetId="17" r:id="rId17"/>
    <sheet name="QA8b" sheetId="18" r:id="rId18"/>
    <sheet name="QA8ab" sheetId="19" r:id="rId19"/>
    <sheet name="QA9_1" sheetId="20" r:id="rId20"/>
    <sheet name="QA9_2" sheetId="21" r:id="rId21"/>
    <sheet name="QA9_3" sheetId="22" r:id="rId22"/>
    <sheet name="QA9_4" sheetId="23" r:id="rId23"/>
    <sheet name="QA10" sheetId="24" r:id="rId24"/>
    <sheet name="QA11_1" sheetId="25" r:id="rId25"/>
    <sheet name="QA11_2" sheetId="26" r:id="rId26"/>
    <sheet name="QA11_3" sheetId="27" r:id="rId27"/>
    <sheet name="QA11_4" sheetId="28" r:id="rId28"/>
    <sheet name="QA11_5" sheetId="29" r:id="rId29"/>
    <sheet name="QA11_6" sheetId="30" r:id="rId30"/>
    <sheet name="QA11_7" sheetId="31" r:id="rId31"/>
    <sheet name="QA11_8" sheetId="32" r:id="rId32"/>
    <sheet name="QA11_9" sheetId="33" r:id="rId33"/>
    <sheet name="QA12_1" sheetId="34" r:id="rId34"/>
    <sheet name="QA12_2" sheetId="35" r:id="rId35"/>
    <sheet name="QA12_3" sheetId="36" r:id="rId36"/>
    <sheet name="QA12_4" sheetId="37" r:id="rId37"/>
    <sheet name="QA12_5" sheetId="38" r:id="rId38"/>
    <sheet name="QA12_6" sheetId="39" r:id="rId39"/>
    <sheet name="QA12_7" sheetId="40" r:id="rId40"/>
    <sheet name="QA12_8" sheetId="41" r:id="rId41"/>
    <sheet name="QA12_9" sheetId="42" r:id="rId42"/>
    <sheet name="SD27" sheetId="43" r:id="rId43"/>
    <sheet name="SOC" sheetId="44" r:id="rId44"/>
    <sheet name="QDSD1" sheetId="45" r:id="rId45"/>
    <sheet name="QDSD1R" sheetId="46" r:id="rId46"/>
    <sheet name="D11" sheetId="47" r:id="rId47"/>
    <sheet name="D11R" sheetId="48" r:id="rId48"/>
    <sheet name="D11bis" sheetId="49" r:id="rId49"/>
    <sheet name="D11G" sheetId="50" r:id="rId50"/>
    <sheet name="D8" sheetId="51" r:id="rId51"/>
    <sheet name="D8c" sheetId="52" r:id="rId52"/>
    <sheet name="D8cR2" sheetId="53" r:id="rId53"/>
    <sheet name="D10" sheetId="54" r:id="rId54"/>
    <sheet name="D15a" sheetId="55" r:id="rId55"/>
    <sheet name="D15a2" sheetId="56" r:id="rId56"/>
    <sheet name="C14" sheetId="57" r:id="rId57"/>
    <sheet name="D15b" sheetId="58" r:id="rId58"/>
    <sheet name="D15b2" sheetId="59" r:id="rId59"/>
    <sheet name="D25" sheetId="60" r:id="rId60"/>
    <sheet name="D60" sheetId="61" r:id="rId61"/>
    <sheet name="D70" sheetId="62" r:id="rId62"/>
    <sheet name="D70a" sheetId="63" r:id="rId63"/>
    <sheet name="D62_1" sheetId="64" r:id="rId64"/>
    <sheet name="D62_2" sheetId="65" r:id="rId65"/>
    <sheet name="D62_3" sheetId="66" r:id="rId66"/>
    <sheet name="D62_4" sheetId="67" r:id="rId67"/>
    <sheet name="D62R" sheetId="68" r:id="rId68"/>
    <sheet name="D63" sheetId="69" r:id="rId69"/>
    <sheet name="D73_1" sheetId="70" r:id="rId70"/>
    <sheet name="D73_2" sheetId="71" r:id="rId71"/>
    <sheet name="D73_3" sheetId="72" r:id="rId72"/>
    <sheet name="D73_4" sheetId="73" r:id="rId73"/>
    <sheet name="D71_1" sheetId="74" r:id="rId74"/>
    <sheet name="D71_2" sheetId="75" r:id="rId75"/>
    <sheet name="D71_3" sheetId="76" r:id="rId76"/>
    <sheet name="C2" sheetId="77" r:id="rId77"/>
    <sheet name="SD18a" sheetId="78" r:id="rId78"/>
    <sheet name="SD18b" sheetId="79" r:id="rId79"/>
    <sheet name="SD19a_1" sheetId="80" r:id="rId80"/>
    <sheet name="SD19a_2" sheetId="81" r:id="rId81"/>
    <sheet name="SD19a_3" sheetId="82" r:id="rId82"/>
    <sheet name="D1" sheetId="83" r:id="rId83"/>
    <sheet name="D1R1" sheetId="84" r:id="rId84"/>
    <sheet name="D1R2" sheetId="85" r:id="rId8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85" l="1"/>
  <c r="A9" i="84"/>
  <c r="A9" i="83"/>
  <c r="A9" i="82"/>
  <c r="A9" i="81"/>
  <c r="A9" i="80"/>
  <c r="A9" i="79"/>
  <c r="A9" i="78"/>
  <c r="A9" i="77"/>
  <c r="A9" i="76"/>
  <c r="A9" i="75"/>
  <c r="A9" i="74"/>
  <c r="A9" i="73"/>
  <c r="A9" i="72"/>
  <c r="A9" i="71"/>
  <c r="A9" i="70"/>
  <c r="A9" i="69"/>
  <c r="A9" i="68"/>
  <c r="A9" i="67"/>
  <c r="A9" i="66"/>
  <c r="A9" i="65"/>
  <c r="A9" i="64"/>
  <c r="A9" i="63"/>
  <c r="A9" i="62"/>
  <c r="A9" i="61"/>
  <c r="A9" i="60"/>
  <c r="A9" i="59"/>
  <c r="A9" i="58"/>
  <c r="A9" i="57"/>
  <c r="A9" i="56"/>
  <c r="A9" i="55"/>
  <c r="A9" i="54"/>
  <c r="A9" i="53"/>
  <c r="A9" i="52"/>
  <c r="A9" i="51"/>
  <c r="A9" i="50"/>
  <c r="A9" i="49"/>
  <c r="A9" i="48"/>
  <c r="A9" i="47"/>
  <c r="A9" i="46"/>
  <c r="A9" i="45"/>
  <c r="A9" i="44"/>
  <c r="A9" i="43"/>
  <c r="A9" i="42"/>
  <c r="A9" i="41"/>
  <c r="A9" i="40"/>
  <c r="A9" i="39"/>
  <c r="A9" i="38"/>
  <c r="A9" i="37"/>
  <c r="A9" i="36"/>
  <c r="A9" i="35"/>
  <c r="A9" i="34"/>
  <c r="A9" i="33"/>
  <c r="A9" i="32"/>
  <c r="A9" i="31"/>
  <c r="A9" i="30"/>
  <c r="A9" i="29"/>
  <c r="A9" i="28"/>
  <c r="A9" i="27"/>
  <c r="A9" i="26"/>
  <c r="A9" i="25"/>
  <c r="A9" i="24"/>
  <c r="A9" i="23"/>
  <c r="A9" i="22"/>
  <c r="A9" i="21"/>
  <c r="A9" i="20"/>
  <c r="A9" i="19"/>
  <c r="A9" i="18"/>
  <c r="A9" i="17"/>
  <c r="A9" i="16"/>
  <c r="A9" i="15"/>
  <c r="A9" i="14"/>
  <c r="A9" i="13"/>
  <c r="A9" i="12"/>
  <c r="A9" i="11"/>
  <c r="A9" i="10"/>
  <c r="A9" i="9"/>
  <c r="A9" i="8"/>
  <c r="A9" i="7"/>
  <c r="A9" i="6"/>
  <c r="A9" i="5"/>
  <c r="A9" i="4"/>
  <c r="A9" i="3"/>
  <c r="A9" i="2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<sst xmlns="http://schemas.openxmlformats.org/spreadsheetml/2006/main" count="8365" uniqueCount="841">
  <si>
    <t>Project:</t>
  </si>
  <si>
    <t>Eurobarometer</t>
  </si>
  <si>
    <t>Wave:</t>
  </si>
  <si>
    <t>104.2</t>
  </si>
  <si>
    <t>Fieldwork:</t>
  </si>
  <si>
    <t>6/11 - 30/11/2025</t>
  </si>
  <si>
    <t>Sheet</t>
  </si>
  <si>
    <t>Question French</t>
  </si>
  <si>
    <t>Question English</t>
  </si>
  <si>
    <t>B. Pays de terrain</t>
  </si>
  <si>
    <t>B. Fieldwork country</t>
  </si>
  <si>
    <t>QA1. En général, diriez-vous que vous avez une image très positive, plutôt positive, neutre, plutôt négative ou très négative du Parlement européen ?</t>
  </si>
  <si>
    <t>QA1. In general, do you have a very positive, fairly positive, neutral, fairly negative or very negative image of the European Parliament?</t>
  </si>
  <si>
    <t>QA2. Vous-même, souhaiteriez-vous voir le Parlement européen jouer un rôle plus important ou moins important ?</t>
  </si>
  <si>
    <t>QA2. Would you personally like to see the European Parliament play a more important or less important role?</t>
  </si>
  <si>
    <t>D78. En général, l’Union européenne évoque-t-elle pour vous une image très positive, assez positive, neutre, assez négative ou très négative ?</t>
  </si>
  <si>
    <t>D78. In general, does the EU conjure up for you a very positive, fairly positive, neutral, fairly negative or very negative image?</t>
  </si>
  <si>
    <t>QA3. D'une façon générale, pensez-vous que, pour (NOTRE PAYS), le fait de faire partie de l'Union européenne est … ?</t>
  </si>
  <si>
    <t>QA3. Generally speaking, do you think that (OUR COUNTRY)'s membership of the EU is...?</t>
  </si>
  <si>
    <t>QA4a. Parmi les sujets suivants, lesquels souhaiteriez-vous que le Parlement européen traite en priorité ? En premier ?</t>
  </si>
  <si>
    <t>QA4a. Which of the following topics would you like to see addressed in priority by the European Parliament? Firstly?</t>
  </si>
  <si>
    <t>QA4b. Et ensuite ?</t>
  </si>
  <si>
    <t>QA4b. And then?</t>
  </si>
  <si>
    <t>QA4ab. Parmi les sujets suivants, lesquels souhaiteriez-vous que le Parlement européen traite en priorité ? En premier ? Et ensuite ? (4 RÉPONSES MAXIMUM)</t>
  </si>
  <si>
    <t>QA4ab. Which of the following topics would you like to see addressed in priority by the European Parliament? Firstly? And then? (MAX. 4 ANSWERS)</t>
  </si>
  <si>
    <t>QA5a. Parmi les propositions suivantes, quelles sont selon vous les valeurs que le Parlement européen devrait défendre en priorité ? En premier ?</t>
  </si>
  <si>
    <t>QA5a. In your opinion, which of the following values should the European Parliament defend as a matter of priority? Firstly?</t>
  </si>
  <si>
    <t>QA5b. Et ensuite ?</t>
  </si>
  <si>
    <t>QA5b. And then?</t>
  </si>
  <si>
    <t>QA5ab. Parmi les propositions suivantes, quelles sont selon vous les valeurs que le Parlement européen devrait défendre en priorité ? En premier ? Et ensuite ? (3 RÉPONSES MAXIMUM)</t>
  </si>
  <si>
    <t>QA5ab. In your opinion, which of the following values should the European Parliament defend as a matter of priority? Firstly? And then? (MAX. 3 ANSWERS)</t>
  </si>
  <si>
    <t>QA6. Diriez-vous que ::-À l’avenir, le rôle de l’Union européenne en matière de protection des citoyens européens contre les crises mondiales et les risques de sécurité devrait ...</t>
  </si>
  <si>
    <t>QA6. Would you say that::-In the future, the role of the European Union to protect European citizens against global crises and security risks should …</t>
  </si>
  <si>
    <t>QA7.1. Dans quelle mesure êtes-vous d’accord ou pas d’accord avec chacune des affirmations suivantes ?:-Les États membres de l’UE devraient être plus unis pour faire face aux défis mondiaux actuels</t>
  </si>
  <si>
    <t>QA7.1. To what extent do you agree or disagree with each of the following statements?:-EU Member States should be more united to face current global challenges</t>
  </si>
  <si>
    <t>QA7.2. Dans quelle mesure êtes-vous d’accord ou pas d’accord avec chacune des affirmations suivantes ?:-L’Union européenne a besoin de plus de moyens pour faire face aux défis mondiaux actuels</t>
  </si>
  <si>
    <t>QA7.2. To what extent do you agree or disagree with each of the following statements?:-The European Union needs more means to face current global challenges</t>
  </si>
  <si>
    <t>QA7.3. Dans quelle mesure êtes-vous d’accord ou pas d’accord avec chacune des affirmations suivantes ?:-L’Union européenne devrait avoir une voix plus forte au niveau international</t>
  </si>
  <si>
    <t>QA7.3. To what extent do you agree or disagree with each of the following statements?:-The European Union should have a stronger voice at the international level</t>
  </si>
  <si>
    <t>QA8a. En pensant à l’avenir, à quel aspect parmi les suivants l’UE devrait-elle accorder la priorité pour renforcer sa position dans le monde ? En premier ?</t>
  </si>
  <si>
    <t>QA8a. Thinking about the future, which of the following aspects should the EU focus on in order to strengthen its position in the world? Firstly?</t>
  </si>
  <si>
    <t>QA8b. Et ensuite ?</t>
  </si>
  <si>
    <t>QA8b. And then?</t>
  </si>
  <si>
    <t>QA8ab. En pensant à l'avenir, à quel aspect parmi les suivants l'UE devrait-elle accorder la priorité pour renforcer sa position dans le monde ? En premier ? Et ensuite ? (3 RÉPONSES MAXIMUM)</t>
  </si>
  <si>
    <t>QA8ab. Thinking about the future, which of the following aspects should the EU focus on in order to strengthen its position in the world? Firstly? And then? (MAX. 3 ANSWERS)</t>
  </si>
  <si>
    <t>QA9.1. Diriez-vous que vous êtes très optimiste, plutôt optimiste, plutôt pessimiste ou très pessimiste concernant le futur de/du… ?:-Votre famille et vous-même</t>
  </si>
  <si>
    <t>QA9.1. Would you say that you are very optimistic, fairly optimistic, fairly pessimistic or very pessimistic about the future of ...?:-Your family and yourself</t>
  </si>
  <si>
    <t>QA9.2. Diriez-vous que vous êtes très optimiste, plutôt optimiste, plutôt pessimiste ou très pessimiste concernant le futur de/du… ?:-(NOTRE PAYS)</t>
  </si>
  <si>
    <t>QA9.2. Would you say that you are very optimistic, fairly optimistic, fairly pessimistic or very pessimistic about the future of ...?:-(OUR COUNTRY)</t>
  </si>
  <si>
    <t>QA9.3. Diriez-vous que vous êtes très optimiste, plutôt optimiste, plutôt pessimiste ou très pessimiste concernant le futur de/du… ?:-L’UE</t>
  </si>
  <si>
    <t>QA9.3. Would you say that you are very optimistic, fairly optimistic, fairly pessimistic or very pessimistic about the future of ...?:-The EU</t>
  </si>
  <si>
    <t>QA9.4. Diriez-vous que vous êtes très optimiste, plutôt optimiste, plutôt pessimiste ou très pessimiste concernant le futur de/du… ?:-Monde</t>
  </si>
  <si>
    <t>QA9.4. Would you say that you are very optimistic, fairly optimistic, fairly pessimistic or very pessimistic about the future of ...?:-The world</t>
  </si>
  <si>
    <t>QA10. Si (NOTRE PAYS) n’était pas membre de l’UE, seriez-vous plus inquiet(ète), plus confiant(e) ou ni l’un ni l’autre face aux défis mondiaux actuels ?</t>
  </si>
  <si>
    <t>QA10. If (OUR COUNTRY) was not a member of the EU, would you feel more worried, more confident, or neither when it comes to facing current global challenges?</t>
  </si>
  <si>
    <t>QA11.1.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inquiet(ète).:-Les guerres et conflits actuels à proximité de l’Union européenne</t>
  </si>
  <si>
    <t>QA11.1. How worried or not are you about each of the following security or safety-related issues? Please use a scale from 1 to 10, where 1 means that you are not at all worried, and 10 that you are extremely worried.:-Active conflicts and wars near the European Union</t>
  </si>
  <si>
    <t>QA11.2.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inquiet(ète).:-Les cyberattaques en provenance de pays non membres de l’UE</t>
  </si>
  <si>
    <t>QA11.2. How worried or not are you about each of the following security or safety-related issues? Please use a scale from 1 to 10, where 1 means that you are not at all worried, and 10 that you are extremely worried.:-Cyber-attacks from non-EU countries</t>
  </si>
  <si>
    <t>QA11.3.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inquiet(ète).:-Les drones provenant de pays non membres de l’UE et opérant au-dessus ou à proximité des pays de l'UE</t>
  </si>
  <si>
    <t>QA11.3. How worried or not are you about each of the following security or safety-related issues? Please use a scale from 1 to 10, where 1 means that you are not at all worried, and 10 that you are extremely worried.:-Drones from non-EU countries operating over or near EU countries</t>
  </si>
  <si>
    <t>QA11.4.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inquiet(ète).:-Les pays non membres de l’UE qui tentent d’influencer les élections ou la politique en (NOTRE PAYS)</t>
  </si>
  <si>
    <t>QA11.4. How worried or not are you about each of the following security or safety-related issues? Please use a scale from 1 to 10, where 1 means that you are not at all worried, and 10 that you are extremely worried.:-Non-EU countries trying to influence elections or politics in (OUR COUNTRY)</t>
  </si>
  <si>
    <t>QA11.5.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inquiet(ète).:-La dépendance de l’UE à l’égard de pays tiers pour son approvisionnement en énergie</t>
  </si>
  <si>
    <t>QA11.5. How worried or not are you about each of the following security or safety-related issues? Please use a scale from 1 to 10, where 1 means that you are not at all worried, and 10 that you are extremely worried.:-The EU having to rely on non-EU countries for its energy supply</t>
  </si>
  <si>
    <t>QA11.6.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inquiet(ète).:-La dépendance de l’UE à l’égard de pays tiers pour sa défense</t>
  </si>
  <si>
    <t>QA11.6. How worried or not are you about each of the following security or safety-related issues? Please use a scale from 1 to 10, where 1 means that you are not at all worried, and 10 that you are extremely worried.:-The EU having to rely on non-EU countries for its defence</t>
  </si>
  <si>
    <t>QA11.7.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 terrorisme</t>
  </si>
  <si>
    <t>QA11.7. How worried or not are you about each of the following security or safety-related issues? Please use a scale from 1 to 10, where 1 means that you are not at all worried, and 10 that you are extremely worried.:-Terrorism</t>
  </si>
  <si>
    <t>QA11.8.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inquiet(ète).:-Les flux migratoires incontrôlés</t>
  </si>
  <si>
    <t>QA11.8. How worried or not are you about each of the following security or safety-related issues? Please use a scale from 1 to 10, where 1 means that you are not at all worried, and 10 that you are extremely worried.:-Uncontrolled migration flows</t>
  </si>
  <si>
    <t>QA11.9.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inquiet(ète).:-L’aggravation des catastrophes naturelles en raison du changement climatique</t>
  </si>
  <si>
    <t>QA11.9. How worried or not are you about each of the following security or safety-related issues? Please use a scale from 1 to 10, where 1 means that you are not at all worried, and 10 that you are extremely worried.:-Natural disasters made worse by climate change</t>
  </si>
  <si>
    <t>QA12.1.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inquiet(ète).:-Le manque de transparence dans la manière dont les algorithmes prennent des décisions sur internet (p. ex., le contenu ou les publicités qui vous sont montrés, et pourquoi)</t>
  </si>
  <si>
    <t>QA12.1. And how worried or not are you about each of the following communication and society-related issues? Please use a scale from 1 to 10, where 1 means that you are not at all worried, and 10 that you are extremely worried.:-Lack of transparency in the way algorithms make decisions on the internet (e.g., which content or ads you are shown, and why)</t>
  </si>
  <si>
    <t>QA12.2.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inquiet(ète).:-La désinformation (informations fausses ou trompeuses)</t>
  </si>
  <si>
    <t>QA12.2. And how worried or not are you about each of the following communication and society-related issues? Please use a scale from 1 to 10, where 1 means that you are not at all worried, and 10 that you are extremely worried.:-Disinformation (false or misleading information)</t>
  </si>
  <si>
    <t>QA12.3.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inquiet(ète).:-L’indépendance des médias en (NOTRE PAYS)</t>
  </si>
  <si>
    <t>QA12.3. And how worried or not are you about each of the following communication and society-related issues? Please use a scale from 1 to 10, where 1 means that you are not at all worried, and 10 that you are extremely worried.:-The independence of the media in (OUR COUNTRY)</t>
  </si>
  <si>
    <t>QA12.4.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inquiet(ète).:-Le discours de haine en ligne et hors ligne</t>
  </si>
  <si>
    <t>QA12.4. And how worried or not are you about each of the following communication and society-related issues? Please use a scale from 1 to 10, where 1 means that you are not at all worried, and 10 that you are extremely worried.:-Hate speech online and offline</t>
  </si>
  <si>
    <t>QA12.5.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inquiet(ète).:-La polarisation de la société (p. ex., les divisions croissantes entre les groupes de la société)</t>
  </si>
  <si>
    <t>QA12.5. And how worried or not are you about each of the following communication and society-related issues? Please use a scale from 1 to 10, where 1 means that you are not at all worried, and 10 that you are extremely worried.:-Societal polarisation (e.g. growing divisions between groups in society)</t>
  </si>
  <si>
    <t>QA12.6.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inquiet(ète).:-Les faux contenus créés par l’intelligence artificielle (IA), comme les vidéos « deepfake » ou les fausses informations</t>
  </si>
  <si>
    <t>QA12.6. And how worried or not are you about each of the following communication and society-related issues? Please use a scale from 1 to 10, where 1 means that you are not at all worried, and 10 that you are extremely worried.:-Fake content created by artificial intelligence (AI), like deepfake videos or false information</t>
  </si>
  <si>
    <t>QA12.7.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inquiet(ète).:-Le contrôle des réseaux sociaux par une poignée de grandes entreprises</t>
  </si>
  <si>
    <t>QA12.7. And how worried or not are you about each of the following communication and society-related issues? Please use a scale from 1 to 10, where 1 means that you are not at all worried, and 10 that you are extremely worried.:-The control of social media by a few big companies</t>
  </si>
  <si>
    <t>QA12.8.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inquiet(ète).:-La protection des données personnelles en ligne</t>
  </si>
  <si>
    <t>QA12.8. And how worried or not are you about each of the following communication and society-related issues? Please use a scale from 1 to 10, where 1 means that you are not at all worried, and 10 that you are extremely worried.:-The protection of personal data online</t>
  </si>
  <si>
    <t>QA12.9.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inquiet(ète).:-Les menaces à la liberté d’expression</t>
  </si>
  <si>
    <t>QA12.9. And how worried or not are you about each of the following communication and society-related issues? Please use a scale from 1 to 10, where 1 means that you are not at all worried, and 10 that you are extremely worried.:-Threats to freedom of speech</t>
  </si>
  <si>
    <t>SD27. En pensant à l'évolution de votre niveau de vie personnel ces cinq prochaines années, laquelle des affirmations suivantes décrit le mieux vos prévisions ?</t>
  </si>
  <si>
    <t>SD27. When you think about the way your personal standard of living will evolve over the next five years, which of the following statements best describes your expectations?</t>
  </si>
  <si>
    <t xml:space="preserve">SOC. Quelles plateformes en ligne avez-vous utilisées au cours des 7 derniers jours pour une quelconque raison ? (PLUSIEURS RÉPONSES POSSIBLES) </t>
  </si>
  <si>
    <t>SOC. Which online platforms have you used in the last 7 days for any purpose? (MULTIPLE ANSWERS POSSIBLE)</t>
  </si>
  <si>
    <t>QDSD1. Vous-même, vous considérez-vous comme étant ... ?</t>
  </si>
  <si>
    <t>QDSD1. Do you consider yourself to be…?</t>
  </si>
  <si>
    <t>QDSD1R. Vous-même, vous considérez-vous comme étant ... ?</t>
  </si>
  <si>
    <t>QDSD1R. Do you consider yourself to be…?</t>
  </si>
  <si>
    <t>D11. Quel est votre âge ?</t>
  </si>
  <si>
    <t>D11. How old are you?</t>
  </si>
  <si>
    <t>D11R. Quel est votre âge ?</t>
  </si>
  <si>
    <t>D11R. How old are you?</t>
  </si>
  <si>
    <t>D11bis. Quel est votre âge ?</t>
  </si>
  <si>
    <t>D11bis. How old are you?</t>
  </si>
  <si>
    <t>D11G. Génération</t>
  </si>
  <si>
    <t>D11G. Generation</t>
  </si>
  <si>
    <t>D8. A quel âge avez-vous arrêté vos études à temps complet ?</t>
  </si>
  <si>
    <t>D8. How old were you when you stopped full-time education?</t>
  </si>
  <si>
    <t>D8c. Quel est le niveau d'études le plus élevé que vous avez atteint ?</t>
  </si>
  <si>
    <t>D8c. What is the highest level of education you completed?</t>
  </si>
  <si>
    <t>D8cR2. Quel est le niveau d'études le plus élevé que vous avez atteint ?</t>
  </si>
  <si>
    <t>D8cR2. What is the highest level of education you completed?</t>
  </si>
  <si>
    <t>D10. Comment vous définiriez-vous?</t>
  </si>
  <si>
    <t>D10. How would you describe yourself?</t>
  </si>
  <si>
    <t>D15a. Quelle est votre profession actuelle ?</t>
  </si>
  <si>
    <t>D15a. What is your current occupation?</t>
  </si>
  <si>
    <t>D15a2. Catégorie socioprofessionnelle</t>
  </si>
  <si>
    <t>D15a2. Socio-professional category</t>
  </si>
  <si>
    <t>C14. Catégorie socioprofessionnelle</t>
  </si>
  <si>
    <t>C14. Socio-professional category</t>
  </si>
  <si>
    <t>D15b. Exerciez-vous une activité professionnelle rémunérée auparavant ? Laquelle en dernier lieu ?</t>
  </si>
  <si>
    <t>D15b. Did you do any paid work in the past? What was your last occupation?</t>
  </si>
  <si>
    <t>D15b2. Catégorie socioprofessionnelle précédente</t>
  </si>
  <si>
    <t>D15b2. Previous socio-professional category</t>
  </si>
  <si>
    <t>D25. Diriez-vous que vous vivez … ?</t>
  </si>
  <si>
    <t>D25. Would you say you live in a...?</t>
  </si>
  <si>
    <t>D60. Sur ces douze derniers mois, diriez-vous que vous avez eu des difficultés à payer toutes vos factures à la fin du mois ... ?</t>
  </si>
  <si>
    <t>D60. During the last twelve months, would you say you had difficulties to pay your bills at the end of the month…?</t>
  </si>
  <si>
    <t>D70. D’une façon générale, êtes-vous très satisfait(e), plutôt satisfait(e), plutôt pas satisfait(e) ou pas du tout satisfait(e) de la vie que vous menez ?</t>
  </si>
  <si>
    <t>D70. On the whole, are you very satisfied, fairly satisfied, not very satisfied or not at all satisfied with the life you lead?</t>
  </si>
  <si>
    <t>D70a. Dans l’ensemble, êtes-vous très satisfait(e), plutôt satisfait(e), pas très satisfait(e) ou pas du tout satisfait(e) de votre vie quotidienne ?</t>
  </si>
  <si>
    <t>D70a. On the whole, are you very satisfied, fairly satisfied, not very satisfied or not at all satisfied with your daily life?</t>
  </si>
  <si>
    <t>D62.1. Pouvez-vous dire si… ?:-Vous utilisez Internet chez vous, à votre domicile</t>
  </si>
  <si>
    <t>D62.1. Could you tell if…?:-You use the Internet at home, in your home</t>
  </si>
  <si>
    <t>D62.2. Pouvez-vous dire si… ?:-Vous utilisez Internet sur votre lieu de travail</t>
  </si>
  <si>
    <t>D62.2. Could you tell if…?:-You use the Internet on your place of work</t>
  </si>
  <si>
    <t>D62.3. Pouvez-vous dire si… ?:-Vous utilisez Internet sur votre appareil mobile (ordinateur portable, smartphone, tablette, etc.)</t>
  </si>
  <si>
    <t>D62.3. Could you tell if…?:-You use the Internet on your mobile device (laptop, smartphone, tablet, etc.)</t>
  </si>
  <si>
    <t>D62.4. Pouvez-vous dire si… ?:-Vous utilisez Internet ailleurs (école, université, cyber-cafés, etc.)</t>
  </si>
  <si>
    <t>D62.4. Could you tell if…?:-You use the Internet somewhere else (school, university, cyber-café, etc.)</t>
  </si>
  <si>
    <t>D62R. Utilisation Internet</t>
  </si>
  <si>
    <t>D62R. Use of the Internet</t>
  </si>
  <si>
    <t>D63. Vous considérez-vous, vous et votre foyer, comme appartenant à … ?</t>
  </si>
  <si>
    <t>D63. Do you see yourself and your household belonging to…?</t>
  </si>
  <si>
    <t>D73.1. En ce moment, diriez-vous que, d’une manière générale, les choses vont dans la bonne direction ou dans la mauvaise direction… ?:-En (NOTRE PAYS)</t>
  </si>
  <si>
    <t>D73.1. At the present time, would you say that, in general, things are going in the right direction or in the wrong direction, in…?:-(OUR COUNTRY)</t>
  </si>
  <si>
    <t>D73.2. En ce moment, diriez-vous que, d’une manière générale, les choses vont dans la bonne direction ou dans la mauvaise direction… ?:-Dans l’Union européenne</t>
  </si>
  <si>
    <t>D73.2. At the present time, would you say that, in general, things are going in the right direction or in the wrong direction, in…?:-The European Union</t>
  </si>
  <si>
    <t>D73.3. En ce moment, diriez-vous que, d’une manière générale, les choses vont dans la bonne direction ou dans la mauvaise direction… ?:-Aux États-Unis</t>
  </si>
  <si>
    <t>D73.3. At the present time, would you say that, in general, things are going in the right direction or in the wrong direction, in…?:-The USA</t>
  </si>
  <si>
    <t>D73.4. En ce moment, diriez-vous que, d’une manière générale, les choses vont dans la bonne direction ou dans la mauvaise direction… ?:-Dans votre vie personnelle</t>
  </si>
  <si>
    <t>D73.4. At the present time, would you say that, in general, things are going in the right direction or in the wrong direction, in…?:-Your life personally</t>
  </si>
  <si>
    <t>D71.1. Quand vous vous retrouvez avec des amis ou des proches, diriez-vous que vous discutez fréquemment, occasionnellement ou jamais à propos … ?:-De sujets de politique nationale</t>
  </si>
  <si>
    <t>D71.1. When you get together with friends or relatives, would you say you discuss frequently, occasionally or never about...?:-National political matters</t>
  </si>
  <si>
    <t>D71.2. Quand vous vous retrouvez avec des amis ou des proches, diriez-vous que vous discutez fréquemment, occasionnellement ou jamais à propos … ?:-De sujets de politique européenne</t>
  </si>
  <si>
    <t>D71.2. When you get together with friends or relatives, would you say you discuss frequently, occasionally or never about...?:-European political matters</t>
  </si>
  <si>
    <t>D71.3. Quand vous vous retrouvez avec des amis ou des proches, diriez-vous que vous discutez fréquemment, occasionnellement ou jamais à propos … ?:-De sujets de politique locale</t>
  </si>
  <si>
    <t>D71.3. When you get together with friends or relatives, would you say you discuss frequently, occasionally or never about...?:-Local political matters</t>
  </si>
  <si>
    <t>C2. Indice d'intérêt pour la politique</t>
  </si>
  <si>
    <t>C2. Political interest index</t>
  </si>
  <si>
    <t>SD18a. Dans l’ensemble, êtes-vous très satisfait(e), plutôt satisfait(e), plutôt pas satisfait(e) ou pas du tout satisfait(e) du fonctionnement de la démocratie en (NOTRE PAYS) ?</t>
  </si>
  <si>
    <t>SD18a. On the whole, are you very satisfied, fairly satisfied, not very satisfied or not at all satisfied with the way democracy works in (OUR COUNTRY)?</t>
  </si>
  <si>
    <t>SD18b. Et du fonctionnement de la démocratie dans l’Union européenne ?</t>
  </si>
  <si>
    <t>SD18b. And how about the way democracy works in the EU?</t>
  </si>
  <si>
    <t>SD19a.1. Dans quelle mesure êtes-vous d’accord ou pas d’accord avec chacune des affirmations suivantes ?:-Ma voix compte dans l'Union européenne</t>
  </si>
  <si>
    <t>SD19a.1. To what extent do you agree or disagree with each of the following statements.:-My voice counts in the EU</t>
  </si>
  <si>
    <t>SD19a.2. Dans quelle mesure êtes-vous d’accord ou pas d’accord avec chacune des affirmations suivantes ?:-Ma voix compte en (NOTRE PAYS)</t>
  </si>
  <si>
    <t>SD19a.2. To what extent do you agree or disagree with each of the following statements.:-My voice counts in (OUR COUNTRY)</t>
  </si>
  <si>
    <t>SD19a.3. Dans quelle mesure êtes-vous d’accord ou pas d’accord avec chacune des affirmations suivantes ?:-La voix de (NOTRE PAYS) compte dans l’Union européenne</t>
  </si>
  <si>
    <t>SD19a.3. To what extent do you agree or disagree with each of the following statements.:-(OUR COUNTRY)’s voice counts in the EU</t>
  </si>
  <si>
    <t>D1. A propos de politique, les gens parlent de "la gauche" et de "la droite". Vous‐même, pourriez‐vous situer votre position sur cette échelle de 1 à 10, où ’1’ signifie "gauche" et ’10’ signifie "droite" ? Quel numéro décrit le mieux votre position ?</t>
  </si>
  <si>
    <t>D1. In political matters people talk of "the left" and "the right". How would you place your views on this scale?</t>
  </si>
  <si>
    <t>D1R1. Echelle politique gauche-droite</t>
  </si>
  <si>
    <t>D1R1. Left-right political scale</t>
  </si>
  <si>
    <t>D1R2. Echelle politique gauche-droite</t>
  </si>
  <si>
    <t>D1R2. Left-right political scale</t>
  </si>
  <si>
    <t>Eurobarometer - 104.2</t>
  </si>
  <si>
    <t>VOL A weighted</t>
  </si>
  <si>
    <t>Terrain/Fieldwork : 6/11 - 30/11/2025</t>
  </si>
  <si>
    <t>Base: Ensemble</t>
  </si>
  <si>
    <t>Base: All respondents</t>
  </si>
  <si>
    <t>UE27
EU27</t>
  </si>
  <si>
    <t>BE</t>
  </si>
  <si>
    <t>BG</t>
  </si>
  <si>
    <t>CZ</t>
  </si>
  <si>
    <t>DK</t>
  </si>
  <si>
    <t>DEW</t>
  </si>
  <si>
    <t>DE</t>
  </si>
  <si>
    <t>DEE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</si>
  <si>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</si>
  <si>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</si>
  <si>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</si>
  <si>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</si>
  <si>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</si>
  <si>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</si>
  <si>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</si>
  <si>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</si>
  <si>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</si>
  <si>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</si>
  <si>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</si>
  <si>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</si>
  <si>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</si>
  <si>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</si>
  <si>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</si>
  <si>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</si>
  <si>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</si>
  <si>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</si>
  <si>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</si>
  <si>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</si>
  <si>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</si>
  <si>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</si>
  <si>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Total</t>
  </si>
  <si>
    <t>-</t>
  </si>
  <si>
    <t>Très positive</t>
  </si>
  <si>
    <t>Very positive</t>
  </si>
  <si>
    <t>Plutôt positive</t>
  </si>
  <si>
    <t>Fairly positive</t>
  </si>
  <si>
    <t>Neutre</t>
  </si>
  <si>
    <t>Neutral</t>
  </si>
  <si>
    <t>Plutôt négative</t>
  </si>
  <si>
    <t>Fairly negative</t>
  </si>
  <si>
    <t>Très négative</t>
  </si>
  <si>
    <t>Very negative</t>
  </si>
  <si>
    <t>Ne sait pas</t>
  </si>
  <si>
    <t>Don’t know</t>
  </si>
  <si>
    <t>Total 'Positive'</t>
  </si>
  <si>
    <t>Total 'Négative'</t>
  </si>
  <si>
    <t>Total 'Negative'</t>
  </si>
  <si>
    <t>Plus important</t>
  </si>
  <si>
    <t>More important</t>
  </si>
  <si>
    <t>Moins important</t>
  </si>
  <si>
    <t>Less important</t>
  </si>
  <si>
    <t>Sans changement / Comme aujourd'hui (SPONTANÉ)</t>
  </si>
  <si>
    <t>No change / As it is now (SPONTANEOUS)</t>
  </si>
  <si>
    <t>Assez positive</t>
  </si>
  <si>
    <t>Assez négative</t>
  </si>
  <si>
    <t>Don't know</t>
  </si>
  <si>
    <t>Une bonne chose</t>
  </si>
  <si>
    <t>A good thing</t>
  </si>
  <si>
    <t>Une mauvaise chose</t>
  </si>
  <si>
    <t>A bad thing</t>
  </si>
  <si>
    <t>Une chose ni bonne ni mauvaise</t>
  </si>
  <si>
    <t>Neither a good thing nor a bad thing</t>
  </si>
  <si>
    <t>La santé publique</t>
  </si>
  <si>
    <t>Public health</t>
  </si>
  <si>
    <t>L’environnement et le changement climatique</t>
  </si>
  <si>
    <t>Environment and climate change</t>
  </si>
  <si>
    <t>La pauvreté et l’exclusion sociale</t>
  </si>
  <si>
    <t>Poverty and social exclusion</t>
  </si>
  <si>
    <t>L’économie et la création de nouveaux emplois</t>
  </si>
  <si>
    <t>Economy and job creation</t>
  </si>
  <si>
    <t>L’inflation, la hausse des prix et le coût de la vie</t>
  </si>
  <si>
    <t>Inflation, rising prices and the cost of living</t>
  </si>
  <si>
    <t>La transition numérique de l’économie et de la société européenne</t>
  </si>
  <si>
    <t>Digitalisation of the European economy and society</t>
  </si>
  <si>
    <t>L'aide humanitaire et l'aide au développement</t>
  </si>
  <si>
    <t>Humanitarian aid and development assistance</t>
  </si>
  <si>
    <t>L’autonomie de l’UE dans les domaines de l’industrie et de l’énergie</t>
  </si>
  <si>
    <t>EU autonomy in the fields of industry and energy</t>
  </si>
  <si>
    <t>La protection des consommateurs</t>
  </si>
  <si>
    <t>Consumer protection</t>
  </si>
  <si>
    <t>La migration et l'asile</t>
  </si>
  <si>
    <t>Migration and asylum</t>
  </si>
  <si>
    <t>Le terrorisme et le crime organisé</t>
  </si>
  <si>
    <t>Terrorism and organised crime</t>
  </si>
  <si>
    <t>La démocratie et l'État de droit</t>
  </si>
  <si>
    <t>Democracy and the rule of law</t>
  </si>
  <si>
    <t>La défense et la sécurité de l’UE</t>
  </si>
  <si>
    <t>EU defence and security</t>
  </si>
  <si>
    <t>L’agriculture et la sécurité alimentaire</t>
  </si>
  <si>
    <t>Agriculture and food security</t>
  </si>
  <si>
    <t>L'égalité des sexes, l'inclusion et la diversité</t>
  </si>
  <si>
    <t>Gender equality, inclusion and diversity</t>
  </si>
  <si>
    <t>Autre (SPONTANÉ)</t>
  </si>
  <si>
    <t>Other (SPONTANEOUS)</t>
  </si>
  <si>
    <t>Aucun (SPONTANÉ)</t>
  </si>
  <si>
    <t>None (SPONTANEOUS)</t>
  </si>
  <si>
    <t>Base: Pas demandé aux répondants qui ont répondu “Aucun” ou “Ne sait pas” à la QA4a</t>
  </si>
  <si>
    <t>Base: Not asked to respondents who answered "None" or "Don't know" in QA4a</t>
  </si>
  <si>
    <t>L'égalité entre les femmes et les hommes</t>
  </si>
  <si>
    <t>Equality between women and men</t>
  </si>
  <si>
    <t>La lutte contre les discriminations et pour la protection des minorités</t>
  </si>
  <si>
    <t>The fight against discrimination and for the protection of minorities</t>
  </si>
  <si>
    <t>La tolérance et le respect de la diversité au sein de la société</t>
  </si>
  <si>
    <t>Tolerance and respect for diversity in society</t>
  </si>
  <si>
    <t>La solidarité entre États membres de l'UE et entre ses régions</t>
  </si>
  <si>
    <t>Solidarity between EU Member States and between its regions</t>
  </si>
  <si>
    <t>La solidarité entre l'Union européenne et les pays pauvres dans le monde</t>
  </si>
  <si>
    <t>Solidarity between the EU and poor countries in the world</t>
  </si>
  <si>
    <t>La protection des droits de l'homme dans l'UE et dans le monde</t>
  </si>
  <si>
    <t>The protection of human rights in the EU and worldwide</t>
  </si>
  <si>
    <t>La liberté de religion et de croyance</t>
  </si>
  <si>
    <t>Freedom of religion and belief</t>
  </si>
  <si>
    <t>La libre circulation</t>
  </si>
  <si>
    <t>Freedom of movement</t>
  </si>
  <si>
    <t>La liberté d'expression et de pensée</t>
  </si>
  <si>
    <t>Freedom of speech and thought</t>
  </si>
  <si>
    <t>La dignité humaine, y compris l'interdiction de la peine de mort, de la torture et de l'esclavage</t>
  </si>
  <si>
    <t>Human dignity, including the prohibition of the death penalty, torture or slavery</t>
  </si>
  <si>
    <t>La démocratie</t>
  </si>
  <si>
    <t>Democracy</t>
  </si>
  <si>
    <t>L'État de droit</t>
  </si>
  <si>
    <t>The rule of law</t>
  </si>
  <si>
    <t>Le respect des identités, cultures et traditions nationales dans les États membres de l’UE</t>
  </si>
  <si>
    <t>Respect for national identities, cultures and traditions in the EU Member States</t>
  </si>
  <si>
    <t>Le droit de demander l'asile en cas de persécution</t>
  </si>
  <si>
    <t>The right to seek asylum from persecution</t>
  </si>
  <si>
    <t>La paix</t>
  </si>
  <si>
    <t>Peace</t>
  </si>
  <si>
    <t>Base: Pas demandé aux répondants qui ont répondu “Aucun” ou “Ne sait pas” à la QA5a</t>
  </si>
  <si>
    <t>Base: Not asked to respondents who answered "None" or "Don't know" in QA5a</t>
  </si>
  <si>
    <t>QA6. Diriez-vous que :</t>
  </si>
  <si>
    <t>QA6. Would you say that:</t>
  </si>
  <si>
    <t>À l’avenir, le rôle de l’Union européenne en matière de protection des citoyens européens contre les crises mondiales et les risques de sécurité devrait ...</t>
  </si>
  <si>
    <t>In the future, the role of the European Union to protect European citizens against global crises and security risks should …</t>
  </si>
  <si>
    <t>devenir plus important</t>
  </si>
  <si>
    <t>…become more important</t>
  </si>
  <si>
    <t>devenir moins important</t>
  </si>
  <si>
    <t>…become less important</t>
  </si>
  <si>
    <t>rester le même</t>
  </si>
  <si>
    <t>…stay the same</t>
  </si>
  <si>
    <t>QA7.1. Dans quelle mesure êtes-vous d’accord ou pas d’accord avec chacune des affirmations suivantes ?</t>
  </si>
  <si>
    <t>QA7.1. To what extent do you agree or disagree with each of the following statements?</t>
  </si>
  <si>
    <t>Les États membres de l’UE devraient être plus unis pour faire face aux défis mondiaux actuels</t>
  </si>
  <si>
    <t>EU Member States should be more united to face current global challenges</t>
  </si>
  <si>
    <t>Tout à fait d’accord</t>
  </si>
  <si>
    <t>Totally agree</t>
  </si>
  <si>
    <t>Plutôt d’accord</t>
  </si>
  <si>
    <t>Tend to agree</t>
  </si>
  <si>
    <t>Plutôt pas d’accord</t>
  </si>
  <si>
    <t>Tend to disagree</t>
  </si>
  <si>
    <t>Pas du tout d’accord</t>
  </si>
  <si>
    <t>Totally disagree</t>
  </si>
  <si>
    <t>Total 'D'accord'</t>
  </si>
  <si>
    <t>Total 'Agree'</t>
  </si>
  <si>
    <t>Total 'Pas d'accord'</t>
  </si>
  <si>
    <t>Total 'Disagree'</t>
  </si>
  <si>
    <t>QA7.2. Dans quelle mesure êtes-vous d’accord ou pas d’accord avec chacune des affirmations suivantes ?</t>
  </si>
  <si>
    <t>QA7.2. To what extent do you agree or disagree with each of the following statements?</t>
  </si>
  <si>
    <t>L’Union européenne a besoin de plus de moyens pour faire face aux défis mondiaux actuels</t>
  </si>
  <si>
    <t>The European Union needs more means to face current global challenges</t>
  </si>
  <si>
    <t>QA7.3. Dans quelle mesure êtes-vous d’accord ou pas d’accord avec chacune des affirmations suivantes ?</t>
  </si>
  <si>
    <t>QA7.3. To what extent do you agree or disagree with each of the following statements?</t>
  </si>
  <si>
    <t>L’Union européenne devrait avoir une voix plus forte au niveau international</t>
  </si>
  <si>
    <t>The European Union should have a stronger voice at the international level</t>
  </si>
  <si>
    <t>L’indépendance énergétique, les ressources et les infrastructures</t>
  </si>
  <si>
    <t>Energy independence, resources and infrastructures</t>
  </si>
  <si>
    <t>La défense et la sécurité</t>
  </si>
  <si>
    <t>Defence and security</t>
  </si>
  <si>
    <t>Les relations internationales et la diplomatie</t>
  </si>
  <si>
    <t>Foreign relations and diplomacy</t>
  </si>
  <si>
    <t>L’élargissement de l’UE et les relations avec les pays voisins</t>
  </si>
  <si>
    <t>EU enlargement and neighbourhood relations</t>
  </si>
  <si>
    <t>La technologie et l'innovation, y compris l'IA (intelligence artificielle)</t>
  </si>
  <si>
    <t>Technology and innovation, including AI (Artificial Intelligence)</t>
  </si>
  <si>
    <t>Les valeurs de l'UE, notamment la démocratie et la protection des droits de l'homme</t>
  </si>
  <si>
    <t>EU values, including democracy and the protection of human rights</t>
  </si>
  <si>
    <t>La compétitivité, l'économie et l'industrie</t>
  </si>
  <si>
    <t>Competitiveness, economy and industry</t>
  </si>
  <si>
    <t>Le commerce international</t>
  </si>
  <si>
    <t>International trade</t>
  </si>
  <si>
    <t>L'euro</t>
  </si>
  <si>
    <t>The Euro</t>
  </si>
  <si>
    <t>L'action pour le climat et la réduction des émissions de gaz à effet de serre</t>
  </si>
  <si>
    <t>Climate action and emissions reductions</t>
  </si>
  <si>
    <t>La sécurité alimentaire et l’agriculture</t>
  </si>
  <si>
    <t>Food security and agriculture</t>
  </si>
  <si>
    <t>L'éducation et la recherche</t>
  </si>
  <si>
    <t>Education and research</t>
  </si>
  <si>
    <t>La démographie, la migration et le vieillissement de la population</t>
  </si>
  <si>
    <t>Demography, migration and population ageing</t>
  </si>
  <si>
    <t>La culture</t>
  </si>
  <si>
    <t>Culture</t>
  </si>
  <si>
    <t>Base: Pas demandé aux répondants qui ont répondu “Aucun” ou “Ne sait pas” à la QA8a</t>
  </si>
  <si>
    <t>Base: Not asked to respondents who answered "None" or "Don't know" in QA8a</t>
  </si>
  <si>
    <t>QA9.1. Diriez-vous que vous êtes très optimiste, plutôt optimiste, plutôt pessimiste ou très pessimiste concernant le futur de/du… ?</t>
  </si>
  <si>
    <t>QA9.1. Would you say that you are very optimistic, fairly optimistic, fairly pessimistic or very pessimistic about the future of ...?</t>
  </si>
  <si>
    <t>Votre famille et vous-même</t>
  </si>
  <si>
    <t>Your family and yourself</t>
  </si>
  <si>
    <t>Très optimiste</t>
  </si>
  <si>
    <t>Very optimistic</t>
  </si>
  <si>
    <t>Plutôt optimiste</t>
  </si>
  <si>
    <t>Fairly optimistic</t>
  </si>
  <si>
    <t>Plutôt pessimiste</t>
  </si>
  <si>
    <t>Fairly pessimistic</t>
  </si>
  <si>
    <t>Très pessimiste</t>
  </si>
  <si>
    <t>Very pessimistic</t>
  </si>
  <si>
    <t>Total 'Optimiste'</t>
  </si>
  <si>
    <t>Total 'Optimistic'</t>
  </si>
  <si>
    <t>Total 'Pessimiste'</t>
  </si>
  <si>
    <t>Total 'Pessimistic'</t>
  </si>
  <si>
    <t>QA9.2. Diriez-vous que vous êtes très optimiste, plutôt optimiste, plutôt pessimiste ou très pessimiste concernant le futur de/du… ?</t>
  </si>
  <si>
    <t>QA9.2. Would you say that you are very optimistic, fairly optimistic, fairly pessimistic or very pessimistic about the future of ...?</t>
  </si>
  <si>
    <t>(NOTRE PAYS)</t>
  </si>
  <si>
    <t>(OUR COUNTRY)</t>
  </si>
  <si>
    <t>QA9.3. Diriez-vous que vous êtes très optimiste, plutôt optimiste, plutôt pessimiste ou très pessimiste concernant le futur de/du… ?</t>
  </si>
  <si>
    <t>QA9.3. Would you say that you are very optimistic, fairly optimistic, fairly pessimistic or very pessimistic about the future of ...?</t>
  </si>
  <si>
    <t>L’UE</t>
  </si>
  <si>
    <t>The EU</t>
  </si>
  <si>
    <t>QA9.4. Diriez-vous que vous êtes très optimiste, plutôt optimiste, plutôt pessimiste ou très pessimiste concernant le futur de/du… ?</t>
  </si>
  <si>
    <t>QA9.4. Would you say that you are very optimistic, fairly optimistic, fairly pessimistic or very pessimistic about the future of ...?</t>
  </si>
  <si>
    <t>Monde</t>
  </si>
  <si>
    <t>The world</t>
  </si>
  <si>
    <t>Plus inquiet(ète)</t>
  </si>
  <si>
    <t>More worried</t>
  </si>
  <si>
    <t>Plus confiant(e)</t>
  </si>
  <si>
    <t>More confident</t>
  </si>
  <si>
    <t>Ni l’un ni l’autre</t>
  </si>
  <si>
    <t>Neither</t>
  </si>
  <si>
    <t>QA11.1.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</si>
  <si>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QA11.1. How worried or not are you about each of the following security or safety-related issues? Please use a scale from 1 to 10, where 1 means that you are not at all worried, and 10 that you are extremely worried.</t>
  </si>
  <si>
    <t>Les guerres et conflits actuels à proximité de l’Union européenne</t>
  </si>
  <si>
    <t>Active conflicts and wars near the European Union</t>
  </si>
  <si>
    <t>1 Pas du tout inquiet(ète)</t>
  </si>
  <si>
    <t>1 Not at all worried</t>
  </si>
  <si>
    <t>2</t>
  </si>
  <si>
    <t>3</t>
  </si>
  <si>
    <t>4</t>
  </si>
  <si>
    <t>5</t>
  </si>
  <si>
    <t>6</t>
  </si>
  <si>
    <t>7</t>
  </si>
  <si>
    <t>8</t>
  </si>
  <si>
    <t>9</t>
  </si>
  <si>
    <t>10 Extrêmement inquiet(ète)</t>
  </si>
  <si>
    <t>10 Extremely worried</t>
  </si>
  <si>
    <t>Total 'Pas ou peu inquiet(ète)' (1-4)</t>
  </si>
  <si>
    <t>Total 'Not or slightly worried' (1-4)</t>
  </si>
  <si>
    <t>Total 'Modérément inquiet(ète)' (5-6)</t>
  </si>
  <si>
    <t>Total 'Moderately worried' (5-6)</t>
  </si>
  <si>
    <t>Total 'Très inquiet(ète)' (7-10)</t>
  </si>
  <si>
    <t>Total 'Highly worried' (7-10)</t>
  </si>
  <si>
    <t>QA11.2.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</si>
  <si>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QA11.2. How worried or not are you about each of the following security or safety-related issues? Please use a scale from 1 to 10, where 1 means that you are not at all worried, and 10 that you are extremely worried.</t>
  </si>
  <si>
    <t>Les cyberattaques en provenance de pays non membres de l’UE</t>
  </si>
  <si>
    <t>Cyber-attacks from non-EU countries</t>
  </si>
  <si>
    <t>QA11.3.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</si>
  <si>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QA11.3. How worried or not are you about each of the following security or safety-related issues? Please use a scale from 1 to 10, where 1 means that you are not at all worried, and 10 that you are extremely worried.</t>
  </si>
  <si>
    <t>Les drones provenant de pays non membres de l’UE et opérant au-dessus ou à proximité des pays de l'UE</t>
  </si>
  <si>
    <t>Drones from non-EU countries operating over or near EU countries</t>
  </si>
  <si>
    <t>QA11.4.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</si>
  <si>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QA11.4. How worried or not are you about each of the following security or safety-related issues? Please use a scale from 1 to 10, where 1 means that you are not at all worried, and 10 that you are extremely worried.</t>
  </si>
  <si>
    <t>Les pays non membres de l’UE qui tentent d’influencer les élections ou la politique en (NOTRE PAYS)</t>
  </si>
  <si>
    <t>Non-EU countries trying to influence elections or politics in (OUR COUNTRY)</t>
  </si>
  <si>
    <t>QA11.5.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</si>
  <si>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QA11.5. How worried or not are you about each of the following security or safety-related issues? Please use a scale from 1 to 10, where 1 means that you are not at all worried, and 10 that you are extremely worried.</t>
  </si>
  <si>
    <t>La dépendance de l’UE à l’égard de pays tiers pour son approvisionnement en énergie</t>
  </si>
  <si>
    <t>The EU having to rely on non-EU countries for its energy supply</t>
  </si>
  <si>
    <t>QA11.6.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</si>
  <si>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QA11.6. How worried or not are you about each of the following security or safety-related issues? Please use a scale from 1 to 10, where 1 means that you are not at all worried, and 10 that you are extremely worried.</t>
  </si>
  <si>
    <t>La dépendance de l’UE à l’égard de pays tiers pour sa défense</t>
  </si>
  <si>
    <t>The EU having to rely on non-EU countries for its defence</t>
  </si>
  <si>
    <t>QA11.7.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</si>
  <si>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QA11.7. How worried or not are you about each of the following security or safety-related issues? Please use a scale from 1 to 10, where 1 means that you are not at all worried, and 10 that you are extremely worried.</t>
  </si>
  <si>
    <t>Le terrorisme</t>
  </si>
  <si>
    <t>Terrorism</t>
  </si>
  <si>
    <t>QA11.8.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</si>
  <si>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QA11.8. How worried or not are you about each of the following security or safety-related issues? Please use a scale from 1 to 10, where 1 means that you are not at all worried, and 10 that you are extremely worried.</t>
  </si>
  <si>
    <t>Les flux migratoires incontrôlés</t>
  </si>
  <si>
    <t>Uncontrolled migration flows</t>
  </si>
  <si>
    <t>QA11.9. Dans quelle mesure êtes-vous inquiet(ète) ou non à propos de chacun des problèmes suivants liés à la sécurité ou à la sûreté ? Veuillez utiliser une échelle de 1 à 10, où 1 signifie que vous n’êtes pas du tout inquiet(ète) et 10 que vous êtes extrêmement inquiet(ète).</t>
  </si>
  <si>
    <t>QA11.9. How worried or not are you about each of the following security or safety-related issues? Please use a scale from 1 to 10, where 1 means that you are not at all worried, and 10 that you are extremely worried.</t>
  </si>
  <si>
    <t>L’aggravation des catastrophes naturelles en raison du changement climatique</t>
  </si>
  <si>
    <t>Natural disasters made worse by climate change</t>
  </si>
  <si>
    <t>QA12.1.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</si>
  <si>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QA12.1. And how worried or not are you about each of the following communication and society-related issues? Please use a scale from 1 to 10, where 1 means that you are not at all worried, and 10 that you are extremely worried.</t>
  </si>
  <si>
    <t>Le manque de transparence dans la manière dont les algorithmes prennent des décisions sur internet (p. ex., le contenu ou les publicités qui vous sont montrés, et pourquoi)</t>
  </si>
  <si>
    <t>Lack of transparency in the way algorithms make decisions on the internet (e.g., which content or ads you are shown, and why)</t>
  </si>
  <si>
    <t>QA12.2.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</si>
  <si>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QA12.2. And how worried or not are you about each of the following communication and society-related issues? Please use a scale from 1 to 10, where 1 means that you are not at all worried, and 10 that you are extremely worried.</t>
  </si>
  <si>
    <t>La désinformation (informations fausses ou trompeuses)</t>
  </si>
  <si>
    <t>Disinformation (false or misleading information)</t>
  </si>
  <si>
    <t>QA12.3.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</si>
  <si>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QA12.3. And how worried or not are you about each of the following communication and society-related issues? Please use a scale from 1 to 10, where 1 means that you are not at all worried, and 10 that you are extremely worried.</t>
  </si>
  <si>
    <t>L’indépendance des médias en (NOTRE PAYS)</t>
  </si>
  <si>
    <t>The independence of the media in (OUR COUNTRY)</t>
  </si>
  <si>
    <t>QA12.4.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</si>
  <si>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QA12.4. And how worried or not are you about each of the following communication and society-related issues? Please use a scale from 1 to 10, where 1 means that you are not at all worried, and 10 that you are extremely worried.</t>
  </si>
  <si>
    <t>Le discours de haine en ligne et hors ligne</t>
  </si>
  <si>
    <t>Hate speech online and offline</t>
  </si>
  <si>
    <t>QA12.5.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</si>
  <si>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QA12.5. And how worried or not are you about each of the following communication and society-related issues? Please use a scale from 1 to 10, where 1 means that you are not at all worried, and 10 that you are extremely worried.</t>
  </si>
  <si>
    <t>La polarisation de la société (p. ex., les divisions croissantes entre les groupes de la société)</t>
  </si>
  <si>
    <t>Societal polarisation (e.g. growing divisions between groups in society)</t>
  </si>
  <si>
    <t>QA12.6.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</si>
  <si>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QA12.6. And how worried or not are you about each of the following communication and society-related issues? Please use a scale from 1 to 10, where 1 means that you are not at all worried, and 10 that you are extremely worried.</t>
  </si>
  <si>
    <t>Les faux contenus créés par l’intelligence artificielle (IA), comme les vidéos « deepfake » ou les fausses informations</t>
  </si>
  <si>
    <t>Fake content created by artificial intelligence (AI), like deepfake videos or false information</t>
  </si>
  <si>
    <t>QA12.7.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</si>
  <si>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QA12.7. And how worried or not are you about each of the following communication and society-related issues? Please use a scale from 1 to 10, where 1 means that you are not at all worried, and 10 that you are extremely worried.</t>
  </si>
  <si>
    <t>Le contrôle des réseaux sociaux par une poignée de grandes entreprises</t>
  </si>
  <si>
    <t>The control of social media by a few big companies</t>
  </si>
  <si>
    <t>QA12.8.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</si>
  <si>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QA12.8. And how worried or not are you about each of the following communication and society-related issues? Please use a scale from 1 to 10, where 1 means that you are not at all worried, and 10 that you are extremely worried.</t>
  </si>
  <si>
    <t>La protection des données personnelles en ligne</t>
  </si>
  <si>
    <t>The protection of personal data online</t>
  </si>
  <si>
    <t>QA12.9. Et dans quelle mesure êtes-vous inquiet(ète) ou non à propos de chacun des problèmes suivants liés à la communication et à la société ? Veuillez utiliser une échelle de 1 à 10, où 1 signifie que vous n’êtes pas du tout inquiet(ète) et 10 que vous êtes extrêmement inquiet(ète).</t>
  </si>
  <si>
    <t>QA12.9. And how worried or not are you about each of the following communication and society-related issues? Please use a scale from 1 to 10, where 1 means that you are not at all worried, and 10 that you are extremely worried.</t>
  </si>
  <si>
    <t>Les menaces à la liberté d’expression</t>
  </si>
  <si>
    <t>Threats to freedom of speech</t>
  </si>
  <si>
    <t>Votre niveau de vie va baisser</t>
  </si>
  <si>
    <t>Your standard of living will decrease</t>
  </si>
  <si>
    <t>Votre niveau de vie ne va pas changer</t>
  </si>
  <si>
    <t>Your standard of living will not change</t>
  </si>
  <si>
    <t>Votre niveau de vie va augmenter</t>
  </si>
  <si>
    <t>Your standard of living will increase</t>
  </si>
  <si>
    <t>Ne sait pas / Pas de réponse</t>
  </si>
  <si>
    <t>Don't know / No answer</t>
  </si>
  <si>
    <t>Facebook</t>
  </si>
  <si>
    <t>X (anciennement Twitter)</t>
  </si>
  <si>
    <t>X (formerly named Twitter)</t>
  </si>
  <si>
    <t>Instagram</t>
  </si>
  <si>
    <t>LinkedIn</t>
  </si>
  <si>
    <t>YouTube</t>
  </si>
  <si>
    <t>Reddit</t>
  </si>
  <si>
    <t>Snapchat</t>
  </si>
  <si>
    <t>TikTok</t>
  </si>
  <si>
    <t>Pinterest</t>
  </si>
  <si>
    <t>Messenger</t>
  </si>
  <si>
    <t>WhatsApp</t>
  </si>
  <si>
    <t>Telegram</t>
  </si>
  <si>
    <t>Twitch</t>
  </si>
  <si>
    <t>Signal</t>
  </si>
  <si>
    <t>Discord</t>
  </si>
  <si>
    <t>Aucune (SPONTANÉ)</t>
  </si>
  <si>
    <t>Total 'A utilisé des plateformes en ligne au cours de la semaine dernière'</t>
  </si>
  <si>
    <t>Total 'Have used online platforms in the past week'</t>
  </si>
  <si>
    <t>Aucune</t>
  </si>
  <si>
    <t>None</t>
  </si>
  <si>
    <t>Catholique</t>
  </si>
  <si>
    <t>Catholic</t>
  </si>
  <si>
    <t>Chrétien orthodoxe</t>
  </si>
  <si>
    <t>Orthodox Christian</t>
  </si>
  <si>
    <t>Protestant</t>
  </si>
  <si>
    <t>Autre chrétien</t>
  </si>
  <si>
    <t>Other Christian</t>
  </si>
  <si>
    <t>Juif</t>
  </si>
  <si>
    <t>Jewish</t>
  </si>
  <si>
    <t>Musulman(e) – Chiite</t>
  </si>
  <si>
    <t>Muslim - Shia</t>
  </si>
  <si>
    <t>Musulman(e) - Sunnite</t>
  </si>
  <si>
    <t>Muslim - Sunni</t>
  </si>
  <si>
    <t>Autre Musulman(e)</t>
  </si>
  <si>
    <t>Other muslim</t>
  </si>
  <si>
    <t>Sikh</t>
  </si>
  <si>
    <t>Bouddhiste</t>
  </si>
  <si>
    <t>Buddhist</t>
  </si>
  <si>
    <t>Hindouiste</t>
  </si>
  <si>
    <t>Hindu</t>
  </si>
  <si>
    <t>Athée</t>
  </si>
  <si>
    <t>Atheist</t>
  </si>
  <si>
    <t>Non croyant(e) / Agnostique</t>
  </si>
  <si>
    <t>Non believer/Agnostic</t>
  </si>
  <si>
    <t>Autre</t>
  </si>
  <si>
    <t>Other</t>
  </si>
  <si>
    <t>Refus (SPONTANÉ)</t>
  </si>
  <si>
    <t>Refusal (SPONTANEOUS)</t>
  </si>
  <si>
    <t>Chrétien(ne)</t>
  </si>
  <si>
    <t xml:space="preserve">Christian </t>
  </si>
  <si>
    <t>Juif(ve)</t>
  </si>
  <si>
    <t>Musulman(e)</t>
  </si>
  <si>
    <t>Muslim</t>
  </si>
  <si>
    <t>Sikh(e)</t>
  </si>
  <si>
    <t>Non believer / Agnostic</t>
  </si>
  <si>
    <t>15-24</t>
  </si>
  <si>
    <t>25-39</t>
  </si>
  <si>
    <t>40-54</t>
  </si>
  <si>
    <t>55+</t>
  </si>
  <si>
    <t>Moyenne</t>
  </si>
  <si>
    <t>Average</t>
  </si>
  <si>
    <t>25-34</t>
  </si>
  <si>
    <t>35-44</t>
  </si>
  <si>
    <t>45-54</t>
  </si>
  <si>
    <t>55-64</t>
  </si>
  <si>
    <t>65-74</t>
  </si>
  <si>
    <t>75+</t>
  </si>
  <si>
    <t>15-30</t>
  </si>
  <si>
    <t>31-64</t>
  </si>
  <si>
    <t>65+</t>
  </si>
  <si>
    <t>Avant 1946</t>
  </si>
  <si>
    <t>Before 1946</t>
  </si>
  <si>
    <t>1946 - 1964 'BB'</t>
  </si>
  <si>
    <t>1965 - 1980 'X'</t>
  </si>
  <si>
    <t>1981-1996 'Millenials'</t>
  </si>
  <si>
    <t>1997 et après 'Génération Z'</t>
  </si>
  <si>
    <t>1997 and beyond 'Generation Z'</t>
  </si>
  <si>
    <t>15-</t>
  </si>
  <si>
    <t>16-19</t>
  </si>
  <si>
    <t>20+</t>
  </si>
  <si>
    <t>Toujours étudiant(e)</t>
  </si>
  <si>
    <t>Still Studying</t>
  </si>
  <si>
    <t>Pas fait d'études</t>
  </si>
  <si>
    <t>No full-time education</t>
  </si>
  <si>
    <t>Éducation de la petite enfance (inclus pas d'éducation)</t>
  </si>
  <si>
    <t>Pre-primary education (include no education)</t>
  </si>
  <si>
    <t>Enseignement primaire</t>
  </si>
  <si>
    <t>Primary education</t>
  </si>
  <si>
    <t>Premier cycle de l’enseignement secondaire</t>
  </si>
  <si>
    <t>Lower secondary education</t>
  </si>
  <si>
    <t>Deuxième cycle de l’enseignement secondaire</t>
  </si>
  <si>
    <t>Upper secondary education</t>
  </si>
  <si>
    <t>Enseignement post-secondaire non-supérieur</t>
  </si>
  <si>
    <t>Post-secondary non tertiary (including pre-vocational or vocational education)</t>
  </si>
  <si>
    <t>Enseignement supérieur de cycle court</t>
  </si>
  <si>
    <t>Short-cycle tertiary</t>
  </si>
  <si>
    <t>Niveau licence ou équivalent</t>
  </si>
  <si>
    <t>Bachelor or equivalent</t>
  </si>
  <si>
    <t>Niveau master ou équivalent</t>
  </si>
  <si>
    <t>Master or equivalent</t>
  </si>
  <si>
    <t>Niveau doctorat ou équivalent</t>
  </si>
  <si>
    <t>Doctoral or equivalent</t>
  </si>
  <si>
    <t>Études jusqu’au niveau CITE 4 suivies à l’étranger</t>
  </si>
  <si>
    <t>Education up to ISCED 4 completed abroad</t>
  </si>
  <si>
    <t>Études de niveau CITE 5 et plus suivies à l’étranger</t>
  </si>
  <si>
    <t>Education ISCED 5 and above completed abroad</t>
  </si>
  <si>
    <t>Total 'Faible niveau d’éducation (CITE 0–2)'</t>
  </si>
  <si>
    <t>Total 'Low level of education (ISCED 0-2)'</t>
  </si>
  <si>
    <t>Total 'Niveau d’éducation moyen (CITE 3–4)'</t>
  </si>
  <si>
    <t>Total 'Medium level of education (ISCED 3-4)'</t>
  </si>
  <si>
    <t>Total 'Haut niveau d’éducation (CITE 5–8)'</t>
  </si>
  <si>
    <t>Total 'High level of education (ISCED 5-8)'</t>
  </si>
  <si>
    <t>Faible niveau d’éducation (CITE 0–2)</t>
  </si>
  <si>
    <t>Low level of education (ISCED 0-2)</t>
  </si>
  <si>
    <t>Niveau d’éducation moyen (CITE 3–4)</t>
  </si>
  <si>
    <t>Medium level of education (ISCED 3-4)</t>
  </si>
  <si>
    <t>Haut niveau d’éducation (CITE 5–8)</t>
  </si>
  <si>
    <t>High level of education (ISCED 5-8)</t>
  </si>
  <si>
    <t>Homme</t>
  </si>
  <si>
    <t>Man</t>
  </si>
  <si>
    <t>Femme</t>
  </si>
  <si>
    <t>Woman</t>
  </si>
  <si>
    <t>Aucun / non binaire / ne se reconnaît pas dans les catégories proposées</t>
  </si>
  <si>
    <t>None of the above / Non binary / Do not recognize yourself in above categories</t>
  </si>
  <si>
    <t>Préfère ne pas répondre</t>
  </si>
  <si>
    <t>Prefer not to say</t>
  </si>
  <si>
    <t>En charge des achats courants et des tâches ménagères ou sans aucune activité professionnelle</t>
  </si>
  <si>
    <t>Responsible for ordinary shopping and looking after the home, or without any current occupation, not working</t>
  </si>
  <si>
    <t>Étudiant</t>
  </si>
  <si>
    <t>Student</t>
  </si>
  <si>
    <t>Au chômage ou temporairement sans emploi</t>
  </si>
  <si>
    <t>Unemployed or temporarily not working</t>
  </si>
  <si>
    <t>À la retraite ou en congé de maladie prolongé</t>
  </si>
  <si>
    <t>Retired or unable to work through illness</t>
  </si>
  <si>
    <t>Agriculteur indépendant</t>
  </si>
  <si>
    <t>Self-employed farmer</t>
  </si>
  <si>
    <t>Pêcheur indépendant</t>
  </si>
  <si>
    <t>Self-employed fisherman</t>
  </si>
  <si>
    <t>Travailleur indépendant libéral (avocat, médecin, expert comptable, architecte, etc.)</t>
  </si>
  <si>
    <t>Self-employed professional (lawyer, medical practitioner, accountant, architect, etc.)</t>
  </si>
  <si>
    <t>Commerçant ou propriétaire d’un magasin, artisan ou autre travailleur indépendant</t>
  </si>
  <si>
    <t>Owner of a shop, craftsmen, other self-employed person</t>
  </si>
  <si>
    <t>Industriel, propriétaire (en tout ou en partie) d’une entreprise</t>
  </si>
  <si>
    <t>Business proprietors, owner (full or partner) of a company</t>
  </si>
  <si>
    <t>Profession libérale salariée (docteur, avocat, comptable, architecte, etc.)</t>
  </si>
  <si>
    <t>Employed professional (employed doctor, lawyer, accountant, architect)</t>
  </si>
  <si>
    <t>Directeur, cadre dirigeant ou cadre supérieur salarié (directeur général, directeur exécutif, etc.)</t>
  </si>
  <si>
    <t>Employed position, general management, director or top management (managing directors, director general, other director)</t>
  </si>
  <si>
    <t>Cadre moyen salarié (chef de service, cadre junior, enseignant, technicien)</t>
  </si>
  <si>
    <t>Employed position, middle management, other management (department head, junior manager, teacher, technician)</t>
  </si>
  <si>
    <t>Employé travaillant la plupart du temps dans un bureau</t>
  </si>
  <si>
    <t>Employed position, working mainly at a desk</t>
  </si>
  <si>
    <t>Employé ne travaillant pas dans un bureau, mais voyageant (vendeur, chauffeur, représentant, etc.)</t>
  </si>
  <si>
    <t>Employed position, not at a desk but travelling (salesmen, driver, etc.)</t>
  </si>
  <si>
    <t>Employé ne travaillant pas dans un bureau, mais occupant un emploi dans les services (hôpital, restaurant, police, pompier, etc.)</t>
  </si>
  <si>
    <t>Employed position, not at a desk, but in a service job (hospital, restaurant, police, fireman, etc.)</t>
  </si>
  <si>
    <t>Contremaître, agent de maîtrise salarié</t>
  </si>
  <si>
    <t>Employed position, supervisor</t>
  </si>
  <si>
    <t>Ouvrier qualifié salarié</t>
  </si>
  <si>
    <t>Employed position, skilled manual worker</t>
  </si>
  <si>
    <t>Autre ouvrier (non qualifié) salarié, personnel de maison</t>
  </si>
  <si>
    <t>Other employed (unskilled) manual worker, servant</t>
  </si>
  <si>
    <t>Indépendants</t>
  </si>
  <si>
    <t>Self-employed</t>
  </si>
  <si>
    <t>Salariés</t>
  </si>
  <si>
    <t>Employed</t>
  </si>
  <si>
    <t>Non actifs</t>
  </si>
  <si>
    <t>Not working</t>
  </si>
  <si>
    <t>Cadres / Directeurs</t>
  </si>
  <si>
    <t>Managers</t>
  </si>
  <si>
    <t>Autres employés</t>
  </si>
  <si>
    <t>Other white collars</t>
  </si>
  <si>
    <t>Ouvriers</t>
  </si>
  <si>
    <t>Manual workers</t>
  </si>
  <si>
    <t>Femmes / Hommes au foyer</t>
  </si>
  <si>
    <t>House persons</t>
  </si>
  <si>
    <t>Chômeurs</t>
  </si>
  <si>
    <t>Unemployed</t>
  </si>
  <si>
    <t>Retraités</t>
  </si>
  <si>
    <t>Retired</t>
  </si>
  <si>
    <t>Etudiants</t>
  </si>
  <si>
    <t>Students</t>
  </si>
  <si>
    <t>Base: Répondants qui n'ont pas d'occupation actuelle</t>
  </si>
  <si>
    <t>Base: Respondents who do not have a current ocupation</t>
  </si>
  <si>
    <t>N’a jamais exercé d’activité professionnelle rémunérée</t>
  </si>
  <si>
    <t>Never did any paid work</t>
  </si>
  <si>
    <t>Dans une commune rurale</t>
  </si>
  <si>
    <t>Rural area or village</t>
  </si>
  <si>
    <t>Dans une ville petite ou moyenne</t>
  </si>
  <si>
    <t>Small or middle sized town</t>
  </si>
  <si>
    <t>Dans une grande ville</t>
  </si>
  <si>
    <t>Large town</t>
  </si>
  <si>
    <t>La plupart du temps</t>
  </si>
  <si>
    <t>Most of the time</t>
  </si>
  <si>
    <t>De temps en temps</t>
  </si>
  <si>
    <t>From time to time</t>
  </si>
  <si>
    <t>Pratiquement jamais / jamais</t>
  </si>
  <si>
    <t>Almost never / Never</t>
  </si>
  <si>
    <t>Très satisfait(e)</t>
  </si>
  <si>
    <t>Very satisfied</t>
  </si>
  <si>
    <t>Plutôt satisfait(e)</t>
  </si>
  <si>
    <t>Fairly satisfied</t>
  </si>
  <si>
    <t>Plutôt pas satisfait(e)</t>
  </si>
  <si>
    <t>Not very satisfied</t>
  </si>
  <si>
    <t>Pas du tout satisfait(e)</t>
  </si>
  <si>
    <t>Not at all satisfied</t>
  </si>
  <si>
    <t>Pas très satisfait(e)</t>
  </si>
  <si>
    <t>D62.1. Pouvez-vous dire si… ?</t>
  </si>
  <si>
    <t>D62.1. Could you tell if…?</t>
  </si>
  <si>
    <t>Vous utilisez Internet chez vous, à votre domicile</t>
  </si>
  <si>
    <t>You use the Internet at home, in your home</t>
  </si>
  <si>
    <t>Tous les jours ou presque</t>
  </si>
  <si>
    <t>Every day or almost every day</t>
  </si>
  <si>
    <t>Deux ou trois fois par semaine</t>
  </si>
  <si>
    <t>Two or three times a week</t>
  </si>
  <si>
    <t>Environ une fois par semaine</t>
  </si>
  <si>
    <t>About once a week</t>
  </si>
  <si>
    <t>Deux ou trois fois par mois</t>
  </si>
  <si>
    <t>Two or three times a month</t>
  </si>
  <si>
    <t>Moins souvent</t>
  </si>
  <si>
    <t>Less often</t>
  </si>
  <si>
    <t>Jamais</t>
  </si>
  <si>
    <t>Never</t>
  </si>
  <si>
    <t>Pas d'accès à Internet (SPONTANÉ)</t>
  </si>
  <si>
    <t>No internet access (SPONTANEOUS)</t>
  </si>
  <si>
    <t>D62.2. Pouvez-vous dire si… ?</t>
  </si>
  <si>
    <t>D62.2. Could you tell if…?</t>
  </si>
  <si>
    <t>Vous utilisez Internet sur votre lieu de travail</t>
  </si>
  <si>
    <t>You use the Internet on your place of work</t>
  </si>
  <si>
    <t>D62.3. Pouvez-vous dire si… ?</t>
  </si>
  <si>
    <t>D62.3. Could you tell if…?</t>
  </si>
  <si>
    <t>Vous utilisez Internet sur votre appareil mobile (ordinateur portable, smartphone, tablette, etc.)</t>
  </si>
  <si>
    <t>You use the Internet on your mobile device (laptop, smartphone, tablet, etc.)</t>
  </si>
  <si>
    <t>D62.4. Pouvez-vous dire si… ?</t>
  </si>
  <si>
    <t>D62.4. Could you tell if…?</t>
  </si>
  <si>
    <t>Vous utilisez Internet ailleurs (école, université, cyber-cafés, etc.)</t>
  </si>
  <si>
    <t>You use the Internet somewhere else (school, university, cyber-café, etc.)</t>
  </si>
  <si>
    <t>Tous les jours</t>
  </si>
  <si>
    <t>Everyday</t>
  </si>
  <si>
    <t>Souvent/ Parfois</t>
  </si>
  <si>
    <t>Often/ Sometimes</t>
  </si>
  <si>
    <t>Pas d'accès à Internet (SPONTANE)</t>
  </si>
  <si>
    <t>No Internet access (SPONTANEOUS)</t>
  </si>
  <si>
    <t>Total 'Utilise internet'</t>
  </si>
  <si>
    <t>Total 'Uses Internet'</t>
  </si>
  <si>
    <t>La classe ouvrière de la société</t>
  </si>
  <si>
    <t>The working class of society</t>
  </si>
  <si>
    <t>La classe moyenne inférieure de la société</t>
  </si>
  <si>
    <t>The lower middle class of society</t>
  </si>
  <si>
    <t>La classe moyenne de la société</t>
  </si>
  <si>
    <t>The middle class of society</t>
  </si>
  <si>
    <t>La classe moyenne supérieure de la société</t>
  </si>
  <si>
    <t>The upper middle class of society</t>
  </si>
  <si>
    <t>La classe la plus élevée de la société</t>
  </si>
  <si>
    <t>The higher class of society</t>
  </si>
  <si>
    <t>D73.1. En ce moment, diriez-vous que, d’une manière générale, les choses vont dans la bonne direction ou dans la mauvaise direction… ?</t>
  </si>
  <si>
    <t>D73.1. At the present time, would you say that, in general, things are going in the right direction or in the wrong direction, in…?</t>
  </si>
  <si>
    <t>En (NOTRE PAYS)</t>
  </si>
  <si>
    <t>Les choses vont dans la bonne direction</t>
  </si>
  <si>
    <t>Things are going in the right direction</t>
  </si>
  <si>
    <t>Les choses vont dans la mauvaise direction</t>
  </si>
  <si>
    <t>Things are going in the wrong direction</t>
  </si>
  <si>
    <t>Ni l'un ni l'autre (SPONTANÉ)</t>
  </si>
  <si>
    <t>Neither the one nor the other (SPONTANEOUS)</t>
  </si>
  <si>
    <t>D73.2. En ce moment, diriez-vous que, d’une manière générale, les choses vont dans la bonne direction ou dans la mauvaise direction… ?</t>
  </si>
  <si>
    <t>D73.2. At the present time, would you say that, in general, things are going in the right direction or in the wrong direction, in…?</t>
  </si>
  <si>
    <t>Dans l’Union européenne</t>
  </si>
  <si>
    <t>The European Union</t>
  </si>
  <si>
    <t>D73.3. En ce moment, diriez-vous que, d’une manière générale, les choses vont dans la bonne direction ou dans la mauvaise direction… ?</t>
  </si>
  <si>
    <t>D73.3. At the present time, would you say that, in general, things are going in the right direction or in the wrong direction, in…?</t>
  </si>
  <si>
    <t>Aux États-Unis</t>
  </si>
  <si>
    <t>The USA</t>
  </si>
  <si>
    <t>D73.4. En ce moment, diriez-vous que, d’une manière générale, les choses vont dans la bonne direction ou dans la mauvaise direction… ?</t>
  </si>
  <si>
    <t>D73.4. At the present time, would you say that, in general, things are going in the right direction or in the wrong direction, in…?</t>
  </si>
  <si>
    <t>Dans votre vie personnelle</t>
  </si>
  <si>
    <t>Your life personally</t>
  </si>
  <si>
    <t>D71.1. Quand vous vous retrouvez avec des amis ou des proches, diriez-vous que vous discutez fréquemment, occasionnellement ou jamais à propos … ?</t>
  </si>
  <si>
    <t>D71.1. When you get together with friends or relatives, would you say you discuss frequently, occasionally or never about...?</t>
  </si>
  <si>
    <t>De sujets de politique nationale</t>
  </si>
  <si>
    <t>National political matters</t>
  </si>
  <si>
    <t>Fréquemment</t>
  </si>
  <si>
    <t>Frequently</t>
  </si>
  <si>
    <t>Occasionnellement</t>
  </si>
  <si>
    <t>Occasionally</t>
  </si>
  <si>
    <t>D71.2. Quand vous vous retrouvez avec des amis ou des proches, diriez-vous que vous discutez fréquemment, occasionnellement ou jamais à propos … ?</t>
  </si>
  <si>
    <t>D71.2. When you get together with friends or relatives, would you say you discuss frequently, occasionally or never about...?</t>
  </si>
  <si>
    <t>De sujets de politique européenne</t>
  </si>
  <si>
    <t>European political matters</t>
  </si>
  <si>
    <t>D71.3. Quand vous vous retrouvez avec des amis ou des proches, diriez-vous que vous discutez fréquemment, occasionnellement ou jamais à propos … ?</t>
  </si>
  <si>
    <t>D71.3. When you get together with friends or relatives, would you say you discuss frequently, occasionally or never about...?</t>
  </si>
  <si>
    <t>De sujets de politique locale</t>
  </si>
  <si>
    <t>Local political matters</t>
  </si>
  <si>
    <t>+ +</t>
  </si>
  <si>
    <t>+</t>
  </si>
  <si>
    <t>- -</t>
  </si>
  <si>
    <t>Total 'Satisfait(e)'</t>
  </si>
  <si>
    <t>Total 'Satisfied'</t>
  </si>
  <si>
    <t>Total 'Pas satisfait(e)'</t>
  </si>
  <si>
    <t>Total 'Not Satisfied'</t>
  </si>
  <si>
    <t>Total 'Not satisfied'</t>
  </si>
  <si>
    <t>SD19a.1. Dans quelle mesure êtes-vous d’accord ou pas d’accord avec chacune des affirmations suivantes ?</t>
  </si>
  <si>
    <t>SD19a.1. To what extent do you agree or disagree with each of the following statements.</t>
  </si>
  <si>
    <t>Ma voix compte dans l'Union européenne</t>
  </si>
  <si>
    <t>My voice counts in the EU</t>
  </si>
  <si>
    <t>SD19a.2. Dans quelle mesure êtes-vous d’accord ou pas d’accord avec chacune des affirmations suivantes ?</t>
  </si>
  <si>
    <t>SD19a.2. To what extent do you agree or disagree with each of the following statements.</t>
  </si>
  <si>
    <t>Ma voix compte en (NOTRE PAYS)</t>
  </si>
  <si>
    <t>My voice counts in (OUR COUNTRY)</t>
  </si>
  <si>
    <t>SD19a.3. Dans quelle mesure êtes-vous d’accord ou pas d’accord avec chacune des affirmations suivantes ?</t>
  </si>
  <si>
    <t>SD19a.3. To what extent do you agree or disagree with each of the following statements.</t>
  </si>
  <si>
    <t>La voix de (NOTRE PAYS) compte dans l’Union européenne</t>
  </si>
  <si>
    <t>(OUR COUNTRY)’s voice counts in the EU</t>
  </si>
  <si>
    <t>1 Gauche</t>
  </si>
  <si>
    <t>1 Left</t>
  </si>
  <si>
    <t>10 Droite</t>
  </si>
  <si>
    <t>10 Right</t>
  </si>
  <si>
    <t>(1-4) Gauche</t>
  </si>
  <si>
    <t>(1-4) Left</t>
  </si>
  <si>
    <t>(5-6) Centre</t>
  </si>
  <si>
    <t>(7-10) Droite</t>
  </si>
  <si>
    <t>(7-10) Right</t>
  </si>
  <si>
    <t>(1-2)  Gauche</t>
  </si>
  <si>
    <t>(1-2) Left</t>
  </si>
  <si>
    <t>(3-4)</t>
  </si>
  <si>
    <t>(5-6)  Centre</t>
  </si>
  <si>
    <t>(7-8)</t>
  </si>
  <si>
    <t>(9-10) Droite</t>
  </si>
  <si>
    <t>(9-10) Right</t>
  </si>
  <si>
    <t>Refus</t>
  </si>
  <si>
    <t>Refusal</t>
  </si>
  <si>
    <t>QA8a. En pensant à l’avenir, à quels aspects parmi les suivants l’UE devrait-elle accorder la priorité pour renforcer sa position dans le monde ? En premier ?</t>
  </si>
  <si>
    <t>QA8ab. En pensant à l'avenir, à quels aspects parmi les suivants l'UE devrait-elle accorder la priorité pour renforcer sa position dans le monde ? En premier ? Et ensuite ? (3 RÉPONSES 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</si>
</sst>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2"/>
      <name val="Arial"/>
    </font>
    <font>
      <b/>
      <sz val="10"/>
      <name val="Arial"/>
    </font>
    <font>
      <sz val="8"/>
      <name val="Arial"/>
    </font>
    <font>
      <b/>
      <sz val="8"/>
      <name val="Arial"/>
    </font>
    <font>
      <sz val="7"/>
      <name val="Arial"/>
    </font>
    <font>
      <b/>
      <sz val="7"/>
      <name val="Arial"/>
    </font>
    <font>
      <u/>
      <sz val="10"/>
      <color rgb="FF0563C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4" fillId="0" borderId="1" xfId="0" applyFont="1" applyBorder="1"/>
    <xf numFmtId="0" fontId="6" fillId="0" borderId="3" xfId="0" applyFont="1" applyBorder="1" applyAlignment="1">
      <alignment horizontal="center" vertical="center" wrapText="1"/>
    </xf>
    <xf numFmtId="0" fontId="0" fillId="0" borderId="2" xfId="0" applyBorder="1"/>
    <xf numFmtId="0" fontId="7" fillId="0" borderId="3" xfId="0" applyFont="1" applyBorder="1" applyAlignment="1">
      <alignment horizontal="right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9" fontId="6" fillId="0" borderId="4" xfId="0" applyNumberFormat="1" applyFont="1" applyBorder="1"/>
    <xf numFmtId="0" fontId="6" fillId="0" borderId="4" xfId="0" applyFont="1" applyBorder="1" applyAlignment="1">
      <alignment horizontal="right"/>
    </xf>
    <xf numFmtId="0" fontId="5" fillId="0" borderId="3" xfId="0" applyFont="1" applyBorder="1" applyAlignment="1">
      <alignment horizontal="left" vertical="center"/>
    </xf>
    <xf numFmtId="0" fontId="0" fillId="0" borderId="5" xfId="0" applyBorder="1"/>
    <xf numFmtId="0" fontId="4" fillId="0" borderId="0" xfId="0" applyFont="1" applyAlignment="1">
      <alignment wrapText="1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.42578125" customWidth="1"/>
    <col min="2" max="3" width="100" customWidth="1"/>
  </cols>
  <sheetData>
    <row r="1" spans="1:3" ht="15.75" x14ac:dyDescent="0.25">
      <c r="A1" s="1" t="s">
        <v>0</v>
      </c>
      <c r="B1" s="2" t="s">
        <v>1</v>
      </c>
    </row>
    <row r="2" spans="1:3" ht="15.75" x14ac:dyDescent="0.25">
      <c r="A2" s="1" t="s">
        <v>2</v>
      </c>
      <c r="B2" s="3" t="s">
        <v>3</v>
      </c>
    </row>
    <row r="3" spans="1:3" ht="15.75" x14ac:dyDescent="0.25">
      <c r="A3" s="1" t="s">
        <v>4</v>
      </c>
      <c r="B3" s="2" t="s">
        <v>5</v>
      </c>
    </row>
    <row r="5" spans="1:3" x14ac:dyDescent="0.25">
      <c r="A5" s="4" t="s">
        <v>6</v>
      </c>
      <c r="B5" s="4" t="s">
        <v>7</v>
      </c>
      <c r="C5" s="4" t="s">
        <v>8</v>
      </c>
    </row>
    <row r="6" spans="1:3" x14ac:dyDescent="0.25">
      <c r="A6" s="5" t="str">
        <f>HYPERLINK("#'B'!A1", "B")</f>
        <v>B</v>
      </c>
      <c r="B6" s="6" t="s">
        <v>9</v>
      </c>
      <c r="C6" s="6" t="s">
        <v>10</v>
      </c>
    </row>
    <row r="7" spans="1:3" ht="26.25" x14ac:dyDescent="0.25">
      <c r="A7" s="5" t="str">
        <f>HYPERLINK("#'QA1'!A1", "QA1")</f>
        <v>QA1</v>
      </c>
      <c r="B7" s="6" t="s">
        <v>11</v>
      </c>
      <c r="C7" s="6" t="s">
        <v>12</v>
      </c>
    </row>
    <row r="8" spans="1:3" x14ac:dyDescent="0.25">
      <c r="A8" s="5" t="str">
        <f>HYPERLINK("#'QA2'!A1", "QA2")</f>
        <v>QA2</v>
      </c>
      <c r="B8" s="6" t="s">
        <v>13</v>
      </c>
      <c r="C8" s="6" t="s">
        <v>14</v>
      </c>
    </row>
    <row r="9" spans="1:3" ht="26.25" x14ac:dyDescent="0.25">
      <c r="A9" s="5" t="str">
        <f>HYPERLINK("#'D78'!A1", "D78")</f>
        <v>D78</v>
      </c>
      <c r="B9" s="6" t="s">
        <v>15</v>
      </c>
      <c r="C9" s="6" t="s">
        <v>16</v>
      </c>
    </row>
    <row r="10" spans="1:3" ht="26.25" x14ac:dyDescent="0.25">
      <c r="A10" s="5" t="str">
        <f>HYPERLINK("#'QA3'!A1", "QA3")</f>
        <v>QA3</v>
      </c>
      <c r="B10" s="6" t="s">
        <v>17</v>
      </c>
      <c r="C10" s="6" t="s">
        <v>18</v>
      </c>
    </row>
    <row r="11" spans="1:3" ht="26.25" x14ac:dyDescent="0.25">
      <c r="A11" s="5" t="str">
        <f>HYPERLINK("#'QA4a'!A1", "QA4a")</f>
        <v>QA4a</v>
      </c>
      <c r="B11" s="6" t="s">
        <v>19</v>
      </c>
      <c r="C11" s="6" t="s">
        <v>20</v>
      </c>
    </row>
    <row r="12" spans="1:3" x14ac:dyDescent="0.25">
      <c r="A12" s="5" t="str">
        <f>HYPERLINK("#'QA4b'!A1", "QA4b")</f>
        <v>QA4b</v>
      </c>
      <c r="B12" s="6" t="s">
        <v>21</v>
      </c>
      <c r="C12" s="6" t="s">
        <v>22</v>
      </c>
    </row>
    <row r="13" spans="1:3" ht="26.25" x14ac:dyDescent="0.25">
      <c r="A13" s="5" t="str">
        <f>HYPERLINK("#'QA4ab'!A1", "QA4ab")</f>
        <v>QA4ab</v>
      </c>
      <c r="B13" s="6" t="s">
        <v>23</v>
      </c>
      <c r="C13" s="6" t="s">
        <v>24</v>
      </c>
    </row>
    <row r="14" spans="1:3" ht="26.25" x14ac:dyDescent="0.25">
      <c r="A14" s="5" t="str">
        <f>HYPERLINK("#'QA5a'!A1", "QA5a")</f>
        <v>QA5a</v>
      </c>
      <c r="B14" s="6" t="s">
        <v>25</v>
      </c>
      <c r="C14" s="6" t="s">
        <v>26</v>
      </c>
    </row>
    <row r="15" spans="1:3" x14ac:dyDescent="0.25">
      <c r="A15" s="5" t="str">
        <f>HYPERLINK("#'QA5b'!A1", "QA5b")</f>
        <v>QA5b</v>
      </c>
      <c r="B15" s="6" t="s">
        <v>27</v>
      </c>
      <c r="C15" s="6" t="s">
        <v>28</v>
      </c>
    </row>
    <row r="16" spans="1:3" ht="26.25" x14ac:dyDescent="0.25">
      <c r="A16" s="5" t="str">
        <f>HYPERLINK("#'QA5ab'!A1", "QA5ab")</f>
        <v>QA5ab</v>
      </c>
      <c r="B16" s="6" t="s">
        <v>29</v>
      </c>
      <c r="C16" s="6" t="s">
        <v>30</v>
      </c>
    </row>
    <row r="17" spans="1:3" ht="26.25" x14ac:dyDescent="0.25">
      <c r="A17" s="5" t="str">
        <f>HYPERLINK("#'QA6'!A1", "QA6")</f>
        <v>QA6</v>
      </c>
      <c r="B17" s="6" t="s">
        <v>31</v>
      </c>
      <c r="C17" s="6" t="s">
        <v>32</v>
      </c>
    </row>
    <row r="18" spans="1:3" ht="26.25" x14ac:dyDescent="0.25">
      <c r="A18" s="5" t="str">
        <f>HYPERLINK("#'QA7_1'!A1", "QA7_1")</f>
        <v>QA7_1</v>
      </c>
      <c r="B18" s="6" t="s">
        <v>33</v>
      </c>
      <c r="C18" s="6" t="s">
        <v>34</v>
      </c>
    </row>
    <row r="19" spans="1:3" ht="26.25" x14ac:dyDescent="0.25">
      <c r="A19" s="5" t="str">
        <f>HYPERLINK("#'QA7_2'!A1", "QA7_2")</f>
        <v>QA7_2</v>
      </c>
      <c r="B19" s="6" t="s">
        <v>35</v>
      </c>
      <c r="C19" s="6" t="s">
        <v>36</v>
      </c>
    </row>
    <row r="20" spans="1:3" ht="26.25" x14ac:dyDescent="0.25">
      <c r="A20" s="5" t="str">
        <f>HYPERLINK("#'QA7_3'!A1", "QA7_3")</f>
        <v>QA7_3</v>
      </c>
      <c r="B20" s="6" t="s">
        <v>37</v>
      </c>
      <c r="C20" s="6" t="s">
        <v>38</v>
      </c>
    </row>
    <row r="21" spans="1:3" ht="26.25" x14ac:dyDescent="0.25">
      <c r="A21" s="5" t="str">
        <f>HYPERLINK("#'QA8a'!A1", "QA8a")</f>
        <v>QA8a</v>
      </c>
      <c r="B21" s="6" t="s">
        <v>39</v>
      </c>
      <c r="C21" s="6" t="s">
        <v>40</v>
      </c>
    </row>
    <row r="22" spans="1:3" x14ac:dyDescent="0.25">
      <c r="A22" s="5" t="str">
        <f>HYPERLINK("#'QA8b'!A1", "QA8b")</f>
        <v>QA8b</v>
      </c>
      <c r="B22" s="6" t="s">
        <v>41</v>
      </c>
      <c r="C22" s="6" t="s">
        <v>42</v>
      </c>
    </row>
    <row r="23" spans="1:3" ht="26.25" x14ac:dyDescent="0.25">
      <c r="A23" s="5" t="str">
        <f>HYPERLINK("#'QA8ab'!A1", "QA8ab")</f>
        <v>QA8ab</v>
      </c>
      <c r="B23" s="6" t="s">
        <v>43</v>
      </c>
      <c r="C23" s="6" t="s">
        <v>44</v>
      </c>
    </row>
    <row r="24" spans="1:3" ht="26.25" x14ac:dyDescent="0.25">
      <c r="A24" s="5" t="str">
        <f>HYPERLINK("#'QA9_1'!A1", "QA9_1")</f>
        <v>QA9_1</v>
      </c>
      <c r="B24" s="6" t="s">
        <v>45</v>
      </c>
      <c r="C24" s="6" t="s">
        <v>46</v>
      </c>
    </row>
    <row r="25" spans="1:3" ht="26.25" x14ac:dyDescent="0.25">
      <c r="A25" s="5" t="str">
        <f>HYPERLINK("#'QA9_2'!A1", "QA9_2")</f>
        <v>QA9_2</v>
      </c>
      <c r="B25" s="6" t="s">
        <v>47</v>
      </c>
      <c r="C25" s="6" t="s">
        <v>48</v>
      </c>
    </row>
    <row r="26" spans="1:3" ht="26.25" x14ac:dyDescent="0.25">
      <c r="A26" s="5" t="str">
        <f>HYPERLINK("#'QA9_3'!A1", "QA9_3")</f>
        <v>QA9_3</v>
      </c>
      <c r="B26" s="6" t="s">
        <v>49</v>
      </c>
      <c r="C26" s="6" t="s">
        <v>50</v>
      </c>
    </row>
    <row r="27" spans="1:3" ht="26.25" x14ac:dyDescent="0.25">
      <c r="A27" s="5" t="str">
        <f>HYPERLINK("#'QA9_4'!A1", "QA9_4")</f>
        <v>QA9_4</v>
      </c>
      <c r="B27" s="6" t="s">
        <v>51</v>
      </c>
      <c r="C27" s="6" t="s">
        <v>52</v>
      </c>
    </row>
    <row r="28" spans="1:3" ht="26.25" x14ac:dyDescent="0.25">
      <c r="A28" s="5" t="str">
        <f>HYPERLINK("#'QA10'!A1", "QA10")</f>
        <v>QA10</v>
      </c>
      <c r="B28" s="6" t="s">
        <v>53</v>
      </c>
      <c r="C28" s="6" t="s">
        <v>54</v>
      </c>
    </row>
    <row r="29" spans="1:3" ht="39" x14ac:dyDescent="0.25">
      <c r="A29" s="5" t="str">
        <f>HYPERLINK("#'QA11_1'!A1", "QA11_1")</f>
        <v>QA11_1</v>
      </c>
      <c r="B29" s="6" t="s">
        <v>55</v>
      </c>
      <c r="C29" s="6" t="s">
        <v>56</v>
      </c>
    </row>
    <row r="30" spans="1:3" ht="39" x14ac:dyDescent="0.25">
      <c r="A30" s="5" t="str">
        <f>HYPERLINK("#'QA11_2'!A1", "QA11_2")</f>
        <v>QA11_2</v>
      </c>
      <c r="B30" s="6" t="s">
        <v>57</v>
      </c>
      <c r="C30" s="6" t="s">
        <v>58</v>
      </c>
    </row>
    <row r="31" spans="1:3" ht="51.75" x14ac:dyDescent="0.25">
      <c r="A31" s="5" t="str">
        <f>HYPERLINK("#'QA11_3'!A1", "QA11_3")</f>
        <v>QA11_3</v>
      </c>
      <c r="B31" s="6" t="s">
        <v>59</v>
      </c>
      <c r="C31" s="6" t="s">
        <v>60</v>
      </c>
    </row>
    <row r="32" spans="1:3" ht="51.75" x14ac:dyDescent="0.25">
      <c r="A32" s="5" t="str">
        <f>HYPERLINK("#'QA11_4'!A1", "QA11_4")</f>
        <v>QA11_4</v>
      </c>
      <c r="B32" s="6" t="s">
        <v>61</v>
      </c>
      <c r="C32" s="6" t="s">
        <v>62</v>
      </c>
    </row>
    <row r="33" spans="1:3" ht="51.75" x14ac:dyDescent="0.25">
      <c r="A33" s="5" t="str">
        <f>HYPERLINK("#'QA11_5'!A1", "QA11_5")</f>
        <v>QA11_5</v>
      </c>
      <c r="B33" s="6" t="s">
        <v>63</v>
      </c>
      <c r="C33" s="6" t="s">
        <v>64</v>
      </c>
    </row>
    <row r="34" spans="1:3" ht="39" x14ac:dyDescent="0.25">
      <c r="A34" s="5" t="str">
        <f>HYPERLINK("#'QA11_6'!A1", "QA11_6")</f>
        <v>QA11_6</v>
      </c>
      <c r="B34" s="6" t="s">
        <v>65</v>
      </c>
      <c r="C34" s="6" t="s">
        <v>66</v>
      </c>
    </row>
    <row r="35" spans="1:3" ht="39" x14ac:dyDescent="0.25">
      <c r="A35" s="5" t="str">
        <f>HYPERLINK("#'QA11_7'!A1", "QA11_7")</f>
        <v>QA11_7</v>
      </c>
      <c r="B35" s="6" t="s">
        <v>67</v>
      </c>
      <c r="C35" s="6" t="s">
        <v>68</v>
      </c>
    </row>
    <row r="36" spans="1:3" ht="39" x14ac:dyDescent="0.25">
      <c r="A36" s="5" t="str">
        <f>HYPERLINK("#'QA11_8'!A1", "QA11_8")</f>
        <v>QA11_8</v>
      </c>
      <c r="B36" s="6" t="s">
        <v>69</v>
      </c>
      <c r="C36" s="6" t="s">
        <v>70</v>
      </c>
    </row>
    <row r="37" spans="1:3" ht="51.75" x14ac:dyDescent="0.25">
      <c r="A37" s="5" t="str">
        <f>HYPERLINK("#'QA11_9'!A1", "QA11_9")</f>
        <v>QA11_9</v>
      </c>
      <c r="B37" s="6" t="s">
        <v>71</v>
      </c>
      <c r="C37" s="6" t="s">
        <v>72</v>
      </c>
    </row>
    <row r="38" spans="1:3" ht="64.5" x14ac:dyDescent="0.25">
      <c r="A38" s="5" t="str">
        <f>HYPERLINK("#'QA12_1'!A1", "QA12_1")</f>
        <v>QA12_1</v>
      </c>
      <c r="B38" s="6" t="s">
        <v>73</v>
      </c>
      <c r="C38" s="6" t="s">
        <v>74</v>
      </c>
    </row>
    <row r="39" spans="1:3" ht="39" x14ac:dyDescent="0.25">
      <c r="A39" s="5" t="str">
        <f>HYPERLINK("#'QA12_2'!A1", "QA12_2")</f>
        <v>QA12_2</v>
      </c>
      <c r="B39" s="6" t="s">
        <v>75</v>
      </c>
      <c r="C39" s="6" t="s">
        <v>76</v>
      </c>
    </row>
    <row r="40" spans="1:3" ht="39" x14ac:dyDescent="0.25">
      <c r="A40" s="5" t="str">
        <f>HYPERLINK("#'QA12_3'!A1", "QA12_3")</f>
        <v>QA12_3</v>
      </c>
      <c r="B40" s="6" t="s">
        <v>77</v>
      </c>
      <c r="C40" s="6" t="s">
        <v>78</v>
      </c>
    </row>
    <row r="41" spans="1:3" ht="39" x14ac:dyDescent="0.25">
      <c r="A41" s="5" t="str">
        <f>HYPERLINK("#'QA12_4'!A1", "QA12_4")</f>
        <v>QA12_4</v>
      </c>
      <c r="B41" s="6" t="s">
        <v>79</v>
      </c>
      <c r="C41" s="6" t="s">
        <v>80</v>
      </c>
    </row>
    <row r="42" spans="1:3" ht="51.75" x14ac:dyDescent="0.25">
      <c r="A42" s="5" t="str">
        <f>HYPERLINK("#'QA12_5'!A1", "QA12_5")</f>
        <v>QA12_5</v>
      </c>
      <c r="B42" s="6" t="s">
        <v>81</v>
      </c>
      <c r="C42" s="6" t="s">
        <v>82</v>
      </c>
    </row>
    <row r="43" spans="1:3" ht="51.75" x14ac:dyDescent="0.25">
      <c r="A43" s="5" t="str">
        <f>HYPERLINK("#'QA12_6'!A1", "QA12_6")</f>
        <v>QA12_6</v>
      </c>
      <c r="B43" s="6" t="s">
        <v>83</v>
      </c>
      <c r="C43" s="6" t="s">
        <v>84</v>
      </c>
    </row>
    <row r="44" spans="1:3" ht="51.75" x14ac:dyDescent="0.25">
      <c r="A44" s="5" t="str">
        <f>HYPERLINK("#'QA12_7'!A1", "QA12_7")</f>
        <v>QA12_7</v>
      </c>
      <c r="B44" s="6" t="s">
        <v>85</v>
      </c>
      <c r="C44" s="6" t="s">
        <v>86</v>
      </c>
    </row>
    <row r="45" spans="1:3" ht="39" x14ac:dyDescent="0.25">
      <c r="A45" s="5" t="str">
        <f>HYPERLINK("#'QA12_8'!A1", "QA12_8")</f>
        <v>QA12_8</v>
      </c>
      <c r="B45" s="6" t="s">
        <v>87</v>
      </c>
      <c r="C45" s="6" t="s">
        <v>88</v>
      </c>
    </row>
    <row r="46" spans="1:3" ht="39" x14ac:dyDescent="0.25">
      <c r="A46" s="5" t="str">
        <f>HYPERLINK("#'QA12_9'!A1", "QA12_9")</f>
        <v>QA12_9</v>
      </c>
      <c r="B46" s="6" t="s">
        <v>89</v>
      </c>
      <c r="C46" s="6" t="s">
        <v>90</v>
      </c>
    </row>
    <row r="47" spans="1:3" ht="26.25" x14ac:dyDescent="0.25">
      <c r="A47" s="5" t="str">
        <f>HYPERLINK("#'SD27'!A1", "SD27")</f>
        <v>SD27</v>
      </c>
      <c r="B47" s="6" t="s">
        <v>91</v>
      </c>
      <c r="C47" s="6" t="s">
        <v>92</v>
      </c>
    </row>
    <row r="48" spans="1:3" ht="26.25" x14ac:dyDescent="0.25">
      <c r="A48" s="5" t="str">
        <f>HYPERLINK("#'SOC'!A1", "SOC")</f>
        <v>SOC</v>
      </c>
      <c r="B48" s="6" t="s">
        <v>93</v>
      </c>
      <c r="C48" s="6" t="s">
        <v>94</v>
      </c>
    </row>
    <row r="49" spans="1:3" x14ac:dyDescent="0.25">
      <c r="A49" s="5" t="str">
        <f>HYPERLINK("#'QDSD1'!A1", "QDSD1")</f>
        <v>QDSD1</v>
      </c>
      <c r="B49" s="6" t="s">
        <v>95</v>
      </c>
      <c r="C49" s="6" t="s">
        <v>96</v>
      </c>
    </row>
    <row r="50" spans="1:3" x14ac:dyDescent="0.25">
      <c r="A50" s="5" t="str">
        <f>HYPERLINK("#'QDSD1R'!A1", "QDSD1R")</f>
        <v>QDSD1R</v>
      </c>
      <c r="B50" s="6" t="s">
        <v>97</v>
      </c>
      <c r="C50" s="6" t="s">
        <v>98</v>
      </c>
    </row>
    <row r="51" spans="1:3" x14ac:dyDescent="0.25">
      <c r="A51" s="5" t="str">
        <f>HYPERLINK("#'D11'!A1", "D11")</f>
        <v>D11</v>
      </c>
      <c r="B51" s="6" t="s">
        <v>99</v>
      </c>
      <c r="C51" s="6" t="s">
        <v>100</v>
      </c>
    </row>
    <row r="52" spans="1:3" x14ac:dyDescent="0.25">
      <c r="A52" s="5" t="str">
        <f>HYPERLINK("#'D11R'!A1", "D11R")</f>
        <v>D11R</v>
      </c>
      <c r="B52" s="6" t="s">
        <v>101</v>
      </c>
      <c r="C52" s="6" t="s">
        <v>102</v>
      </c>
    </row>
    <row r="53" spans="1:3" x14ac:dyDescent="0.25">
      <c r="A53" s="5" t="str">
        <f>HYPERLINK("#'D11bis'!A1", "D11bis")</f>
        <v>D11bis</v>
      </c>
      <c r="B53" s="6" t="s">
        <v>103</v>
      </c>
      <c r="C53" s="6" t="s">
        <v>104</v>
      </c>
    </row>
    <row r="54" spans="1:3" x14ac:dyDescent="0.25">
      <c r="A54" s="5" t="str">
        <f>HYPERLINK("#'D11G'!A1", "D11G")</f>
        <v>D11G</v>
      </c>
      <c r="B54" s="6" t="s">
        <v>105</v>
      </c>
      <c r="C54" s="6" t="s">
        <v>106</v>
      </c>
    </row>
    <row r="55" spans="1:3" x14ac:dyDescent="0.25">
      <c r="A55" s="5" t="str">
        <f>HYPERLINK("#'D8'!A1", "D8")</f>
        <v>D8</v>
      </c>
      <c r="B55" s="6" t="s">
        <v>107</v>
      </c>
      <c r="C55" s="6" t="s">
        <v>108</v>
      </c>
    </row>
    <row r="56" spans="1:3" x14ac:dyDescent="0.25">
      <c r="A56" s="5" t="str">
        <f>HYPERLINK("#'D8c'!A1", "D8c")</f>
        <v>D8c</v>
      </c>
      <c r="B56" s="6" t="s">
        <v>109</v>
      </c>
      <c r="C56" s="6" t="s">
        <v>110</v>
      </c>
    </row>
    <row r="57" spans="1:3" x14ac:dyDescent="0.25">
      <c r="A57" s="5" t="str">
        <f>HYPERLINK("#'D8cR2'!A1", "D8cR2")</f>
        <v>D8cR2</v>
      </c>
      <c r="B57" s="6" t="s">
        <v>111</v>
      </c>
      <c r="C57" s="6" t="s">
        <v>112</v>
      </c>
    </row>
    <row r="58" spans="1:3" x14ac:dyDescent="0.25">
      <c r="A58" s="5" t="str">
        <f>HYPERLINK("#'D10'!A1", "D10")</f>
        <v>D10</v>
      </c>
      <c r="B58" s="6" t="s">
        <v>113</v>
      </c>
      <c r="C58" s="6" t="s">
        <v>114</v>
      </c>
    </row>
    <row r="59" spans="1:3" x14ac:dyDescent="0.25">
      <c r="A59" s="5" t="str">
        <f>HYPERLINK("#'D15a'!A1", "D15a")</f>
        <v>D15a</v>
      </c>
      <c r="B59" s="6" t="s">
        <v>115</v>
      </c>
      <c r="C59" s="6" t="s">
        <v>116</v>
      </c>
    </row>
    <row r="60" spans="1:3" x14ac:dyDescent="0.25">
      <c r="A60" s="5" t="str">
        <f>HYPERLINK("#'D15a2'!A1", "D15a2")</f>
        <v>D15a2</v>
      </c>
      <c r="B60" s="6" t="s">
        <v>117</v>
      </c>
      <c r="C60" s="6" t="s">
        <v>118</v>
      </c>
    </row>
    <row r="61" spans="1:3" x14ac:dyDescent="0.25">
      <c r="A61" s="5" t="str">
        <f>HYPERLINK("#'C14'!A1", "C14")</f>
        <v>C14</v>
      </c>
      <c r="B61" s="6" t="s">
        <v>119</v>
      </c>
      <c r="C61" s="6" t="s">
        <v>120</v>
      </c>
    </row>
    <row r="62" spans="1:3" x14ac:dyDescent="0.25">
      <c r="A62" s="5" t="str">
        <f>HYPERLINK("#'D15b'!A1", "D15b")</f>
        <v>D15b</v>
      </c>
      <c r="B62" s="6" t="s">
        <v>121</v>
      </c>
      <c r="C62" s="6" t="s">
        <v>122</v>
      </c>
    </row>
    <row r="63" spans="1:3" x14ac:dyDescent="0.25">
      <c r="A63" s="5" t="str">
        <f>HYPERLINK("#'D15b2'!A1", "D15b2")</f>
        <v>D15b2</v>
      </c>
      <c r="B63" s="6" t="s">
        <v>123</v>
      </c>
      <c r="C63" s="6" t="s">
        <v>124</v>
      </c>
    </row>
    <row r="64" spans="1:3" x14ac:dyDescent="0.25">
      <c r="A64" s="5" t="str">
        <f>HYPERLINK("#'D25'!A1", "D25")</f>
        <v>D25</v>
      </c>
      <c r="B64" s="6" t="s">
        <v>125</v>
      </c>
      <c r="C64" s="6" t="s">
        <v>126</v>
      </c>
    </row>
    <row r="65" spans="1:3" ht="26.25" x14ac:dyDescent="0.25">
      <c r="A65" s="5" t="str">
        <f>HYPERLINK("#'D60'!A1", "D60")</f>
        <v>D60</v>
      </c>
      <c r="B65" s="6" t="s">
        <v>127</v>
      </c>
      <c r="C65" s="6" t="s">
        <v>128</v>
      </c>
    </row>
    <row r="66" spans="1:3" ht="26.25" x14ac:dyDescent="0.25">
      <c r="A66" s="5" t="str">
        <f>HYPERLINK("#'D70'!A1", "D70")</f>
        <v>D70</v>
      </c>
      <c r="B66" s="6" t="s">
        <v>129</v>
      </c>
      <c r="C66" s="6" t="s">
        <v>130</v>
      </c>
    </row>
    <row r="67" spans="1:3" ht="26.25" x14ac:dyDescent="0.25">
      <c r="A67" s="5" t="str">
        <f>HYPERLINK("#'D70a'!A1", "D70a")</f>
        <v>D70a</v>
      </c>
      <c r="B67" s="6" t="s">
        <v>131</v>
      </c>
      <c r="C67" s="6" t="s">
        <v>132</v>
      </c>
    </row>
    <row r="68" spans="1:3" x14ac:dyDescent="0.25">
      <c r="A68" s="5" t="str">
        <f>HYPERLINK("#'D62_1'!A1", "D62_1")</f>
        <v>D62_1</v>
      </c>
      <c r="B68" s="6" t="s">
        <v>133</v>
      </c>
      <c r="C68" s="6" t="s">
        <v>134</v>
      </c>
    </row>
    <row r="69" spans="1:3" x14ac:dyDescent="0.25">
      <c r="A69" s="5" t="str">
        <f>HYPERLINK("#'D62_2'!A1", "D62_2")</f>
        <v>D62_2</v>
      </c>
      <c r="B69" s="6" t="s">
        <v>135</v>
      </c>
      <c r="C69" s="6" t="s">
        <v>136</v>
      </c>
    </row>
    <row r="70" spans="1:3" ht="26.25" x14ac:dyDescent="0.25">
      <c r="A70" s="5" t="str">
        <f>HYPERLINK("#'D62_3'!A1", "D62_3")</f>
        <v>D62_3</v>
      </c>
      <c r="B70" s="6" t="s">
        <v>137</v>
      </c>
      <c r="C70" s="6" t="s">
        <v>138</v>
      </c>
    </row>
    <row r="71" spans="1:3" x14ac:dyDescent="0.25">
      <c r="A71" s="5" t="str">
        <f>HYPERLINK("#'D62_4'!A1", "D62_4")</f>
        <v>D62_4</v>
      </c>
      <c r="B71" s="6" t="s">
        <v>139</v>
      </c>
      <c r="C71" s="6" t="s">
        <v>140</v>
      </c>
    </row>
    <row r="72" spans="1:3" x14ac:dyDescent="0.25">
      <c r="A72" s="5" t="str">
        <f>HYPERLINK("#'D62R'!A1", "D62R")</f>
        <v>D62R</v>
      </c>
      <c r="B72" s="6" t="s">
        <v>141</v>
      </c>
      <c r="C72" s="6" t="s">
        <v>142</v>
      </c>
    </row>
    <row r="73" spans="1:3" x14ac:dyDescent="0.25">
      <c r="A73" s="5" t="str">
        <f>HYPERLINK("#'D63'!A1", "D63")</f>
        <v>D63</v>
      </c>
      <c r="B73" s="6" t="s">
        <v>143</v>
      </c>
      <c r="C73" s="6" t="s">
        <v>144</v>
      </c>
    </row>
    <row r="74" spans="1:3" ht="26.25" x14ac:dyDescent="0.25">
      <c r="A74" s="5" t="str">
        <f>HYPERLINK("#'D73_1'!A1", "D73_1")</f>
        <v>D73_1</v>
      </c>
      <c r="B74" s="6" t="s">
        <v>145</v>
      </c>
      <c r="C74" s="6" t="s">
        <v>146</v>
      </c>
    </row>
    <row r="75" spans="1:3" ht="26.25" x14ac:dyDescent="0.25">
      <c r="A75" s="5" t="str">
        <f>HYPERLINK("#'D73_2'!A1", "D73_2")</f>
        <v>D73_2</v>
      </c>
      <c r="B75" s="6" t="s">
        <v>147</v>
      </c>
      <c r="C75" s="6" t="s">
        <v>148</v>
      </c>
    </row>
    <row r="76" spans="1:3" ht="26.25" x14ac:dyDescent="0.25">
      <c r="A76" s="5" t="str">
        <f>HYPERLINK("#'D73_3'!A1", "D73_3")</f>
        <v>D73_3</v>
      </c>
      <c r="B76" s="6" t="s">
        <v>149</v>
      </c>
      <c r="C76" s="6" t="s">
        <v>150</v>
      </c>
    </row>
    <row r="77" spans="1:3" ht="26.25" x14ac:dyDescent="0.25">
      <c r="A77" s="5" t="str">
        <f>HYPERLINK("#'D73_4'!A1", "D73_4")</f>
        <v>D73_4</v>
      </c>
      <c r="B77" s="6" t="s">
        <v>151</v>
      </c>
      <c r="C77" s="6" t="s">
        <v>152</v>
      </c>
    </row>
    <row r="78" spans="1:3" ht="26.25" x14ac:dyDescent="0.25">
      <c r="A78" s="5" t="str">
        <f>HYPERLINK("#'D71_1'!A1", "D71_1")</f>
        <v>D71_1</v>
      </c>
      <c r="B78" s="6" t="s">
        <v>153</v>
      </c>
      <c r="C78" s="6" t="s">
        <v>154</v>
      </c>
    </row>
    <row r="79" spans="1:3" ht="26.25" x14ac:dyDescent="0.25">
      <c r="A79" s="5" t="str">
        <f>HYPERLINK("#'D71_2'!A1", "D71_2")</f>
        <v>D71_2</v>
      </c>
      <c r="B79" s="6" t="s">
        <v>155</v>
      </c>
      <c r="C79" s="6" t="s">
        <v>156</v>
      </c>
    </row>
    <row r="80" spans="1:3" ht="26.25" x14ac:dyDescent="0.25">
      <c r="A80" s="5" t="str">
        <f>HYPERLINK("#'D71_3'!A1", "D71_3")</f>
        <v>D71_3</v>
      </c>
      <c r="B80" s="6" t="s">
        <v>157</v>
      </c>
      <c r="C80" s="6" t="s">
        <v>158</v>
      </c>
    </row>
    <row r="81" spans="1:3" x14ac:dyDescent="0.25">
      <c r="A81" s="5" t="str">
        <f>HYPERLINK("#'C2'!A1", "C2")</f>
        <v>C2</v>
      </c>
      <c r="B81" s="6" t="s">
        <v>159</v>
      </c>
      <c r="C81" s="6" t="s">
        <v>160</v>
      </c>
    </row>
    <row r="82" spans="1:3" ht="26.25" x14ac:dyDescent="0.25">
      <c r="A82" s="5" t="str">
        <f>HYPERLINK("#'SD18a'!A1", "SD18a")</f>
        <v>SD18a</v>
      </c>
      <c r="B82" s="6" t="s">
        <v>161</v>
      </c>
      <c r="C82" s="6" t="s">
        <v>162</v>
      </c>
    </row>
    <row r="83" spans="1:3" x14ac:dyDescent="0.25">
      <c r="A83" s="5" t="str">
        <f>HYPERLINK("#'SD18b'!A1", "SD18b")</f>
        <v>SD18b</v>
      </c>
      <c r="B83" s="6" t="s">
        <v>163</v>
      </c>
      <c r="C83" s="6" t="s">
        <v>164</v>
      </c>
    </row>
    <row r="84" spans="1:3" ht="26.25" x14ac:dyDescent="0.25">
      <c r="A84" s="5" t="str">
        <f>HYPERLINK("#'SD19a_1'!A1", "SD19a_1")</f>
        <v>SD19a_1</v>
      </c>
      <c r="B84" s="6" t="s">
        <v>165</v>
      </c>
      <c r="C84" s="6" t="s">
        <v>166</v>
      </c>
    </row>
    <row r="85" spans="1:3" ht="26.25" x14ac:dyDescent="0.25">
      <c r="A85" s="5" t="str">
        <f>HYPERLINK("#'SD19a_2'!A1", "SD19a_2")</f>
        <v>SD19a_2</v>
      </c>
      <c r="B85" s="6" t="s">
        <v>167</v>
      </c>
      <c r="C85" s="6" t="s">
        <v>168</v>
      </c>
    </row>
    <row r="86" spans="1:3" ht="26.25" x14ac:dyDescent="0.25">
      <c r="A86" s="5" t="str">
        <f>HYPERLINK("#'SD19a_3'!A1", "SD19a_3")</f>
        <v>SD19a_3</v>
      </c>
      <c r="B86" s="6" t="s">
        <v>169</v>
      </c>
      <c r="C86" s="6" t="s">
        <v>170</v>
      </c>
    </row>
    <row r="87" spans="1:3" ht="39" x14ac:dyDescent="0.25">
      <c r="A87" s="5" t="str">
        <f>HYPERLINK("#'D1'!A1", "D1")</f>
        <v>D1</v>
      </c>
      <c r="B87" s="6" t="s">
        <v>171</v>
      </c>
      <c r="C87" s="6" t="s">
        <v>172</v>
      </c>
    </row>
    <row r="88" spans="1:3" x14ac:dyDescent="0.25">
      <c r="A88" s="5" t="str">
        <f>HYPERLINK("#'D1R1'!A1", "D1R1")</f>
        <v>D1R1</v>
      </c>
      <c r="B88" s="6" t="s">
        <v>173</v>
      </c>
      <c r="C88" s="6" t="s">
        <v>174</v>
      </c>
    </row>
    <row r="89" spans="1:3" x14ac:dyDescent="0.25">
      <c r="A89" s="5" t="str">
        <f>HYPERLINK("#'D1R2'!A1", "D1R2")</f>
        <v>D1R2</v>
      </c>
      <c r="B89" s="6" t="s">
        <v>175</v>
      </c>
      <c r="C89" s="6" t="s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9</v>
      </c>
      <c r="C3" s="18"/>
      <c r="D3" s="18"/>
      <c r="E3" s="18"/>
      <c r="F3" s="18"/>
      <c r="H3" s="18" t="s">
        <v>10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204</v>
      </c>
      <c r="C12" s="12">
        <v>541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1003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</row>
    <row r="13" spans="1:32" x14ac:dyDescent="0.25">
      <c r="A13" s="19"/>
      <c r="B13" s="13" t="s">
        <v>204</v>
      </c>
      <c r="C13" s="14">
        <v>0.02</v>
      </c>
      <c r="D13" s="15" t="s">
        <v>213</v>
      </c>
      <c r="E13" s="15" t="s">
        <v>213</v>
      </c>
      <c r="F13" s="15" t="s">
        <v>213</v>
      </c>
      <c r="G13" s="15" t="s">
        <v>213</v>
      </c>
      <c r="H13" s="15" t="s">
        <v>213</v>
      </c>
      <c r="I13" s="15" t="s">
        <v>213</v>
      </c>
      <c r="J13" s="15" t="s">
        <v>213</v>
      </c>
      <c r="K13" s="15" t="s">
        <v>213</v>
      </c>
      <c r="L13" s="15" t="s">
        <v>213</v>
      </c>
      <c r="M13" s="15" t="s">
        <v>213</v>
      </c>
      <c r="N13" s="15" t="s">
        <v>213</v>
      </c>
      <c r="O13" s="15" t="s">
        <v>213</v>
      </c>
      <c r="P13" s="15" t="s">
        <v>213</v>
      </c>
      <c r="Q13" s="15" t="s">
        <v>213</v>
      </c>
      <c r="R13" s="15" t="s">
        <v>213</v>
      </c>
      <c r="S13" s="15" t="s">
        <v>213</v>
      </c>
      <c r="T13" s="15" t="s">
        <v>213</v>
      </c>
      <c r="U13" s="15" t="s">
        <v>213</v>
      </c>
      <c r="V13" s="15" t="s">
        <v>213</v>
      </c>
      <c r="W13" s="15" t="s">
        <v>213</v>
      </c>
      <c r="X13" s="15" t="s">
        <v>213</v>
      </c>
      <c r="Y13" s="14">
        <v>1</v>
      </c>
      <c r="Z13" s="15" t="s">
        <v>213</v>
      </c>
      <c r="AA13" s="15" t="s">
        <v>213</v>
      </c>
      <c r="AB13" s="15" t="s">
        <v>213</v>
      </c>
      <c r="AC13" s="15" t="s">
        <v>213</v>
      </c>
      <c r="AD13" s="15" t="s">
        <v>213</v>
      </c>
      <c r="AE13" s="15" t="s">
        <v>213</v>
      </c>
      <c r="AF13" s="15" t="s">
        <v>213</v>
      </c>
    </row>
    <row r="14" spans="1:32" x14ac:dyDescent="0.25">
      <c r="A14" s="19"/>
      <c r="B14" s="11" t="s">
        <v>183</v>
      </c>
      <c r="C14" s="12">
        <v>682</v>
      </c>
      <c r="D14" s="12">
        <v>1021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</row>
    <row r="15" spans="1:32" x14ac:dyDescent="0.25">
      <c r="A15" s="19"/>
      <c r="B15" s="13" t="s">
        <v>183</v>
      </c>
      <c r="C15" s="14">
        <v>0.03</v>
      </c>
      <c r="D15" s="14">
        <v>1</v>
      </c>
      <c r="E15" s="15" t="s">
        <v>213</v>
      </c>
      <c r="F15" s="15" t="s">
        <v>213</v>
      </c>
      <c r="G15" s="15" t="s">
        <v>213</v>
      </c>
      <c r="H15" s="15" t="s">
        <v>213</v>
      </c>
      <c r="I15" s="15" t="s">
        <v>213</v>
      </c>
      <c r="J15" s="15" t="s">
        <v>213</v>
      </c>
      <c r="K15" s="15" t="s">
        <v>213</v>
      </c>
      <c r="L15" s="15" t="s">
        <v>213</v>
      </c>
      <c r="M15" s="15" t="s">
        <v>213</v>
      </c>
      <c r="N15" s="15" t="s">
        <v>213</v>
      </c>
      <c r="O15" s="15" t="s">
        <v>213</v>
      </c>
      <c r="P15" s="15" t="s">
        <v>213</v>
      </c>
      <c r="Q15" s="15" t="s">
        <v>213</v>
      </c>
      <c r="R15" s="15" t="s">
        <v>213</v>
      </c>
      <c r="S15" s="15" t="s">
        <v>213</v>
      </c>
      <c r="T15" s="15" t="s">
        <v>213</v>
      </c>
      <c r="U15" s="15" t="s">
        <v>213</v>
      </c>
      <c r="V15" s="15" t="s">
        <v>213</v>
      </c>
      <c r="W15" s="15" t="s">
        <v>213</v>
      </c>
      <c r="X15" s="15" t="s">
        <v>213</v>
      </c>
      <c r="Y15" s="15" t="s">
        <v>213</v>
      </c>
      <c r="Z15" s="15" t="s">
        <v>213</v>
      </c>
      <c r="AA15" s="15" t="s">
        <v>213</v>
      </c>
      <c r="AB15" s="15" t="s">
        <v>213</v>
      </c>
      <c r="AC15" s="15" t="s">
        <v>213</v>
      </c>
      <c r="AD15" s="15" t="s">
        <v>213</v>
      </c>
      <c r="AE15" s="15" t="s">
        <v>213</v>
      </c>
      <c r="AF15" s="15" t="s">
        <v>213</v>
      </c>
    </row>
    <row r="16" spans="1:32" x14ac:dyDescent="0.25">
      <c r="A16" s="19"/>
      <c r="B16" s="11" t="s">
        <v>184</v>
      </c>
      <c r="C16" s="12">
        <v>382</v>
      </c>
      <c r="D16" s="12">
        <v>0</v>
      </c>
      <c r="E16" s="12">
        <v>1046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</row>
    <row r="17" spans="1:32" x14ac:dyDescent="0.25">
      <c r="A17" s="19"/>
      <c r="B17" s="13" t="s">
        <v>184</v>
      </c>
      <c r="C17" s="14">
        <v>0.02</v>
      </c>
      <c r="D17" s="15" t="s">
        <v>213</v>
      </c>
      <c r="E17" s="14">
        <v>1</v>
      </c>
      <c r="F17" s="15" t="s">
        <v>213</v>
      </c>
      <c r="G17" s="15" t="s">
        <v>213</v>
      </c>
      <c r="H17" s="15" t="s">
        <v>213</v>
      </c>
      <c r="I17" s="15" t="s">
        <v>213</v>
      </c>
      <c r="J17" s="15" t="s">
        <v>213</v>
      </c>
      <c r="K17" s="15" t="s">
        <v>213</v>
      </c>
      <c r="L17" s="15" t="s">
        <v>213</v>
      </c>
      <c r="M17" s="15" t="s">
        <v>213</v>
      </c>
      <c r="N17" s="15" t="s">
        <v>213</v>
      </c>
      <c r="O17" s="15" t="s">
        <v>213</v>
      </c>
      <c r="P17" s="15" t="s">
        <v>213</v>
      </c>
      <c r="Q17" s="15" t="s">
        <v>213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213</v>
      </c>
      <c r="W17" s="15" t="s">
        <v>213</v>
      </c>
      <c r="X17" s="15" t="s">
        <v>213</v>
      </c>
      <c r="Y17" s="15" t="s">
        <v>213</v>
      </c>
      <c r="Z17" s="15" t="s">
        <v>213</v>
      </c>
      <c r="AA17" s="15" t="s">
        <v>213</v>
      </c>
      <c r="AB17" s="15" t="s">
        <v>213</v>
      </c>
      <c r="AC17" s="15" t="s">
        <v>213</v>
      </c>
      <c r="AD17" s="15" t="s">
        <v>213</v>
      </c>
      <c r="AE17" s="15" t="s">
        <v>213</v>
      </c>
      <c r="AF17" s="15" t="s">
        <v>213</v>
      </c>
    </row>
    <row r="18" spans="1:32" x14ac:dyDescent="0.25">
      <c r="A18" s="19"/>
      <c r="B18" s="11" t="s">
        <v>197</v>
      </c>
      <c r="C18" s="12">
        <v>56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501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</row>
    <row r="19" spans="1:32" x14ac:dyDescent="0.25">
      <c r="A19" s="19"/>
      <c r="B19" s="13" t="s">
        <v>197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4">
        <v>1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  <row r="20" spans="1:32" x14ac:dyDescent="0.25">
      <c r="A20" s="19"/>
      <c r="B20" s="11" t="s">
        <v>185</v>
      </c>
      <c r="C20" s="12">
        <v>633</v>
      </c>
      <c r="D20" s="12">
        <v>0</v>
      </c>
      <c r="E20" s="12">
        <v>0</v>
      </c>
      <c r="F20" s="12">
        <v>1064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</row>
    <row r="21" spans="1:32" x14ac:dyDescent="0.25">
      <c r="A21" s="19"/>
      <c r="B21" s="13" t="s">
        <v>185</v>
      </c>
      <c r="C21" s="14">
        <v>0.02</v>
      </c>
      <c r="D21" s="15" t="s">
        <v>213</v>
      </c>
      <c r="E21" s="15" t="s">
        <v>213</v>
      </c>
      <c r="F21" s="14">
        <v>1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5" t="s">
        <v>213</v>
      </c>
      <c r="T21" s="15" t="s">
        <v>213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  <row r="22" spans="1:32" x14ac:dyDescent="0.25">
      <c r="A22" s="19"/>
      <c r="B22" s="11" t="s">
        <v>186</v>
      </c>
      <c r="C22" s="12">
        <v>346</v>
      </c>
      <c r="D22" s="12">
        <v>0</v>
      </c>
      <c r="E22" s="12">
        <v>0</v>
      </c>
      <c r="F22" s="12">
        <v>0</v>
      </c>
      <c r="G22" s="12">
        <v>1016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</row>
    <row r="23" spans="1:32" x14ac:dyDescent="0.25">
      <c r="A23" s="19"/>
      <c r="B23" s="13" t="s">
        <v>186</v>
      </c>
      <c r="C23" s="14">
        <v>0.01</v>
      </c>
      <c r="D23" s="15" t="s">
        <v>213</v>
      </c>
      <c r="E23" s="15" t="s">
        <v>213</v>
      </c>
      <c r="F23" s="15" t="s">
        <v>213</v>
      </c>
      <c r="G23" s="14">
        <v>1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  <row r="24" spans="1:32" x14ac:dyDescent="0.25">
      <c r="A24" s="19"/>
      <c r="B24" s="11" t="s">
        <v>190</v>
      </c>
      <c r="C24" s="12">
        <v>80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1006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</row>
    <row r="25" spans="1:32" x14ac:dyDescent="0.25">
      <c r="A25" s="19"/>
      <c r="B25" s="13" t="s">
        <v>190</v>
      </c>
      <c r="C25" s="15" t="s">
        <v>213</v>
      </c>
      <c r="D25" s="15" t="s">
        <v>213</v>
      </c>
      <c r="E25" s="15" t="s">
        <v>213</v>
      </c>
      <c r="F25" s="15" t="s">
        <v>213</v>
      </c>
      <c r="G25" s="15" t="s">
        <v>213</v>
      </c>
      <c r="H25" s="15" t="s">
        <v>213</v>
      </c>
      <c r="I25" s="15" t="s">
        <v>213</v>
      </c>
      <c r="J25" s="15" t="s">
        <v>213</v>
      </c>
      <c r="K25" s="14">
        <v>1</v>
      </c>
      <c r="L25" s="15" t="s">
        <v>213</v>
      </c>
      <c r="M25" s="15" t="s">
        <v>213</v>
      </c>
      <c r="N25" s="15" t="s">
        <v>213</v>
      </c>
      <c r="O25" s="15" t="s">
        <v>213</v>
      </c>
      <c r="P25" s="15" t="s">
        <v>213</v>
      </c>
      <c r="Q25" s="15" t="s">
        <v>213</v>
      </c>
      <c r="R25" s="15" t="s">
        <v>213</v>
      </c>
      <c r="S25" s="15" t="s">
        <v>213</v>
      </c>
      <c r="T25" s="15" t="s">
        <v>213</v>
      </c>
      <c r="U25" s="15" t="s">
        <v>213</v>
      </c>
      <c r="V25" s="15" t="s">
        <v>213</v>
      </c>
      <c r="W25" s="15" t="s">
        <v>213</v>
      </c>
      <c r="X25" s="15" t="s">
        <v>213</v>
      </c>
      <c r="Y25" s="15" t="s">
        <v>213</v>
      </c>
      <c r="Z25" s="15" t="s">
        <v>213</v>
      </c>
      <c r="AA25" s="15" t="s">
        <v>213</v>
      </c>
      <c r="AB25" s="15" t="s">
        <v>213</v>
      </c>
      <c r="AC25" s="15" t="s">
        <v>213</v>
      </c>
      <c r="AD25" s="15" t="s">
        <v>213</v>
      </c>
      <c r="AE25" s="15" t="s">
        <v>213</v>
      </c>
      <c r="AF25" s="15" t="s">
        <v>213</v>
      </c>
    </row>
    <row r="26" spans="1:32" x14ac:dyDescent="0.25">
      <c r="A26" s="19"/>
      <c r="B26" s="11" t="s">
        <v>192</v>
      </c>
      <c r="C26" s="12">
        <v>623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1007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</row>
    <row r="27" spans="1:32" x14ac:dyDescent="0.25">
      <c r="A27" s="19"/>
      <c r="B27" s="13" t="s">
        <v>192</v>
      </c>
      <c r="C27" s="14">
        <v>0.02</v>
      </c>
      <c r="D27" s="15" t="s">
        <v>213</v>
      </c>
      <c r="E27" s="15" t="s">
        <v>213</v>
      </c>
      <c r="F27" s="15" t="s">
        <v>213</v>
      </c>
      <c r="G27" s="15" t="s">
        <v>213</v>
      </c>
      <c r="H27" s="15" t="s">
        <v>213</v>
      </c>
      <c r="I27" s="15" t="s">
        <v>213</v>
      </c>
      <c r="J27" s="15" t="s">
        <v>213</v>
      </c>
      <c r="K27" s="15" t="s">
        <v>213</v>
      </c>
      <c r="L27" s="15" t="s">
        <v>213</v>
      </c>
      <c r="M27" s="14">
        <v>1</v>
      </c>
      <c r="N27" s="15" t="s">
        <v>213</v>
      </c>
      <c r="O27" s="15" t="s">
        <v>213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5" t="s">
        <v>213</v>
      </c>
      <c r="V27" s="15" t="s">
        <v>213</v>
      </c>
      <c r="W27" s="15" t="s">
        <v>213</v>
      </c>
      <c r="X27" s="15" t="s">
        <v>213</v>
      </c>
      <c r="Y27" s="15" t="s">
        <v>213</v>
      </c>
      <c r="Z27" s="15" t="s">
        <v>213</v>
      </c>
      <c r="AA27" s="15" t="s">
        <v>213</v>
      </c>
      <c r="AB27" s="15" t="s">
        <v>213</v>
      </c>
      <c r="AC27" s="15" t="s">
        <v>213</v>
      </c>
      <c r="AD27" s="15" t="s">
        <v>213</v>
      </c>
      <c r="AE27" s="15" t="s">
        <v>213</v>
      </c>
      <c r="AF27" s="15" t="s">
        <v>213</v>
      </c>
    </row>
    <row r="28" spans="1:32" x14ac:dyDescent="0.25">
      <c r="A28" s="19"/>
      <c r="B28" s="11" t="s">
        <v>193</v>
      </c>
      <c r="C28" s="12">
        <v>2909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1011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</row>
    <row r="29" spans="1:32" x14ac:dyDescent="0.25">
      <c r="A29" s="19"/>
      <c r="B29" s="13" t="s">
        <v>193</v>
      </c>
      <c r="C29" s="14">
        <v>0.11</v>
      </c>
      <c r="D29" s="15" t="s">
        <v>213</v>
      </c>
      <c r="E29" s="15" t="s">
        <v>213</v>
      </c>
      <c r="F29" s="15" t="s">
        <v>213</v>
      </c>
      <c r="G29" s="15" t="s">
        <v>213</v>
      </c>
      <c r="H29" s="15" t="s">
        <v>213</v>
      </c>
      <c r="I29" s="15" t="s">
        <v>213</v>
      </c>
      <c r="J29" s="15" t="s">
        <v>213</v>
      </c>
      <c r="K29" s="15" t="s">
        <v>213</v>
      </c>
      <c r="L29" s="15" t="s">
        <v>213</v>
      </c>
      <c r="M29" s="15" t="s">
        <v>213</v>
      </c>
      <c r="N29" s="14">
        <v>1</v>
      </c>
      <c r="O29" s="15" t="s">
        <v>213</v>
      </c>
      <c r="P29" s="15" t="s">
        <v>213</v>
      </c>
      <c r="Q29" s="15" t="s">
        <v>213</v>
      </c>
      <c r="R29" s="15" t="s">
        <v>213</v>
      </c>
      <c r="S29" s="15" t="s">
        <v>213</v>
      </c>
      <c r="T29" s="15" t="s">
        <v>213</v>
      </c>
      <c r="U29" s="15" t="s">
        <v>213</v>
      </c>
      <c r="V29" s="15" t="s">
        <v>213</v>
      </c>
      <c r="W29" s="15" t="s">
        <v>213</v>
      </c>
      <c r="X29" s="15" t="s">
        <v>213</v>
      </c>
      <c r="Y29" s="15" t="s">
        <v>213</v>
      </c>
      <c r="Z29" s="15" t="s">
        <v>213</v>
      </c>
      <c r="AA29" s="15" t="s">
        <v>213</v>
      </c>
      <c r="AB29" s="15" t="s">
        <v>213</v>
      </c>
      <c r="AC29" s="15" t="s">
        <v>213</v>
      </c>
      <c r="AD29" s="15" t="s">
        <v>213</v>
      </c>
      <c r="AE29" s="15" t="s">
        <v>213</v>
      </c>
      <c r="AF29" s="15" t="s">
        <v>213</v>
      </c>
    </row>
    <row r="30" spans="1:32" x14ac:dyDescent="0.25">
      <c r="A30" s="19"/>
      <c r="B30" s="11" t="s">
        <v>210</v>
      </c>
      <c r="C30" s="12">
        <v>329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1001</v>
      </c>
      <c r="AF30" s="12">
        <v>0</v>
      </c>
    </row>
    <row r="31" spans="1:32" x14ac:dyDescent="0.25">
      <c r="A31" s="19"/>
      <c r="B31" s="13" t="s">
        <v>210</v>
      </c>
      <c r="C31" s="14">
        <v>0.01</v>
      </c>
      <c r="D31" s="15" t="s">
        <v>213</v>
      </c>
      <c r="E31" s="15" t="s">
        <v>213</v>
      </c>
      <c r="F31" s="15" t="s">
        <v>213</v>
      </c>
      <c r="G31" s="15" t="s">
        <v>213</v>
      </c>
      <c r="H31" s="15" t="s">
        <v>213</v>
      </c>
      <c r="I31" s="15" t="s">
        <v>213</v>
      </c>
      <c r="J31" s="15" t="s">
        <v>213</v>
      </c>
      <c r="K31" s="15" t="s">
        <v>213</v>
      </c>
      <c r="L31" s="15" t="s">
        <v>213</v>
      </c>
      <c r="M31" s="15" t="s">
        <v>213</v>
      </c>
      <c r="N31" s="15" t="s">
        <v>213</v>
      </c>
      <c r="O31" s="15" t="s">
        <v>213</v>
      </c>
      <c r="P31" s="15" t="s">
        <v>213</v>
      </c>
      <c r="Q31" s="15" t="s">
        <v>213</v>
      </c>
      <c r="R31" s="15" t="s">
        <v>213</v>
      </c>
      <c r="S31" s="15" t="s">
        <v>213</v>
      </c>
      <c r="T31" s="15" t="s">
        <v>213</v>
      </c>
      <c r="U31" s="15" t="s">
        <v>213</v>
      </c>
      <c r="V31" s="15" t="s">
        <v>213</v>
      </c>
      <c r="W31" s="15" t="s">
        <v>213</v>
      </c>
      <c r="X31" s="15" t="s">
        <v>213</v>
      </c>
      <c r="Y31" s="15" t="s">
        <v>213</v>
      </c>
      <c r="Z31" s="15" t="s">
        <v>213</v>
      </c>
      <c r="AA31" s="15" t="s">
        <v>213</v>
      </c>
      <c r="AB31" s="15" t="s">
        <v>213</v>
      </c>
      <c r="AC31" s="15" t="s">
        <v>213</v>
      </c>
      <c r="AD31" s="15" t="s">
        <v>213</v>
      </c>
      <c r="AE31" s="14">
        <v>1</v>
      </c>
      <c r="AF31" s="15" t="s">
        <v>213</v>
      </c>
    </row>
    <row r="32" spans="1:32" x14ac:dyDescent="0.25">
      <c r="A32" s="19"/>
      <c r="B32" s="11" t="s">
        <v>194</v>
      </c>
      <c r="C32" s="12">
        <v>3921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1004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</row>
    <row r="33" spans="1:32" x14ac:dyDescent="0.25">
      <c r="A33" s="19"/>
      <c r="B33" s="13" t="s">
        <v>194</v>
      </c>
      <c r="C33" s="14">
        <v>0.15</v>
      </c>
      <c r="D33" s="15" t="s">
        <v>213</v>
      </c>
      <c r="E33" s="15" t="s">
        <v>213</v>
      </c>
      <c r="F33" s="15" t="s">
        <v>213</v>
      </c>
      <c r="G33" s="15" t="s">
        <v>213</v>
      </c>
      <c r="H33" s="15" t="s">
        <v>213</v>
      </c>
      <c r="I33" s="15" t="s">
        <v>213</v>
      </c>
      <c r="J33" s="15" t="s">
        <v>213</v>
      </c>
      <c r="K33" s="15" t="s">
        <v>213</v>
      </c>
      <c r="L33" s="15" t="s">
        <v>213</v>
      </c>
      <c r="M33" s="15" t="s">
        <v>213</v>
      </c>
      <c r="N33" s="15" t="s">
        <v>213</v>
      </c>
      <c r="O33" s="14">
        <v>1</v>
      </c>
      <c r="P33" s="15" t="s">
        <v>213</v>
      </c>
      <c r="Q33" s="15" t="s">
        <v>213</v>
      </c>
      <c r="R33" s="15" t="s">
        <v>213</v>
      </c>
      <c r="S33" s="15" t="s">
        <v>213</v>
      </c>
      <c r="T33" s="15" t="s">
        <v>213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5" t="s">
        <v>213</v>
      </c>
      <c r="Z33" s="15" t="s">
        <v>213</v>
      </c>
      <c r="AA33" s="15" t="s">
        <v>213</v>
      </c>
      <c r="AB33" s="15" t="s">
        <v>213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x14ac:dyDescent="0.25">
      <c r="A34" s="19"/>
      <c r="B34" s="11" t="s">
        <v>195</v>
      </c>
      <c r="C34" s="12">
        <v>229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1003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</row>
    <row r="35" spans="1:32" x14ac:dyDescent="0.25">
      <c r="A35" s="19"/>
      <c r="B35" s="13" t="s">
        <v>195</v>
      </c>
      <c r="C35" s="14">
        <v>0.01</v>
      </c>
      <c r="D35" s="15" t="s">
        <v>213</v>
      </c>
      <c r="E35" s="15" t="s">
        <v>213</v>
      </c>
      <c r="F35" s="15" t="s">
        <v>213</v>
      </c>
      <c r="G35" s="15" t="s">
        <v>213</v>
      </c>
      <c r="H35" s="15" t="s">
        <v>213</v>
      </c>
      <c r="I35" s="15" t="s">
        <v>213</v>
      </c>
      <c r="J35" s="15" t="s">
        <v>213</v>
      </c>
      <c r="K35" s="15" t="s">
        <v>213</v>
      </c>
      <c r="L35" s="15" t="s">
        <v>213</v>
      </c>
      <c r="M35" s="15" t="s">
        <v>213</v>
      </c>
      <c r="N35" s="15" t="s">
        <v>213</v>
      </c>
      <c r="O35" s="15" t="s">
        <v>213</v>
      </c>
      <c r="P35" s="14">
        <v>1</v>
      </c>
      <c r="Q35" s="15" t="s">
        <v>213</v>
      </c>
      <c r="R35" s="15" t="s">
        <v>213</v>
      </c>
      <c r="S35" s="15" t="s">
        <v>213</v>
      </c>
      <c r="T35" s="15" t="s">
        <v>213</v>
      </c>
      <c r="U35" s="15" t="s">
        <v>213</v>
      </c>
      <c r="V35" s="15" t="s">
        <v>213</v>
      </c>
      <c r="W35" s="15" t="s">
        <v>213</v>
      </c>
      <c r="X35" s="15" t="s">
        <v>213</v>
      </c>
      <c r="Y35" s="15" t="s">
        <v>213</v>
      </c>
      <c r="Z35" s="15" t="s">
        <v>213</v>
      </c>
      <c r="AA35" s="15" t="s">
        <v>213</v>
      </c>
      <c r="AB35" s="15" t="s">
        <v>213</v>
      </c>
      <c r="AC35" s="15" t="s">
        <v>213</v>
      </c>
      <c r="AD35" s="15" t="s">
        <v>213</v>
      </c>
      <c r="AE35" s="15" t="s">
        <v>213</v>
      </c>
      <c r="AF35" s="15" t="s">
        <v>213</v>
      </c>
    </row>
    <row r="36" spans="1:32" x14ac:dyDescent="0.25">
      <c r="A36" s="19"/>
      <c r="B36" s="11" t="s">
        <v>201</v>
      </c>
      <c r="C36" s="12">
        <v>565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1026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</row>
    <row r="37" spans="1:32" x14ac:dyDescent="0.25">
      <c r="A37" s="19"/>
      <c r="B37" s="13" t="s">
        <v>201</v>
      </c>
      <c r="C37" s="14">
        <v>0.02</v>
      </c>
      <c r="D37" s="15" t="s">
        <v>213</v>
      </c>
      <c r="E37" s="15" t="s">
        <v>213</v>
      </c>
      <c r="F37" s="15" t="s">
        <v>213</v>
      </c>
      <c r="G37" s="15" t="s">
        <v>213</v>
      </c>
      <c r="H37" s="15" t="s">
        <v>213</v>
      </c>
      <c r="I37" s="15" t="s">
        <v>213</v>
      </c>
      <c r="J37" s="15" t="s">
        <v>213</v>
      </c>
      <c r="K37" s="15" t="s">
        <v>213</v>
      </c>
      <c r="L37" s="15" t="s">
        <v>213</v>
      </c>
      <c r="M37" s="15" t="s">
        <v>213</v>
      </c>
      <c r="N37" s="15" t="s">
        <v>213</v>
      </c>
      <c r="O37" s="15" t="s">
        <v>213</v>
      </c>
      <c r="P37" s="15" t="s">
        <v>213</v>
      </c>
      <c r="Q37" s="15" t="s">
        <v>213</v>
      </c>
      <c r="R37" s="15" t="s">
        <v>213</v>
      </c>
      <c r="S37" s="15" t="s">
        <v>213</v>
      </c>
      <c r="T37" s="15" t="s">
        <v>213</v>
      </c>
      <c r="U37" s="15" t="s">
        <v>213</v>
      </c>
      <c r="V37" s="14">
        <v>1</v>
      </c>
      <c r="W37" s="15" t="s">
        <v>213</v>
      </c>
      <c r="X37" s="15" t="s">
        <v>213</v>
      </c>
      <c r="Y37" s="15" t="s">
        <v>213</v>
      </c>
      <c r="Z37" s="15" t="s">
        <v>213</v>
      </c>
      <c r="AA37" s="15" t="s">
        <v>213</v>
      </c>
      <c r="AB37" s="15" t="s">
        <v>213</v>
      </c>
      <c r="AC37" s="15" t="s">
        <v>213</v>
      </c>
      <c r="AD37" s="15" t="s">
        <v>213</v>
      </c>
      <c r="AE37" s="15" t="s">
        <v>213</v>
      </c>
      <c r="AF37" s="15" t="s">
        <v>213</v>
      </c>
    </row>
    <row r="38" spans="1:32" x14ac:dyDescent="0.25">
      <c r="A38" s="19"/>
      <c r="B38" s="11" t="s">
        <v>191</v>
      </c>
      <c r="C38" s="12">
        <v>299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1006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</row>
    <row r="39" spans="1:32" x14ac:dyDescent="0.25">
      <c r="A39" s="19"/>
      <c r="B39" s="13" t="s">
        <v>191</v>
      </c>
      <c r="C39" s="14">
        <v>0.01</v>
      </c>
      <c r="D39" s="15" t="s">
        <v>213</v>
      </c>
      <c r="E39" s="15" t="s">
        <v>213</v>
      </c>
      <c r="F39" s="15" t="s">
        <v>213</v>
      </c>
      <c r="G39" s="15" t="s">
        <v>213</v>
      </c>
      <c r="H39" s="15" t="s">
        <v>213</v>
      </c>
      <c r="I39" s="15" t="s">
        <v>213</v>
      </c>
      <c r="J39" s="15" t="s">
        <v>213</v>
      </c>
      <c r="K39" s="15" t="s">
        <v>213</v>
      </c>
      <c r="L39" s="14">
        <v>1</v>
      </c>
      <c r="M39" s="15" t="s">
        <v>213</v>
      </c>
      <c r="N39" s="15" t="s">
        <v>213</v>
      </c>
      <c r="O39" s="15" t="s">
        <v>213</v>
      </c>
      <c r="P39" s="15" t="s">
        <v>213</v>
      </c>
      <c r="Q39" s="15" t="s">
        <v>213</v>
      </c>
      <c r="R39" s="15" t="s">
        <v>213</v>
      </c>
      <c r="S39" s="15" t="s">
        <v>213</v>
      </c>
      <c r="T39" s="15" t="s">
        <v>213</v>
      </c>
      <c r="U39" s="15" t="s">
        <v>213</v>
      </c>
      <c r="V39" s="15" t="s">
        <v>213</v>
      </c>
      <c r="W39" s="15" t="s">
        <v>213</v>
      </c>
      <c r="X39" s="15" t="s">
        <v>213</v>
      </c>
      <c r="Y39" s="15" t="s">
        <v>213</v>
      </c>
      <c r="Z39" s="15" t="s">
        <v>213</v>
      </c>
      <c r="AA39" s="15" t="s">
        <v>213</v>
      </c>
      <c r="AB39" s="15" t="s">
        <v>213</v>
      </c>
      <c r="AC39" s="15" t="s">
        <v>213</v>
      </c>
      <c r="AD39" s="15" t="s">
        <v>213</v>
      </c>
      <c r="AE39" s="15" t="s">
        <v>213</v>
      </c>
      <c r="AF39" s="15" t="s">
        <v>213</v>
      </c>
    </row>
    <row r="40" spans="1:32" x14ac:dyDescent="0.25">
      <c r="A40" s="19"/>
      <c r="B40" s="11" t="s">
        <v>196</v>
      </c>
      <c r="C40" s="12">
        <v>3571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1031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</row>
    <row r="41" spans="1:32" x14ac:dyDescent="0.25">
      <c r="A41" s="19"/>
      <c r="B41" s="13" t="s">
        <v>196</v>
      </c>
      <c r="C41" s="14">
        <v>0.14000000000000001</v>
      </c>
      <c r="D41" s="15" t="s">
        <v>213</v>
      </c>
      <c r="E41" s="15" t="s">
        <v>213</v>
      </c>
      <c r="F41" s="15" t="s">
        <v>213</v>
      </c>
      <c r="G41" s="15" t="s">
        <v>213</v>
      </c>
      <c r="H41" s="15" t="s">
        <v>213</v>
      </c>
      <c r="I41" s="15" t="s">
        <v>213</v>
      </c>
      <c r="J41" s="15" t="s">
        <v>213</v>
      </c>
      <c r="K41" s="15" t="s">
        <v>213</v>
      </c>
      <c r="L41" s="15" t="s">
        <v>213</v>
      </c>
      <c r="M41" s="15" t="s">
        <v>213</v>
      </c>
      <c r="N41" s="15" t="s">
        <v>213</v>
      </c>
      <c r="O41" s="15" t="s">
        <v>213</v>
      </c>
      <c r="P41" s="15" t="s">
        <v>213</v>
      </c>
      <c r="Q41" s="14">
        <v>1</v>
      </c>
      <c r="R41" s="15" t="s">
        <v>213</v>
      </c>
      <c r="S41" s="15" t="s">
        <v>213</v>
      </c>
      <c r="T41" s="15" t="s">
        <v>213</v>
      </c>
      <c r="U41" s="15" t="s">
        <v>213</v>
      </c>
      <c r="V41" s="15" t="s">
        <v>213</v>
      </c>
      <c r="W41" s="15" t="s">
        <v>213</v>
      </c>
      <c r="X41" s="15" t="s">
        <v>213</v>
      </c>
      <c r="Y41" s="15" t="s">
        <v>213</v>
      </c>
      <c r="Z41" s="15" t="s">
        <v>213</v>
      </c>
      <c r="AA41" s="15" t="s">
        <v>213</v>
      </c>
      <c r="AB41" s="15" t="s">
        <v>213</v>
      </c>
      <c r="AC41" s="15" t="s">
        <v>213</v>
      </c>
      <c r="AD41" s="15" t="s">
        <v>213</v>
      </c>
      <c r="AE41" s="15" t="s">
        <v>213</v>
      </c>
      <c r="AF41" s="15" t="s">
        <v>213</v>
      </c>
    </row>
    <row r="42" spans="1:32" x14ac:dyDescent="0.25">
      <c r="A42" s="19"/>
      <c r="B42" s="11" t="s">
        <v>199</v>
      </c>
      <c r="C42" s="12">
        <v>170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1023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</row>
    <row r="43" spans="1:32" x14ac:dyDescent="0.25">
      <c r="A43" s="19"/>
      <c r="B43" s="13" t="s">
        <v>199</v>
      </c>
      <c r="C43" s="14">
        <v>0.01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5" t="s">
        <v>213</v>
      </c>
      <c r="L43" s="15" t="s">
        <v>213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5" t="s">
        <v>213</v>
      </c>
      <c r="T43" s="14">
        <v>1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5" t="s">
        <v>213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200</v>
      </c>
      <c r="C44" s="12">
        <v>39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508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</row>
    <row r="45" spans="1:32" x14ac:dyDescent="0.25">
      <c r="A45" s="19"/>
      <c r="B45" s="13" t="s">
        <v>200</v>
      </c>
      <c r="C45" s="15" t="s">
        <v>213</v>
      </c>
      <c r="D45" s="15" t="s">
        <v>213</v>
      </c>
      <c r="E45" s="15" t="s">
        <v>213</v>
      </c>
      <c r="F45" s="15" t="s">
        <v>213</v>
      </c>
      <c r="G45" s="15" t="s">
        <v>213</v>
      </c>
      <c r="H45" s="15" t="s">
        <v>213</v>
      </c>
      <c r="I45" s="15" t="s">
        <v>213</v>
      </c>
      <c r="J45" s="15" t="s">
        <v>213</v>
      </c>
      <c r="K45" s="15" t="s">
        <v>213</v>
      </c>
      <c r="L45" s="15" t="s">
        <v>213</v>
      </c>
      <c r="M45" s="15" t="s">
        <v>213</v>
      </c>
      <c r="N45" s="15" t="s">
        <v>213</v>
      </c>
      <c r="O45" s="15" t="s">
        <v>213</v>
      </c>
      <c r="P45" s="15" t="s">
        <v>213</v>
      </c>
      <c r="Q45" s="15" t="s">
        <v>213</v>
      </c>
      <c r="R45" s="15" t="s">
        <v>213</v>
      </c>
      <c r="S45" s="15" t="s">
        <v>213</v>
      </c>
      <c r="T45" s="15" t="s">
        <v>213</v>
      </c>
      <c r="U45" s="14">
        <v>1</v>
      </c>
      <c r="V45" s="15" t="s">
        <v>213</v>
      </c>
      <c r="W45" s="15" t="s">
        <v>213</v>
      </c>
      <c r="X45" s="15" t="s">
        <v>213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5" t="s">
        <v>213</v>
      </c>
      <c r="AF45" s="15" t="s">
        <v>213</v>
      </c>
    </row>
    <row r="46" spans="1:32" x14ac:dyDescent="0.25">
      <c r="A46" s="19"/>
      <c r="B46" s="11" t="s">
        <v>198</v>
      </c>
      <c r="C46" s="12">
        <v>109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1004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</row>
    <row r="47" spans="1:32" x14ac:dyDescent="0.25">
      <c r="A47" s="19"/>
      <c r="B47" s="13" t="s">
        <v>198</v>
      </c>
      <c r="C47" s="15" t="s">
        <v>213</v>
      </c>
      <c r="D47" s="15" t="s">
        <v>213</v>
      </c>
      <c r="E47" s="15" t="s">
        <v>213</v>
      </c>
      <c r="F47" s="15" t="s">
        <v>213</v>
      </c>
      <c r="G47" s="15" t="s">
        <v>213</v>
      </c>
      <c r="H47" s="15" t="s">
        <v>213</v>
      </c>
      <c r="I47" s="15" t="s">
        <v>213</v>
      </c>
      <c r="J47" s="15" t="s">
        <v>213</v>
      </c>
      <c r="K47" s="15" t="s">
        <v>213</v>
      </c>
      <c r="L47" s="15" t="s">
        <v>213</v>
      </c>
      <c r="M47" s="15" t="s">
        <v>213</v>
      </c>
      <c r="N47" s="15" t="s">
        <v>213</v>
      </c>
      <c r="O47" s="15" t="s">
        <v>213</v>
      </c>
      <c r="P47" s="15" t="s">
        <v>213</v>
      </c>
      <c r="Q47" s="15" t="s">
        <v>213</v>
      </c>
      <c r="R47" s="15" t="s">
        <v>213</v>
      </c>
      <c r="S47" s="14">
        <v>1</v>
      </c>
      <c r="T47" s="15" t="s">
        <v>213</v>
      </c>
      <c r="U47" s="15" t="s">
        <v>213</v>
      </c>
      <c r="V47" s="15" t="s">
        <v>213</v>
      </c>
      <c r="W47" s="15" t="s">
        <v>213</v>
      </c>
      <c r="X47" s="15" t="s">
        <v>213</v>
      </c>
      <c r="Y47" s="15" t="s">
        <v>213</v>
      </c>
      <c r="Z47" s="15" t="s">
        <v>213</v>
      </c>
      <c r="AA47" s="15" t="s">
        <v>213</v>
      </c>
      <c r="AB47" s="15" t="s">
        <v>213</v>
      </c>
      <c r="AC47" s="15" t="s">
        <v>213</v>
      </c>
      <c r="AD47" s="15" t="s">
        <v>213</v>
      </c>
      <c r="AE47" s="15" t="s">
        <v>213</v>
      </c>
      <c r="AF47" s="15" t="s">
        <v>213</v>
      </c>
    </row>
    <row r="48" spans="1:32" x14ac:dyDescent="0.25">
      <c r="A48" s="19"/>
      <c r="B48" s="11" t="s">
        <v>202</v>
      </c>
      <c r="C48" s="12">
        <v>34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502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</row>
    <row r="49" spans="1:32" x14ac:dyDescent="0.25">
      <c r="A49" s="19"/>
      <c r="B49" s="13" t="s">
        <v>202</v>
      </c>
      <c r="C49" s="15" t="s">
        <v>213</v>
      </c>
      <c r="D49" s="15" t="s">
        <v>213</v>
      </c>
      <c r="E49" s="15" t="s">
        <v>213</v>
      </c>
      <c r="F49" s="15" t="s">
        <v>213</v>
      </c>
      <c r="G49" s="15" t="s">
        <v>213</v>
      </c>
      <c r="H49" s="15" t="s">
        <v>213</v>
      </c>
      <c r="I49" s="15" t="s">
        <v>213</v>
      </c>
      <c r="J49" s="15" t="s">
        <v>213</v>
      </c>
      <c r="K49" s="15" t="s">
        <v>213</v>
      </c>
      <c r="L49" s="15" t="s">
        <v>213</v>
      </c>
      <c r="M49" s="15" t="s">
        <v>213</v>
      </c>
      <c r="N49" s="15" t="s">
        <v>213</v>
      </c>
      <c r="O49" s="15" t="s">
        <v>213</v>
      </c>
      <c r="P49" s="15" t="s">
        <v>213</v>
      </c>
      <c r="Q49" s="15" t="s">
        <v>213</v>
      </c>
      <c r="R49" s="15" t="s">
        <v>213</v>
      </c>
      <c r="S49" s="15" t="s">
        <v>213</v>
      </c>
      <c r="T49" s="15" t="s">
        <v>213</v>
      </c>
      <c r="U49" s="15" t="s">
        <v>213</v>
      </c>
      <c r="V49" s="15" t="s">
        <v>213</v>
      </c>
      <c r="W49" s="14">
        <v>1</v>
      </c>
      <c r="X49" s="15" t="s">
        <v>213</v>
      </c>
      <c r="Y49" s="15" t="s">
        <v>213</v>
      </c>
      <c r="Z49" s="15" t="s">
        <v>213</v>
      </c>
      <c r="AA49" s="15" t="s">
        <v>213</v>
      </c>
      <c r="AB49" s="15" t="s">
        <v>213</v>
      </c>
      <c r="AC49" s="15" t="s">
        <v>213</v>
      </c>
      <c r="AD49" s="15" t="s">
        <v>213</v>
      </c>
      <c r="AE49" s="15" t="s">
        <v>213</v>
      </c>
      <c r="AF49" s="15" t="s">
        <v>213</v>
      </c>
    </row>
    <row r="50" spans="1:32" x14ac:dyDescent="0.25">
      <c r="A50" s="19"/>
      <c r="B50" s="11" t="s">
        <v>203</v>
      </c>
      <c r="C50" s="12">
        <v>1050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1010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s="19"/>
      <c r="B51" s="13" t="s">
        <v>203</v>
      </c>
      <c r="C51" s="14">
        <v>0.04</v>
      </c>
      <c r="D51" s="15" t="s">
        <v>213</v>
      </c>
      <c r="E51" s="15" t="s">
        <v>213</v>
      </c>
      <c r="F51" s="15" t="s">
        <v>213</v>
      </c>
      <c r="G51" s="15" t="s">
        <v>213</v>
      </c>
      <c r="H51" s="15" t="s">
        <v>213</v>
      </c>
      <c r="I51" s="15" t="s">
        <v>213</v>
      </c>
      <c r="J51" s="15" t="s">
        <v>213</v>
      </c>
      <c r="K51" s="15" t="s">
        <v>213</v>
      </c>
      <c r="L51" s="15" t="s">
        <v>213</v>
      </c>
      <c r="M51" s="15" t="s">
        <v>213</v>
      </c>
      <c r="N51" s="15" t="s">
        <v>213</v>
      </c>
      <c r="O51" s="15" t="s">
        <v>213</v>
      </c>
      <c r="P51" s="15" t="s">
        <v>213</v>
      </c>
      <c r="Q51" s="15" t="s">
        <v>213</v>
      </c>
      <c r="R51" s="15" t="s">
        <v>213</v>
      </c>
      <c r="S51" s="15" t="s">
        <v>213</v>
      </c>
      <c r="T51" s="15" t="s">
        <v>213</v>
      </c>
      <c r="U51" s="15" t="s">
        <v>213</v>
      </c>
      <c r="V51" s="15" t="s">
        <v>213</v>
      </c>
      <c r="W51" s="15" t="s">
        <v>213</v>
      </c>
      <c r="X51" s="14">
        <v>1</v>
      </c>
      <c r="Y51" s="15" t="s">
        <v>213</v>
      </c>
      <c r="Z51" s="15" t="s">
        <v>213</v>
      </c>
      <c r="AA51" s="15" t="s">
        <v>213</v>
      </c>
      <c r="AB51" s="15" t="s">
        <v>213</v>
      </c>
      <c r="AC51" s="15" t="s">
        <v>213</v>
      </c>
      <c r="AD51" s="15" t="s">
        <v>213</v>
      </c>
      <c r="AE51" s="15" t="s">
        <v>213</v>
      </c>
      <c r="AF51" s="15" t="s">
        <v>213</v>
      </c>
    </row>
    <row r="52" spans="1:32" x14ac:dyDescent="0.25">
      <c r="A52" s="19"/>
      <c r="B52" s="11" t="s">
        <v>205</v>
      </c>
      <c r="C52" s="12">
        <v>2143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1016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</row>
    <row r="53" spans="1:32" x14ac:dyDescent="0.25">
      <c r="A53" s="19"/>
      <c r="B53" s="13" t="s">
        <v>205</v>
      </c>
      <c r="C53" s="14">
        <v>0.08</v>
      </c>
      <c r="D53" s="15" t="s">
        <v>213</v>
      </c>
      <c r="E53" s="15" t="s">
        <v>213</v>
      </c>
      <c r="F53" s="15" t="s">
        <v>213</v>
      </c>
      <c r="G53" s="15" t="s">
        <v>213</v>
      </c>
      <c r="H53" s="15" t="s">
        <v>213</v>
      </c>
      <c r="I53" s="15" t="s">
        <v>213</v>
      </c>
      <c r="J53" s="15" t="s">
        <v>213</v>
      </c>
      <c r="K53" s="15" t="s">
        <v>213</v>
      </c>
      <c r="L53" s="15" t="s">
        <v>213</v>
      </c>
      <c r="M53" s="15" t="s">
        <v>213</v>
      </c>
      <c r="N53" s="15" t="s">
        <v>213</v>
      </c>
      <c r="O53" s="15" t="s">
        <v>213</v>
      </c>
      <c r="P53" s="15" t="s">
        <v>213</v>
      </c>
      <c r="Q53" s="15" t="s">
        <v>213</v>
      </c>
      <c r="R53" s="15" t="s">
        <v>213</v>
      </c>
      <c r="S53" s="15" t="s">
        <v>213</v>
      </c>
      <c r="T53" s="15" t="s">
        <v>213</v>
      </c>
      <c r="U53" s="15" t="s">
        <v>213</v>
      </c>
      <c r="V53" s="15" t="s">
        <v>213</v>
      </c>
      <c r="W53" s="15" t="s">
        <v>213</v>
      </c>
      <c r="X53" s="15" t="s">
        <v>213</v>
      </c>
      <c r="Y53" s="15" t="s">
        <v>213</v>
      </c>
      <c r="Z53" s="14">
        <v>1</v>
      </c>
      <c r="AA53" s="15" t="s">
        <v>213</v>
      </c>
      <c r="AB53" s="15" t="s">
        <v>213</v>
      </c>
      <c r="AC53" s="15" t="s">
        <v>213</v>
      </c>
      <c r="AD53" s="15" t="s">
        <v>213</v>
      </c>
      <c r="AE53" s="15" t="s">
        <v>213</v>
      </c>
      <c r="AF53" s="15" t="s">
        <v>213</v>
      </c>
    </row>
    <row r="54" spans="1:32" x14ac:dyDescent="0.25">
      <c r="A54" s="19"/>
      <c r="B54" s="11" t="s">
        <v>206</v>
      </c>
      <c r="C54" s="12">
        <v>640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1037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</row>
    <row r="55" spans="1:32" x14ac:dyDescent="0.25">
      <c r="A55" s="19"/>
      <c r="B55" s="13" t="s">
        <v>206</v>
      </c>
      <c r="C55" s="14">
        <v>0.03</v>
      </c>
      <c r="D55" s="15" t="s">
        <v>213</v>
      </c>
      <c r="E55" s="15" t="s">
        <v>213</v>
      </c>
      <c r="F55" s="15" t="s">
        <v>213</v>
      </c>
      <c r="G55" s="15" t="s">
        <v>213</v>
      </c>
      <c r="H55" s="15" t="s">
        <v>213</v>
      </c>
      <c r="I55" s="15" t="s">
        <v>213</v>
      </c>
      <c r="J55" s="15" t="s">
        <v>213</v>
      </c>
      <c r="K55" s="15" t="s">
        <v>213</v>
      </c>
      <c r="L55" s="15" t="s">
        <v>213</v>
      </c>
      <c r="M55" s="15" t="s">
        <v>213</v>
      </c>
      <c r="N55" s="15" t="s">
        <v>213</v>
      </c>
      <c r="O55" s="15" t="s">
        <v>213</v>
      </c>
      <c r="P55" s="15" t="s">
        <v>213</v>
      </c>
      <c r="Q55" s="15" t="s">
        <v>213</v>
      </c>
      <c r="R55" s="15" t="s">
        <v>213</v>
      </c>
      <c r="S55" s="15" t="s">
        <v>213</v>
      </c>
      <c r="T55" s="15" t="s">
        <v>213</v>
      </c>
      <c r="U55" s="15" t="s">
        <v>213</v>
      </c>
      <c r="V55" s="15" t="s">
        <v>213</v>
      </c>
      <c r="W55" s="15" t="s">
        <v>213</v>
      </c>
      <c r="X55" s="15" t="s">
        <v>213</v>
      </c>
      <c r="Y55" s="15" t="s">
        <v>213</v>
      </c>
      <c r="Z55" s="15" t="s">
        <v>213</v>
      </c>
      <c r="AA55" s="14">
        <v>1</v>
      </c>
      <c r="AB55" s="15" t="s">
        <v>213</v>
      </c>
      <c r="AC55" s="15" t="s">
        <v>213</v>
      </c>
      <c r="AD55" s="15" t="s">
        <v>213</v>
      </c>
      <c r="AE55" s="15" t="s">
        <v>213</v>
      </c>
      <c r="AF55" s="15" t="s">
        <v>213</v>
      </c>
    </row>
    <row r="56" spans="1:32" x14ac:dyDescent="0.25">
      <c r="A56" s="19"/>
      <c r="B56" s="11" t="s">
        <v>207</v>
      </c>
      <c r="C56" s="12">
        <v>1106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1041</v>
      </c>
      <c r="AC56" s="12">
        <v>0</v>
      </c>
      <c r="AD56" s="12">
        <v>0</v>
      </c>
      <c r="AE56" s="12">
        <v>0</v>
      </c>
      <c r="AF56" s="12">
        <v>0</v>
      </c>
    </row>
    <row r="57" spans="1:32" x14ac:dyDescent="0.25">
      <c r="A57" s="19"/>
      <c r="B57" s="13" t="s">
        <v>207</v>
      </c>
      <c r="C57" s="14">
        <v>0.04</v>
      </c>
      <c r="D57" s="15" t="s">
        <v>213</v>
      </c>
      <c r="E57" s="15" t="s">
        <v>213</v>
      </c>
      <c r="F57" s="15" t="s">
        <v>213</v>
      </c>
      <c r="G57" s="15" t="s">
        <v>213</v>
      </c>
      <c r="H57" s="15" t="s">
        <v>213</v>
      </c>
      <c r="I57" s="15" t="s">
        <v>213</v>
      </c>
      <c r="J57" s="15" t="s">
        <v>213</v>
      </c>
      <c r="K57" s="15" t="s">
        <v>213</v>
      </c>
      <c r="L57" s="15" t="s">
        <v>213</v>
      </c>
      <c r="M57" s="15" t="s">
        <v>213</v>
      </c>
      <c r="N57" s="15" t="s">
        <v>213</v>
      </c>
      <c r="O57" s="15" t="s">
        <v>213</v>
      </c>
      <c r="P57" s="15" t="s">
        <v>213</v>
      </c>
      <c r="Q57" s="15" t="s">
        <v>213</v>
      </c>
      <c r="R57" s="15" t="s">
        <v>213</v>
      </c>
      <c r="S57" s="15" t="s">
        <v>213</v>
      </c>
      <c r="T57" s="15" t="s">
        <v>213</v>
      </c>
      <c r="U57" s="15" t="s">
        <v>213</v>
      </c>
      <c r="V57" s="15" t="s">
        <v>213</v>
      </c>
      <c r="W57" s="15" t="s">
        <v>213</v>
      </c>
      <c r="X57" s="15" t="s">
        <v>213</v>
      </c>
      <c r="Y57" s="15" t="s">
        <v>213</v>
      </c>
      <c r="Z57" s="15" t="s">
        <v>213</v>
      </c>
      <c r="AA57" s="15" t="s">
        <v>213</v>
      </c>
      <c r="AB57" s="14">
        <v>1</v>
      </c>
      <c r="AC57" s="15" t="s">
        <v>213</v>
      </c>
      <c r="AD57" s="15" t="s">
        <v>213</v>
      </c>
      <c r="AE57" s="15" t="s">
        <v>213</v>
      </c>
      <c r="AF57" s="15" t="s">
        <v>213</v>
      </c>
    </row>
    <row r="58" spans="1:32" x14ac:dyDescent="0.25">
      <c r="A58" s="19"/>
      <c r="B58" s="11" t="s">
        <v>211</v>
      </c>
      <c r="C58" s="12">
        <v>603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1031</v>
      </c>
    </row>
    <row r="59" spans="1:32" x14ac:dyDescent="0.25">
      <c r="A59" s="19"/>
      <c r="B59" s="13" t="s">
        <v>211</v>
      </c>
      <c r="C59" s="14">
        <v>0.02</v>
      </c>
      <c r="D59" s="15" t="s">
        <v>213</v>
      </c>
      <c r="E59" s="15" t="s">
        <v>213</v>
      </c>
      <c r="F59" s="15" t="s">
        <v>213</v>
      </c>
      <c r="G59" s="15" t="s">
        <v>213</v>
      </c>
      <c r="H59" s="15" t="s">
        <v>213</v>
      </c>
      <c r="I59" s="15" t="s">
        <v>213</v>
      </c>
      <c r="J59" s="15" t="s">
        <v>213</v>
      </c>
      <c r="K59" s="15" t="s">
        <v>213</v>
      </c>
      <c r="L59" s="15" t="s">
        <v>213</v>
      </c>
      <c r="M59" s="15" t="s">
        <v>213</v>
      </c>
      <c r="N59" s="15" t="s">
        <v>213</v>
      </c>
      <c r="O59" s="15" t="s">
        <v>213</v>
      </c>
      <c r="P59" s="15" t="s">
        <v>213</v>
      </c>
      <c r="Q59" s="15" t="s">
        <v>213</v>
      </c>
      <c r="R59" s="15" t="s">
        <v>213</v>
      </c>
      <c r="S59" s="15" t="s">
        <v>213</v>
      </c>
      <c r="T59" s="15" t="s">
        <v>213</v>
      </c>
      <c r="U59" s="15" t="s">
        <v>213</v>
      </c>
      <c r="V59" s="15" t="s">
        <v>213</v>
      </c>
      <c r="W59" s="15" t="s">
        <v>213</v>
      </c>
      <c r="X59" s="15" t="s">
        <v>213</v>
      </c>
      <c r="Y59" s="15" t="s">
        <v>213</v>
      </c>
      <c r="Z59" s="15" t="s">
        <v>213</v>
      </c>
      <c r="AA59" s="15" t="s">
        <v>213</v>
      </c>
      <c r="AB59" s="15" t="s">
        <v>213</v>
      </c>
      <c r="AC59" s="15" t="s">
        <v>213</v>
      </c>
      <c r="AD59" s="15" t="s">
        <v>213</v>
      </c>
      <c r="AE59" s="15" t="s">
        <v>213</v>
      </c>
      <c r="AF59" s="14">
        <v>1</v>
      </c>
    </row>
    <row r="60" spans="1:32" x14ac:dyDescent="0.25">
      <c r="A60" s="19"/>
      <c r="B60" s="11" t="s">
        <v>208</v>
      </c>
      <c r="C60" s="12">
        <v>125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1005</v>
      </c>
      <c r="AD60" s="12">
        <v>0</v>
      </c>
      <c r="AE60" s="12">
        <v>0</v>
      </c>
      <c r="AF60" s="12">
        <v>0</v>
      </c>
    </row>
    <row r="61" spans="1:32" x14ac:dyDescent="0.25">
      <c r="A61" s="19"/>
      <c r="B61" s="13" t="s">
        <v>208</v>
      </c>
      <c r="C61" s="14">
        <v>0.01</v>
      </c>
      <c r="D61" s="15" t="s">
        <v>213</v>
      </c>
      <c r="E61" s="15" t="s">
        <v>213</v>
      </c>
      <c r="F61" s="15" t="s">
        <v>213</v>
      </c>
      <c r="G61" s="15" t="s">
        <v>213</v>
      </c>
      <c r="H61" s="15" t="s">
        <v>213</v>
      </c>
      <c r="I61" s="15" t="s">
        <v>213</v>
      </c>
      <c r="J61" s="15" t="s">
        <v>213</v>
      </c>
      <c r="K61" s="15" t="s">
        <v>213</v>
      </c>
      <c r="L61" s="15" t="s">
        <v>213</v>
      </c>
      <c r="M61" s="15" t="s">
        <v>213</v>
      </c>
      <c r="N61" s="15" t="s">
        <v>213</v>
      </c>
      <c r="O61" s="15" t="s">
        <v>213</v>
      </c>
      <c r="P61" s="15" t="s">
        <v>213</v>
      </c>
      <c r="Q61" s="15" t="s">
        <v>213</v>
      </c>
      <c r="R61" s="15" t="s">
        <v>213</v>
      </c>
      <c r="S61" s="15" t="s">
        <v>213</v>
      </c>
      <c r="T61" s="15" t="s">
        <v>213</v>
      </c>
      <c r="U61" s="15" t="s">
        <v>213</v>
      </c>
      <c r="V61" s="15" t="s">
        <v>213</v>
      </c>
      <c r="W61" s="15" t="s">
        <v>213</v>
      </c>
      <c r="X61" s="15" t="s">
        <v>213</v>
      </c>
      <c r="Y61" s="15" t="s">
        <v>213</v>
      </c>
      <c r="Z61" s="15" t="s">
        <v>213</v>
      </c>
      <c r="AA61" s="15" t="s">
        <v>213</v>
      </c>
      <c r="AB61" s="15" t="s">
        <v>213</v>
      </c>
      <c r="AC61" s="14">
        <v>1</v>
      </c>
      <c r="AD61" s="15" t="s">
        <v>213</v>
      </c>
      <c r="AE61" s="15" t="s">
        <v>213</v>
      </c>
      <c r="AF61" s="15" t="s">
        <v>213</v>
      </c>
    </row>
    <row r="62" spans="1:32" x14ac:dyDescent="0.25">
      <c r="A62" s="19"/>
      <c r="B62" s="11" t="s">
        <v>209</v>
      </c>
      <c r="C62" s="12">
        <v>314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1003</v>
      </c>
      <c r="AE62" s="12">
        <v>0</v>
      </c>
      <c r="AF62" s="12">
        <v>0</v>
      </c>
    </row>
    <row r="63" spans="1:32" x14ac:dyDescent="0.25">
      <c r="A63" s="19"/>
      <c r="B63" s="13" t="s">
        <v>209</v>
      </c>
      <c r="C63" s="14">
        <v>0.01</v>
      </c>
      <c r="D63" s="15" t="s">
        <v>213</v>
      </c>
      <c r="E63" s="15" t="s">
        <v>213</v>
      </c>
      <c r="F63" s="15" t="s">
        <v>213</v>
      </c>
      <c r="G63" s="15" t="s">
        <v>213</v>
      </c>
      <c r="H63" s="15" t="s">
        <v>213</v>
      </c>
      <c r="I63" s="15" t="s">
        <v>213</v>
      </c>
      <c r="J63" s="15" t="s">
        <v>213</v>
      </c>
      <c r="K63" s="15" t="s">
        <v>213</v>
      </c>
      <c r="L63" s="15" t="s">
        <v>213</v>
      </c>
      <c r="M63" s="15" t="s">
        <v>213</v>
      </c>
      <c r="N63" s="15" t="s">
        <v>213</v>
      </c>
      <c r="O63" s="15" t="s">
        <v>213</v>
      </c>
      <c r="P63" s="15" t="s">
        <v>213</v>
      </c>
      <c r="Q63" s="15" t="s">
        <v>213</v>
      </c>
      <c r="R63" s="15" t="s">
        <v>213</v>
      </c>
      <c r="S63" s="15" t="s">
        <v>213</v>
      </c>
      <c r="T63" s="15" t="s">
        <v>213</v>
      </c>
      <c r="U63" s="15" t="s">
        <v>213</v>
      </c>
      <c r="V63" s="15" t="s">
        <v>213</v>
      </c>
      <c r="W63" s="15" t="s">
        <v>213</v>
      </c>
      <c r="X63" s="15" t="s">
        <v>213</v>
      </c>
      <c r="Y63" s="15" t="s">
        <v>213</v>
      </c>
      <c r="Z63" s="15" t="s">
        <v>213</v>
      </c>
      <c r="AA63" s="15" t="s">
        <v>213</v>
      </c>
      <c r="AB63" s="15" t="s">
        <v>213</v>
      </c>
      <c r="AC63" s="15" t="s">
        <v>213</v>
      </c>
      <c r="AD63" s="14">
        <v>1</v>
      </c>
      <c r="AE63" s="15" t="s">
        <v>213</v>
      </c>
      <c r="AF63" s="15" t="s">
        <v>213</v>
      </c>
    </row>
    <row r="64" spans="1:32" x14ac:dyDescent="0.25">
      <c r="A64" s="19"/>
      <c r="B64" s="11" t="s">
        <v>187</v>
      </c>
      <c r="C64" s="12">
        <v>3989</v>
      </c>
      <c r="D64" s="12">
        <v>0</v>
      </c>
      <c r="E64" s="12">
        <v>0</v>
      </c>
      <c r="F64" s="12">
        <v>0</v>
      </c>
      <c r="G64" s="12">
        <v>0</v>
      </c>
      <c r="H64" s="12">
        <v>1230</v>
      </c>
      <c r="I64" s="12">
        <v>1230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</row>
    <row r="65" spans="1:32" x14ac:dyDescent="0.25">
      <c r="A65" s="19"/>
      <c r="B65" s="13" t="s">
        <v>187</v>
      </c>
      <c r="C65" s="14">
        <v>0.15</v>
      </c>
      <c r="D65" s="15" t="s">
        <v>213</v>
      </c>
      <c r="E65" s="15" t="s">
        <v>213</v>
      </c>
      <c r="F65" s="15" t="s">
        <v>213</v>
      </c>
      <c r="G65" s="15" t="s">
        <v>213</v>
      </c>
      <c r="H65" s="14">
        <v>1</v>
      </c>
      <c r="I65" s="14">
        <v>0.81</v>
      </c>
      <c r="J65" s="15" t="s">
        <v>213</v>
      </c>
      <c r="K65" s="15" t="s">
        <v>213</v>
      </c>
      <c r="L65" s="15" t="s">
        <v>213</v>
      </c>
      <c r="M65" s="15" t="s">
        <v>213</v>
      </c>
      <c r="N65" s="15" t="s">
        <v>213</v>
      </c>
      <c r="O65" s="15" t="s">
        <v>213</v>
      </c>
      <c r="P65" s="15" t="s">
        <v>213</v>
      </c>
      <c r="Q65" s="15" t="s">
        <v>213</v>
      </c>
      <c r="R65" s="15" t="s">
        <v>213</v>
      </c>
      <c r="S65" s="15" t="s">
        <v>213</v>
      </c>
      <c r="T65" s="15" t="s">
        <v>213</v>
      </c>
      <c r="U65" s="15" t="s">
        <v>213</v>
      </c>
      <c r="V65" s="15" t="s">
        <v>213</v>
      </c>
      <c r="W65" s="15" t="s">
        <v>213</v>
      </c>
      <c r="X65" s="15" t="s">
        <v>213</v>
      </c>
      <c r="Y65" s="15" t="s">
        <v>213</v>
      </c>
      <c r="Z65" s="15" t="s">
        <v>213</v>
      </c>
      <c r="AA65" s="15" t="s">
        <v>213</v>
      </c>
      <c r="AB65" s="15" t="s">
        <v>213</v>
      </c>
      <c r="AC65" s="15" t="s">
        <v>213</v>
      </c>
      <c r="AD65" s="15" t="s">
        <v>213</v>
      </c>
      <c r="AE65" s="15" t="s">
        <v>213</v>
      </c>
      <c r="AF65" s="15" t="s">
        <v>213</v>
      </c>
    </row>
    <row r="66" spans="1:32" x14ac:dyDescent="0.25">
      <c r="A66" s="19"/>
      <c r="B66" s="11" t="s">
        <v>189</v>
      </c>
      <c r="C66" s="12">
        <v>964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297</v>
      </c>
      <c r="J66" s="12">
        <v>297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</row>
    <row r="67" spans="1:32" x14ac:dyDescent="0.25">
      <c r="A67" s="19"/>
      <c r="B67" s="13" t="s">
        <v>189</v>
      </c>
      <c r="C67" s="14">
        <v>0.04</v>
      </c>
      <c r="D67" s="15" t="s">
        <v>213</v>
      </c>
      <c r="E67" s="15" t="s">
        <v>213</v>
      </c>
      <c r="F67" s="15" t="s">
        <v>213</v>
      </c>
      <c r="G67" s="15" t="s">
        <v>213</v>
      </c>
      <c r="H67" s="15" t="s">
        <v>213</v>
      </c>
      <c r="I67" s="14">
        <v>0.19</v>
      </c>
      <c r="J67" s="14">
        <v>1</v>
      </c>
      <c r="K67" s="15" t="s">
        <v>213</v>
      </c>
      <c r="L67" s="15" t="s">
        <v>213</v>
      </c>
      <c r="M67" s="15" t="s">
        <v>213</v>
      </c>
      <c r="N67" s="15" t="s">
        <v>213</v>
      </c>
      <c r="O67" s="15" t="s">
        <v>213</v>
      </c>
      <c r="P67" s="15" t="s">
        <v>213</v>
      </c>
      <c r="Q67" s="15" t="s">
        <v>213</v>
      </c>
      <c r="R67" s="15" t="s">
        <v>213</v>
      </c>
      <c r="S67" s="15" t="s">
        <v>213</v>
      </c>
      <c r="T67" s="15" t="s">
        <v>213</v>
      </c>
      <c r="U67" s="15" t="s">
        <v>213</v>
      </c>
      <c r="V67" s="15" t="s">
        <v>213</v>
      </c>
      <c r="W67" s="15" t="s">
        <v>213</v>
      </c>
      <c r="X67" s="15" t="s">
        <v>213</v>
      </c>
      <c r="Y67" s="15" t="s">
        <v>213</v>
      </c>
      <c r="Z67" s="15" t="s">
        <v>213</v>
      </c>
      <c r="AA67" s="15" t="s">
        <v>213</v>
      </c>
      <c r="AB67" s="15" t="s">
        <v>213</v>
      </c>
      <c r="AC67" s="15" t="s">
        <v>213</v>
      </c>
      <c r="AD67" s="15" t="s">
        <v>213</v>
      </c>
      <c r="AE67" s="15" t="s">
        <v>213</v>
      </c>
      <c r="AF67" s="15" t="s">
        <v>213</v>
      </c>
    </row>
  </sheetData>
  <mergeCells count="9">
    <mergeCell ref="B10:B11"/>
    <mergeCell ref="H4:L4"/>
    <mergeCell ref="A10:A67"/>
    <mergeCell ref="B4:F4"/>
    <mergeCell ref="H3:L3"/>
    <mergeCell ref="C8:AF8"/>
    <mergeCell ref="B3:F3"/>
    <mergeCell ref="B5:F5"/>
    <mergeCell ref="H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11</v>
      </c>
      <c r="C3" s="18"/>
      <c r="D3" s="18"/>
      <c r="E3" s="18"/>
      <c r="F3" s="18"/>
      <c r="H3" s="18" t="s">
        <v>12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214</v>
      </c>
      <c r="C12" s="12">
        <v>1202</v>
      </c>
      <c r="D12" s="12">
        <v>39</v>
      </c>
      <c r="E12" s="12">
        <v>120</v>
      </c>
      <c r="F12" s="12">
        <v>44</v>
      </c>
      <c r="G12" s="12">
        <v>97</v>
      </c>
      <c r="H12" s="12">
        <v>25</v>
      </c>
      <c r="I12" s="12">
        <v>31</v>
      </c>
      <c r="J12" s="12">
        <v>6</v>
      </c>
      <c r="K12" s="12">
        <v>30</v>
      </c>
      <c r="L12" s="12">
        <v>159</v>
      </c>
      <c r="M12" s="12">
        <v>25</v>
      </c>
      <c r="N12" s="12">
        <v>46</v>
      </c>
      <c r="O12" s="12">
        <v>20</v>
      </c>
      <c r="P12" s="12">
        <v>74</v>
      </c>
      <c r="Q12" s="12">
        <v>63</v>
      </c>
      <c r="R12" s="12">
        <v>12</v>
      </c>
      <c r="S12" s="12">
        <v>20</v>
      </c>
      <c r="T12" s="12">
        <v>34</v>
      </c>
      <c r="U12" s="12">
        <v>40</v>
      </c>
      <c r="V12" s="12">
        <v>42</v>
      </c>
      <c r="W12" s="12">
        <v>47</v>
      </c>
      <c r="X12" s="12">
        <v>37</v>
      </c>
      <c r="Y12" s="12">
        <v>56</v>
      </c>
      <c r="Z12" s="12">
        <v>114</v>
      </c>
      <c r="AA12" s="12">
        <v>37</v>
      </c>
      <c r="AB12" s="12">
        <v>25</v>
      </c>
      <c r="AC12" s="12">
        <v>22</v>
      </c>
      <c r="AD12" s="12">
        <v>68</v>
      </c>
      <c r="AE12" s="12">
        <v>33</v>
      </c>
      <c r="AF12" s="12">
        <v>46</v>
      </c>
    </row>
    <row r="13" spans="1:32" x14ac:dyDescent="0.25">
      <c r="A13" s="19"/>
      <c r="B13" s="13" t="s">
        <v>215</v>
      </c>
      <c r="C13" s="14">
        <v>0.04</v>
      </c>
      <c r="D13" s="14">
        <v>0.04</v>
      </c>
      <c r="E13" s="14">
        <v>0.11</v>
      </c>
      <c r="F13" s="14">
        <v>0.04</v>
      </c>
      <c r="G13" s="14">
        <v>0.1</v>
      </c>
      <c r="H13" s="14">
        <v>0.02</v>
      </c>
      <c r="I13" s="14">
        <v>0.02</v>
      </c>
      <c r="J13" s="14">
        <v>0.02</v>
      </c>
      <c r="K13" s="14">
        <v>0.03</v>
      </c>
      <c r="L13" s="14">
        <v>0.16</v>
      </c>
      <c r="M13" s="14">
        <v>0.02</v>
      </c>
      <c r="N13" s="14">
        <v>0.04</v>
      </c>
      <c r="O13" s="14">
        <v>0.02</v>
      </c>
      <c r="P13" s="14">
        <v>7.0000000000000007E-2</v>
      </c>
      <c r="Q13" s="14">
        <v>0.06</v>
      </c>
      <c r="R13" s="14">
        <v>0.02</v>
      </c>
      <c r="S13" s="14">
        <v>0.02</v>
      </c>
      <c r="T13" s="14">
        <v>0.03</v>
      </c>
      <c r="U13" s="14">
        <v>0.08</v>
      </c>
      <c r="V13" s="14">
        <v>0.04</v>
      </c>
      <c r="W13" s="14">
        <v>0.1</v>
      </c>
      <c r="X13" s="14">
        <v>0.04</v>
      </c>
      <c r="Y13" s="14">
        <v>0.05</v>
      </c>
      <c r="Z13" s="14">
        <v>0.11</v>
      </c>
      <c r="AA13" s="14">
        <v>0.04</v>
      </c>
      <c r="AB13" s="14">
        <v>0.02</v>
      </c>
      <c r="AC13" s="14">
        <v>0.02</v>
      </c>
      <c r="AD13" s="14">
        <v>7.0000000000000007E-2</v>
      </c>
      <c r="AE13" s="14">
        <v>0.03</v>
      </c>
      <c r="AF13" s="14">
        <v>0.04</v>
      </c>
    </row>
    <row r="14" spans="1:32" x14ac:dyDescent="0.25">
      <c r="A14" s="19"/>
      <c r="B14" s="11" t="s">
        <v>216</v>
      </c>
      <c r="C14" s="12">
        <v>8897</v>
      </c>
      <c r="D14" s="12">
        <v>331</v>
      </c>
      <c r="E14" s="12">
        <v>314</v>
      </c>
      <c r="F14" s="12">
        <v>263</v>
      </c>
      <c r="G14" s="12">
        <v>467</v>
      </c>
      <c r="H14" s="12">
        <v>460</v>
      </c>
      <c r="I14" s="12">
        <v>528</v>
      </c>
      <c r="J14" s="12">
        <v>68</v>
      </c>
      <c r="K14" s="12">
        <v>318</v>
      </c>
      <c r="L14" s="12">
        <v>363</v>
      </c>
      <c r="M14" s="12">
        <v>288</v>
      </c>
      <c r="N14" s="12">
        <v>300</v>
      </c>
      <c r="O14" s="12">
        <v>238</v>
      </c>
      <c r="P14" s="12">
        <v>340</v>
      </c>
      <c r="Q14" s="12">
        <v>387</v>
      </c>
      <c r="R14" s="12">
        <v>140</v>
      </c>
      <c r="S14" s="12">
        <v>219</v>
      </c>
      <c r="T14" s="12">
        <v>310</v>
      </c>
      <c r="U14" s="12">
        <v>216</v>
      </c>
      <c r="V14" s="12">
        <v>354</v>
      </c>
      <c r="W14" s="12">
        <v>181</v>
      </c>
      <c r="X14" s="12">
        <v>460</v>
      </c>
      <c r="Y14" s="12">
        <v>309</v>
      </c>
      <c r="Z14" s="12">
        <v>354</v>
      </c>
      <c r="AA14" s="12">
        <v>547</v>
      </c>
      <c r="AB14" s="12">
        <v>417</v>
      </c>
      <c r="AC14" s="12">
        <v>251</v>
      </c>
      <c r="AD14" s="12">
        <v>358</v>
      </c>
      <c r="AE14" s="12">
        <v>329</v>
      </c>
      <c r="AF14" s="12">
        <v>463</v>
      </c>
    </row>
    <row r="15" spans="1:32" x14ac:dyDescent="0.25">
      <c r="A15" s="19"/>
      <c r="B15" s="13" t="s">
        <v>217</v>
      </c>
      <c r="C15" s="14">
        <v>0.34</v>
      </c>
      <c r="D15" s="14">
        <v>0.32</v>
      </c>
      <c r="E15" s="14">
        <v>0.3</v>
      </c>
      <c r="F15" s="14">
        <v>0.25</v>
      </c>
      <c r="G15" s="14">
        <v>0.46</v>
      </c>
      <c r="H15" s="14">
        <v>0.37</v>
      </c>
      <c r="I15" s="14">
        <v>0.35</v>
      </c>
      <c r="J15" s="14">
        <v>0.23</v>
      </c>
      <c r="K15" s="14">
        <v>0.32</v>
      </c>
      <c r="L15" s="14">
        <v>0.36</v>
      </c>
      <c r="M15" s="14">
        <v>0.28999999999999998</v>
      </c>
      <c r="N15" s="14">
        <v>0.3</v>
      </c>
      <c r="O15" s="14">
        <v>0.24</v>
      </c>
      <c r="P15" s="14">
        <v>0.34</v>
      </c>
      <c r="Q15" s="14">
        <v>0.37</v>
      </c>
      <c r="R15" s="14">
        <v>0.28000000000000003</v>
      </c>
      <c r="S15" s="14">
        <v>0.22</v>
      </c>
      <c r="T15" s="14">
        <v>0.3</v>
      </c>
      <c r="U15" s="14">
        <v>0.42</v>
      </c>
      <c r="V15" s="14">
        <v>0.35</v>
      </c>
      <c r="W15" s="14">
        <v>0.36</v>
      </c>
      <c r="X15" s="14">
        <v>0.46</v>
      </c>
      <c r="Y15" s="14">
        <v>0.31</v>
      </c>
      <c r="Z15" s="14">
        <v>0.35</v>
      </c>
      <c r="AA15" s="14">
        <v>0.53</v>
      </c>
      <c r="AB15" s="14">
        <v>0.4</v>
      </c>
      <c r="AC15" s="14">
        <v>0.25</v>
      </c>
      <c r="AD15" s="14">
        <v>0.36</v>
      </c>
      <c r="AE15" s="14">
        <v>0.33</v>
      </c>
      <c r="AF15" s="14">
        <v>0.45</v>
      </c>
    </row>
    <row r="16" spans="1:32" x14ac:dyDescent="0.25">
      <c r="A16" s="19"/>
      <c r="B16" s="11" t="s">
        <v>218</v>
      </c>
      <c r="C16" s="12">
        <v>10737</v>
      </c>
      <c r="D16" s="12">
        <v>387</v>
      </c>
      <c r="E16" s="12">
        <v>301</v>
      </c>
      <c r="F16" s="12">
        <v>480</v>
      </c>
      <c r="G16" s="12">
        <v>350</v>
      </c>
      <c r="H16" s="12">
        <v>552</v>
      </c>
      <c r="I16" s="12">
        <v>690</v>
      </c>
      <c r="J16" s="12">
        <v>138</v>
      </c>
      <c r="K16" s="12">
        <v>455</v>
      </c>
      <c r="L16" s="12">
        <v>323</v>
      </c>
      <c r="M16" s="12">
        <v>389</v>
      </c>
      <c r="N16" s="12">
        <v>421</v>
      </c>
      <c r="O16" s="12">
        <v>411</v>
      </c>
      <c r="P16" s="12">
        <v>389</v>
      </c>
      <c r="Q16" s="12">
        <v>408</v>
      </c>
      <c r="R16" s="12">
        <v>265</v>
      </c>
      <c r="S16" s="12">
        <v>582</v>
      </c>
      <c r="T16" s="12">
        <v>529</v>
      </c>
      <c r="U16" s="12">
        <v>178</v>
      </c>
      <c r="V16" s="12">
        <v>458</v>
      </c>
      <c r="W16" s="12">
        <v>223</v>
      </c>
      <c r="X16" s="12">
        <v>352</v>
      </c>
      <c r="Y16" s="12">
        <v>369</v>
      </c>
      <c r="Z16" s="12">
        <v>426</v>
      </c>
      <c r="AA16" s="12">
        <v>335</v>
      </c>
      <c r="AB16" s="12">
        <v>303</v>
      </c>
      <c r="AC16" s="12">
        <v>520</v>
      </c>
      <c r="AD16" s="12">
        <v>373</v>
      </c>
      <c r="AE16" s="12">
        <v>492</v>
      </c>
      <c r="AF16" s="12">
        <v>408</v>
      </c>
    </row>
    <row r="17" spans="1:32" x14ac:dyDescent="0.25">
      <c r="A17" s="19"/>
      <c r="B17" s="13" t="s">
        <v>219</v>
      </c>
      <c r="C17" s="14">
        <v>0.41</v>
      </c>
      <c r="D17" s="14">
        <v>0.38</v>
      </c>
      <c r="E17" s="14">
        <v>0.28999999999999998</v>
      </c>
      <c r="F17" s="14">
        <v>0.45</v>
      </c>
      <c r="G17" s="14">
        <v>0.34</v>
      </c>
      <c r="H17" s="14">
        <v>0.45</v>
      </c>
      <c r="I17" s="14">
        <v>0.45</v>
      </c>
      <c r="J17" s="14">
        <v>0.47</v>
      </c>
      <c r="K17" s="14">
        <v>0.45</v>
      </c>
      <c r="L17" s="14">
        <v>0.32</v>
      </c>
      <c r="M17" s="14">
        <v>0.39</v>
      </c>
      <c r="N17" s="14">
        <v>0.42</v>
      </c>
      <c r="O17" s="14">
        <v>0.41</v>
      </c>
      <c r="P17" s="14">
        <v>0.39</v>
      </c>
      <c r="Q17" s="14">
        <v>0.4</v>
      </c>
      <c r="R17" s="14">
        <v>0.53</v>
      </c>
      <c r="S17" s="14">
        <v>0.57999999999999996</v>
      </c>
      <c r="T17" s="14">
        <v>0.52</v>
      </c>
      <c r="U17" s="14">
        <v>0.35</v>
      </c>
      <c r="V17" s="14">
        <v>0.45</v>
      </c>
      <c r="W17" s="14">
        <v>0.45</v>
      </c>
      <c r="X17" s="14">
        <v>0.35</v>
      </c>
      <c r="Y17" s="14">
        <v>0.37</v>
      </c>
      <c r="Z17" s="14">
        <v>0.42</v>
      </c>
      <c r="AA17" s="14">
        <v>0.32</v>
      </c>
      <c r="AB17" s="14">
        <v>0.28999999999999998</v>
      </c>
      <c r="AC17" s="14">
        <v>0.52</v>
      </c>
      <c r="AD17" s="14">
        <v>0.37</v>
      </c>
      <c r="AE17" s="14">
        <v>0.49</v>
      </c>
      <c r="AF17" s="14">
        <v>0.4</v>
      </c>
    </row>
    <row r="18" spans="1:32" x14ac:dyDescent="0.25">
      <c r="A18" s="19"/>
      <c r="B18" s="11" t="s">
        <v>220</v>
      </c>
      <c r="C18" s="12">
        <v>4084</v>
      </c>
      <c r="D18" s="12">
        <v>204</v>
      </c>
      <c r="E18" s="12">
        <v>179</v>
      </c>
      <c r="F18" s="12">
        <v>212</v>
      </c>
      <c r="G18" s="12">
        <v>66</v>
      </c>
      <c r="H18" s="12">
        <v>155</v>
      </c>
      <c r="I18" s="12">
        <v>219</v>
      </c>
      <c r="J18" s="12">
        <v>63</v>
      </c>
      <c r="K18" s="12">
        <v>118</v>
      </c>
      <c r="L18" s="12">
        <v>80</v>
      </c>
      <c r="M18" s="12">
        <v>181</v>
      </c>
      <c r="N18" s="12">
        <v>159</v>
      </c>
      <c r="O18" s="12">
        <v>237</v>
      </c>
      <c r="P18" s="12">
        <v>137</v>
      </c>
      <c r="Q18" s="12">
        <v>143</v>
      </c>
      <c r="R18" s="12">
        <v>49</v>
      </c>
      <c r="S18" s="12">
        <v>117</v>
      </c>
      <c r="T18" s="12">
        <v>93</v>
      </c>
      <c r="U18" s="12">
        <v>44</v>
      </c>
      <c r="V18" s="12">
        <v>135</v>
      </c>
      <c r="W18" s="12">
        <v>42</v>
      </c>
      <c r="X18" s="12">
        <v>125</v>
      </c>
      <c r="Y18" s="12">
        <v>183</v>
      </c>
      <c r="Z18" s="12">
        <v>95</v>
      </c>
      <c r="AA18" s="12">
        <v>75</v>
      </c>
      <c r="AB18" s="12">
        <v>218</v>
      </c>
      <c r="AC18" s="12">
        <v>140</v>
      </c>
      <c r="AD18" s="12">
        <v>137</v>
      </c>
      <c r="AE18" s="12">
        <v>123</v>
      </c>
      <c r="AF18" s="12">
        <v>88</v>
      </c>
    </row>
    <row r="19" spans="1:32" x14ac:dyDescent="0.25">
      <c r="A19" s="19"/>
      <c r="B19" s="13" t="s">
        <v>221</v>
      </c>
      <c r="C19" s="14">
        <v>0.15</v>
      </c>
      <c r="D19" s="14">
        <v>0.2</v>
      </c>
      <c r="E19" s="14">
        <v>0.17</v>
      </c>
      <c r="F19" s="14">
        <v>0.2</v>
      </c>
      <c r="G19" s="14">
        <v>7.0000000000000007E-2</v>
      </c>
      <c r="H19" s="14">
        <v>0.13</v>
      </c>
      <c r="I19" s="14">
        <v>0.14000000000000001</v>
      </c>
      <c r="J19" s="14">
        <v>0.21</v>
      </c>
      <c r="K19" s="14">
        <v>0.12</v>
      </c>
      <c r="L19" s="14">
        <v>0.08</v>
      </c>
      <c r="M19" s="14">
        <v>0.18</v>
      </c>
      <c r="N19" s="14">
        <v>0.16</v>
      </c>
      <c r="O19" s="14">
        <v>0.24</v>
      </c>
      <c r="P19" s="14">
        <v>0.14000000000000001</v>
      </c>
      <c r="Q19" s="14">
        <v>0.14000000000000001</v>
      </c>
      <c r="R19" s="14">
        <v>0.1</v>
      </c>
      <c r="S19" s="14">
        <v>0.12</v>
      </c>
      <c r="T19" s="14">
        <v>0.09</v>
      </c>
      <c r="U19" s="14">
        <v>0.09</v>
      </c>
      <c r="V19" s="14">
        <v>0.13</v>
      </c>
      <c r="W19" s="14">
        <v>0.08</v>
      </c>
      <c r="X19" s="14">
        <v>0.12</v>
      </c>
      <c r="Y19" s="14">
        <v>0.18</v>
      </c>
      <c r="Z19" s="14">
        <v>0.09</v>
      </c>
      <c r="AA19" s="14">
        <v>7.0000000000000007E-2</v>
      </c>
      <c r="AB19" s="14">
        <v>0.21</v>
      </c>
      <c r="AC19" s="14">
        <v>0.14000000000000001</v>
      </c>
      <c r="AD19" s="14">
        <v>0.13</v>
      </c>
      <c r="AE19" s="14">
        <v>0.12</v>
      </c>
      <c r="AF19" s="14">
        <v>0.08</v>
      </c>
    </row>
    <row r="20" spans="1:32" x14ac:dyDescent="0.25">
      <c r="A20" s="19"/>
      <c r="B20" s="11" t="s">
        <v>222</v>
      </c>
      <c r="C20" s="12">
        <v>1228</v>
      </c>
      <c r="D20" s="12">
        <v>58</v>
      </c>
      <c r="E20" s="12">
        <v>104</v>
      </c>
      <c r="F20" s="12">
        <v>64</v>
      </c>
      <c r="G20" s="12">
        <v>24</v>
      </c>
      <c r="H20" s="12">
        <v>35</v>
      </c>
      <c r="I20" s="12">
        <v>54</v>
      </c>
      <c r="J20" s="12">
        <v>19</v>
      </c>
      <c r="K20" s="12">
        <v>51</v>
      </c>
      <c r="L20" s="12">
        <v>56</v>
      </c>
      <c r="M20" s="12">
        <v>103</v>
      </c>
      <c r="N20" s="12">
        <v>72</v>
      </c>
      <c r="O20" s="12">
        <v>74</v>
      </c>
      <c r="P20" s="12">
        <v>60</v>
      </c>
      <c r="Q20" s="12">
        <v>22</v>
      </c>
      <c r="R20" s="12">
        <v>20</v>
      </c>
      <c r="S20" s="12">
        <v>24</v>
      </c>
      <c r="T20" s="12">
        <v>32</v>
      </c>
      <c r="U20" s="12">
        <v>18</v>
      </c>
      <c r="V20" s="12">
        <v>34</v>
      </c>
      <c r="W20" s="12">
        <v>7</v>
      </c>
      <c r="X20" s="12">
        <v>34</v>
      </c>
      <c r="Y20" s="12">
        <v>79</v>
      </c>
      <c r="Z20" s="12">
        <v>23</v>
      </c>
      <c r="AA20" s="12">
        <v>4</v>
      </c>
      <c r="AB20" s="12">
        <v>58</v>
      </c>
      <c r="AC20" s="12">
        <v>54</v>
      </c>
      <c r="AD20" s="12">
        <v>57</v>
      </c>
      <c r="AE20" s="12">
        <v>20</v>
      </c>
      <c r="AF20" s="12">
        <v>19</v>
      </c>
    </row>
    <row r="21" spans="1:32" x14ac:dyDescent="0.25">
      <c r="A21" s="19"/>
      <c r="B21" s="13" t="s">
        <v>223</v>
      </c>
      <c r="C21" s="14">
        <v>0.05</v>
      </c>
      <c r="D21" s="14">
        <v>0.06</v>
      </c>
      <c r="E21" s="14">
        <v>0.1</v>
      </c>
      <c r="F21" s="14">
        <v>0.06</v>
      </c>
      <c r="G21" s="14">
        <v>0.02</v>
      </c>
      <c r="H21" s="14">
        <v>0.03</v>
      </c>
      <c r="I21" s="14">
        <v>0.04</v>
      </c>
      <c r="J21" s="14">
        <v>0.06</v>
      </c>
      <c r="K21" s="14">
        <v>0.05</v>
      </c>
      <c r="L21" s="14">
        <v>0.06</v>
      </c>
      <c r="M21" s="14">
        <v>0.1</v>
      </c>
      <c r="N21" s="14">
        <v>7.0000000000000007E-2</v>
      </c>
      <c r="O21" s="14">
        <v>7.0000000000000007E-2</v>
      </c>
      <c r="P21" s="14">
        <v>0.06</v>
      </c>
      <c r="Q21" s="14">
        <v>0.02</v>
      </c>
      <c r="R21" s="14">
        <v>0.04</v>
      </c>
      <c r="S21" s="14">
        <v>0.02</v>
      </c>
      <c r="T21" s="14">
        <v>0.03</v>
      </c>
      <c r="U21" s="14">
        <v>0.04</v>
      </c>
      <c r="V21" s="14">
        <v>0.03</v>
      </c>
      <c r="W21" s="14">
        <v>0.01</v>
      </c>
      <c r="X21" s="14">
        <v>0.03</v>
      </c>
      <c r="Y21" s="14">
        <v>0.08</v>
      </c>
      <c r="Z21" s="14">
        <v>0.02</v>
      </c>
      <c r="AA21" s="15" t="s">
        <v>213</v>
      </c>
      <c r="AB21" s="14">
        <v>0.06</v>
      </c>
      <c r="AC21" s="14">
        <v>0.05</v>
      </c>
      <c r="AD21" s="14">
        <v>0.06</v>
      </c>
      <c r="AE21" s="14">
        <v>0.02</v>
      </c>
      <c r="AF21" s="14">
        <v>0.02</v>
      </c>
    </row>
    <row r="22" spans="1:32" x14ac:dyDescent="0.25">
      <c r="A22" s="19"/>
      <c r="B22" s="11" t="s">
        <v>224</v>
      </c>
      <c r="C22" s="12">
        <v>305</v>
      </c>
      <c r="D22" s="12">
        <v>2</v>
      </c>
      <c r="E22" s="12">
        <v>28</v>
      </c>
      <c r="F22" s="12">
        <v>1</v>
      </c>
      <c r="G22" s="12">
        <v>12</v>
      </c>
      <c r="H22" s="12">
        <v>2</v>
      </c>
      <c r="I22" s="12">
        <v>4</v>
      </c>
      <c r="J22" s="12">
        <v>2</v>
      </c>
      <c r="K22" s="12">
        <v>35</v>
      </c>
      <c r="L22" s="12">
        <v>25</v>
      </c>
      <c r="M22" s="12">
        <v>22</v>
      </c>
      <c r="N22" s="12">
        <v>13</v>
      </c>
      <c r="O22" s="12">
        <v>25</v>
      </c>
      <c r="P22" s="12">
        <v>2</v>
      </c>
      <c r="Q22" s="12">
        <v>9</v>
      </c>
      <c r="R22" s="12">
        <v>15</v>
      </c>
      <c r="S22" s="12">
        <v>42</v>
      </c>
      <c r="T22" s="12">
        <v>25</v>
      </c>
      <c r="U22" s="12">
        <v>11</v>
      </c>
      <c r="V22" s="12">
        <v>2</v>
      </c>
      <c r="W22" s="12">
        <v>1</v>
      </c>
      <c r="X22" s="12">
        <v>2</v>
      </c>
      <c r="Y22" s="12">
        <v>7</v>
      </c>
      <c r="Z22" s="12">
        <v>5</v>
      </c>
      <c r="AA22" s="12">
        <v>39</v>
      </c>
      <c r="AB22" s="12">
        <v>19</v>
      </c>
      <c r="AC22" s="12">
        <v>18</v>
      </c>
      <c r="AD22" s="12">
        <v>10</v>
      </c>
      <c r="AE22" s="12">
        <v>4</v>
      </c>
      <c r="AF22" s="12">
        <v>7</v>
      </c>
    </row>
    <row r="23" spans="1:32" x14ac:dyDescent="0.25">
      <c r="A23" s="19"/>
      <c r="B23" s="13" t="s">
        <v>225</v>
      </c>
      <c r="C23" s="14">
        <v>0.01</v>
      </c>
      <c r="D23" s="15" t="s">
        <v>213</v>
      </c>
      <c r="E23" s="14">
        <v>0.03</v>
      </c>
      <c r="F23" s="15" t="s">
        <v>213</v>
      </c>
      <c r="G23" s="14">
        <v>0.01</v>
      </c>
      <c r="H23" s="15" t="s">
        <v>213</v>
      </c>
      <c r="I23" s="15" t="s">
        <v>213</v>
      </c>
      <c r="J23" s="14">
        <v>0.01</v>
      </c>
      <c r="K23" s="14">
        <v>0.03</v>
      </c>
      <c r="L23" s="14">
        <v>0.02</v>
      </c>
      <c r="M23" s="14">
        <v>0.02</v>
      </c>
      <c r="N23" s="14">
        <v>0.01</v>
      </c>
      <c r="O23" s="14">
        <v>0.02</v>
      </c>
      <c r="P23" s="15" t="s">
        <v>213</v>
      </c>
      <c r="Q23" s="14">
        <v>0.01</v>
      </c>
      <c r="R23" s="14">
        <v>0.03</v>
      </c>
      <c r="S23" s="14">
        <v>0.04</v>
      </c>
      <c r="T23" s="14">
        <v>0.03</v>
      </c>
      <c r="U23" s="14">
        <v>0.02</v>
      </c>
      <c r="V23" s="15" t="s">
        <v>213</v>
      </c>
      <c r="W23" s="15" t="s">
        <v>213</v>
      </c>
      <c r="X23" s="15" t="s">
        <v>213</v>
      </c>
      <c r="Y23" s="14">
        <v>0.01</v>
      </c>
      <c r="Z23" s="14">
        <v>0.01</v>
      </c>
      <c r="AA23" s="14">
        <v>0.04</v>
      </c>
      <c r="AB23" s="14">
        <v>0.02</v>
      </c>
      <c r="AC23" s="14">
        <v>0.02</v>
      </c>
      <c r="AD23" s="14">
        <v>0.01</v>
      </c>
      <c r="AE23" s="14">
        <v>0.01</v>
      </c>
      <c r="AF23" s="14">
        <v>0.01</v>
      </c>
    </row>
    <row r="24" spans="1:32" x14ac:dyDescent="0.25">
      <c r="A24" s="19"/>
      <c r="B24" s="11" t="s">
        <v>226</v>
      </c>
      <c r="C24" s="12">
        <v>10099</v>
      </c>
      <c r="D24" s="12">
        <v>370</v>
      </c>
      <c r="E24" s="12">
        <v>434</v>
      </c>
      <c r="F24" s="12">
        <v>307</v>
      </c>
      <c r="G24" s="12">
        <v>564</v>
      </c>
      <c r="H24" s="12">
        <v>485</v>
      </c>
      <c r="I24" s="12">
        <v>559</v>
      </c>
      <c r="J24" s="12">
        <v>74</v>
      </c>
      <c r="K24" s="12">
        <v>348</v>
      </c>
      <c r="L24" s="12">
        <v>522</v>
      </c>
      <c r="M24" s="12">
        <v>313</v>
      </c>
      <c r="N24" s="12">
        <v>346</v>
      </c>
      <c r="O24" s="12">
        <v>258</v>
      </c>
      <c r="P24" s="12">
        <v>414</v>
      </c>
      <c r="Q24" s="12">
        <v>450</v>
      </c>
      <c r="R24" s="12">
        <v>152</v>
      </c>
      <c r="S24" s="12">
        <v>239</v>
      </c>
      <c r="T24" s="12">
        <v>344</v>
      </c>
      <c r="U24" s="12">
        <v>256</v>
      </c>
      <c r="V24" s="12">
        <v>396</v>
      </c>
      <c r="W24" s="12">
        <v>228</v>
      </c>
      <c r="X24" s="12">
        <v>497</v>
      </c>
      <c r="Y24" s="12">
        <v>365</v>
      </c>
      <c r="Z24" s="12">
        <v>468</v>
      </c>
      <c r="AA24" s="12">
        <v>584</v>
      </c>
      <c r="AB24" s="12">
        <v>442</v>
      </c>
      <c r="AC24" s="12">
        <v>273</v>
      </c>
      <c r="AD24" s="12">
        <v>426</v>
      </c>
      <c r="AE24" s="12">
        <v>362</v>
      </c>
      <c r="AF24" s="12">
        <v>509</v>
      </c>
    </row>
    <row r="25" spans="1:32" x14ac:dyDescent="0.25">
      <c r="A25" s="19"/>
      <c r="B25" s="13" t="s">
        <v>226</v>
      </c>
      <c r="C25" s="14">
        <v>0.38</v>
      </c>
      <c r="D25" s="14">
        <v>0.36</v>
      </c>
      <c r="E25" s="14">
        <v>0.41</v>
      </c>
      <c r="F25" s="14">
        <v>0.28999999999999998</v>
      </c>
      <c r="G25" s="14">
        <v>0.56000000000000005</v>
      </c>
      <c r="H25" s="14">
        <v>0.39</v>
      </c>
      <c r="I25" s="14">
        <v>0.37</v>
      </c>
      <c r="J25" s="14">
        <v>0.25</v>
      </c>
      <c r="K25" s="14">
        <v>0.35</v>
      </c>
      <c r="L25" s="14">
        <v>0.52</v>
      </c>
      <c r="M25" s="14">
        <v>0.31</v>
      </c>
      <c r="N25" s="14">
        <v>0.34</v>
      </c>
      <c r="O25" s="14">
        <v>0.26</v>
      </c>
      <c r="P25" s="14">
        <v>0.41</v>
      </c>
      <c r="Q25" s="14">
        <v>0.43</v>
      </c>
      <c r="R25" s="14">
        <v>0.3</v>
      </c>
      <c r="S25" s="14">
        <v>0.24</v>
      </c>
      <c r="T25" s="14">
        <v>0.33</v>
      </c>
      <c r="U25" s="14">
        <v>0.5</v>
      </c>
      <c r="V25" s="14">
        <v>0.39</v>
      </c>
      <c r="W25" s="14">
        <v>0.46</v>
      </c>
      <c r="X25" s="14">
        <v>0.5</v>
      </c>
      <c r="Y25" s="14">
        <v>0.36</v>
      </c>
      <c r="Z25" s="14">
        <v>0.46</v>
      </c>
      <c r="AA25" s="14">
        <v>0.57000000000000006</v>
      </c>
      <c r="AB25" s="14">
        <v>0.42</v>
      </c>
      <c r="AC25" s="14">
        <v>0.27</v>
      </c>
      <c r="AD25" s="14">
        <v>0.43</v>
      </c>
      <c r="AE25" s="14">
        <v>0.36</v>
      </c>
      <c r="AF25" s="14">
        <v>0.49</v>
      </c>
    </row>
    <row r="26" spans="1:32" x14ac:dyDescent="0.25">
      <c r="A26" s="19"/>
      <c r="B26" s="11" t="s">
        <v>218</v>
      </c>
      <c r="C26" s="12">
        <v>10737</v>
      </c>
      <c r="D26" s="12">
        <v>387</v>
      </c>
      <c r="E26" s="12">
        <v>301</v>
      </c>
      <c r="F26" s="12">
        <v>480</v>
      </c>
      <c r="G26" s="12">
        <v>350</v>
      </c>
      <c r="H26" s="12">
        <v>552</v>
      </c>
      <c r="I26" s="12">
        <v>690</v>
      </c>
      <c r="J26" s="12">
        <v>138</v>
      </c>
      <c r="K26" s="12">
        <v>455</v>
      </c>
      <c r="L26" s="12">
        <v>323</v>
      </c>
      <c r="M26" s="12">
        <v>389</v>
      </c>
      <c r="N26" s="12">
        <v>421</v>
      </c>
      <c r="O26" s="12">
        <v>411</v>
      </c>
      <c r="P26" s="12">
        <v>389</v>
      </c>
      <c r="Q26" s="12">
        <v>408</v>
      </c>
      <c r="R26" s="12">
        <v>265</v>
      </c>
      <c r="S26" s="12">
        <v>582</v>
      </c>
      <c r="T26" s="12">
        <v>529</v>
      </c>
      <c r="U26" s="12">
        <v>178</v>
      </c>
      <c r="V26" s="12">
        <v>458</v>
      </c>
      <c r="W26" s="12">
        <v>223</v>
      </c>
      <c r="X26" s="12">
        <v>352</v>
      </c>
      <c r="Y26" s="12">
        <v>369</v>
      </c>
      <c r="Z26" s="12">
        <v>426</v>
      </c>
      <c r="AA26" s="12">
        <v>335</v>
      </c>
      <c r="AB26" s="12">
        <v>303</v>
      </c>
      <c r="AC26" s="12">
        <v>520</v>
      </c>
      <c r="AD26" s="12">
        <v>373</v>
      </c>
      <c r="AE26" s="12">
        <v>492</v>
      </c>
      <c r="AF26" s="12">
        <v>408</v>
      </c>
    </row>
    <row r="27" spans="1:32" x14ac:dyDescent="0.25">
      <c r="A27" s="19"/>
      <c r="B27" s="13" t="s">
        <v>219</v>
      </c>
      <c r="C27" s="14">
        <v>0.41</v>
      </c>
      <c r="D27" s="14">
        <v>0.38</v>
      </c>
      <c r="E27" s="14">
        <v>0.28999999999999998</v>
      </c>
      <c r="F27" s="14">
        <v>0.45</v>
      </c>
      <c r="G27" s="14">
        <v>0.34</v>
      </c>
      <c r="H27" s="14">
        <v>0.45</v>
      </c>
      <c r="I27" s="14">
        <v>0.45</v>
      </c>
      <c r="J27" s="14">
        <v>0.47</v>
      </c>
      <c r="K27" s="14">
        <v>0.45</v>
      </c>
      <c r="L27" s="14">
        <v>0.32</v>
      </c>
      <c r="M27" s="14">
        <v>0.39</v>
      </c>
      <c r="N27" s="14">
        <v>0.42</v>
      </c>
      <c r="O27" s="14">
        <v>0.41</v>
      </c>
      <c r="P27" s="14">
        <v>0.39</v>
      </c>
      <c r="Q27" s="14">
        <v>0.4</v>
      </c>
      <c r="R27" s="14">
        <v>0.53</v>
      </c>
      <c r="S27" s="14">
        <v>0.57999999999999996</v>
      </c>
      <c r="T27" s="14">
        <v>0.52</v>
      </c>
      <c r="U27" s="14">
        <v>0.35</v>
      </c>
      <c r="V27" s="14">
        <v>0.45</v>
      </c>
      <c r="W27" s="14">
        <v>0.45</v>
      </c>
      <c r="X27" s="14">
        <v>0.35</v>
      </c>
      <c r="Y27" s="14">
        <v>0.37</v>
      </c>
      <c r="Z27" s="14">
        <v>0.42</v>
      </c>
      <c r="AA27" s="14">
        <v>0.32</v>
      </c>
      <c r="AB27" s="14">
        <v>0.28999999999999998</v>
      </c>
      <c r="AC27" s="14">
        <v>0.52</v>
      </c>
      <c r="AD27" s="14">
        <v>0.37</v>
      </c>
      <c r="AE27" s="14">
        <v>0.49</v>
      </c>
      <c r="AF27" s="14">
        <v>0.4</v>
      </c>
    </row>
    <row r="28" spans="1:32" x14ac:dyDescent="0.25">
      <c r="A28" s="19"/>
      <c r="B28" s="11" t="s">
        <v>227</v>
      </c>
      <c r="C28" s="12">
        <v>5312</v>
      </c>
      <c r="D28" s="12">
        <v>262</v>
      </c>
      <c r="E28" s="12">
        <v>283</v>
      </c>
      <c r="F28" s="12">
        <v>276</v>
      </c>
      <c r="G28" s="12">
        <v>90</v>
      </c>
      <c r="H28" s="12">
        <v>190</v>
      </c>
      <c r="I28" s="12">
        <v>273</v>
      </c>
      <c r="J28" s="12">
        <v>82</v>
      </c>
      <c r="K28" s="12">
        <v>169</v>
      </c>
      <c r="L28" s="12">
        <v>136</v>
      </c>
      <c r="M28" s="12">
        <v>284</v>
      </c>
      <c r="N28" s="12">
        <v>231</v>
      </c>
      <c r="O28" s="12">
        <v>311</v>
      </c>
      <c r="P28" s="12">
        <v>197</v>
      </c>
      <c r="Q28" s="12">
        <v>165</v>
      </c>
      <c r="R28" s="12">
        <v>69</v>
      </c>
      <c r="S28" s="12">
        <v>141</v>
      </c>
      <c r="T28" s="12">
        <v>125</v>
      </c>
      <c r="U28" s="12">
        <v>62</v>
      </c>
      <c r="V28" s="12">
        <v>169</v>
      </c>
      <c r="W28" s="12">
        <v>49</v>
      </c>
      <c r="X28" s="12">
        <v>159</v>
      </c>
      <c r="Y28" s="12">
        <v>262</v>
      </c>
      <c r="Z28" s="12">
        <v>118</v>
      </c>
      <c r="AA28" s="12">
        <v>79</v>
      </c>
      <c r="AB28" s="12">
        <v>276</v>
      </c>
      <c r="AC28" s="12">
        <v>194</v>
      </c>
      <c r="AD28" s="12">
        <v>194</v>
      </c>
      <c r="AE28" s="12">
        <v>143</v>
      </c>
      <c r="AF28" s="12">
        <v>107</v>
      </c>
    </row>
    <row r="29" spans="1:32" x14ac:dyDescent="0.25">
      <c r="A29" s="19"/>
      <c r="B29" s="13" t="s">
        <v>228</v>
      </c>
      <c r="C29" s="14">
        <v>0.2</v>
      </c>
      <c r="D29" s="14">
        <v>0.26</v>
      </c>
      <c r="E29" s="14">
        <v>0.27</v>
      </c>
      <c r="F29" s="14">
        <v>0.26</v>
      </c>
      <c r="G29" s="14">
        <v>0.09</v>
      </c>
      <c r="H29" s="14">
        <v>0.16</v>
      </c>
      <c r="I29" s="14">
        <v>0.18</v>
      </c>
      <c r="J29" s="14">
        <v>0.27</v>
      </c>
      <c r="K29" s="14">
        <v>0.17</v>
      </c>
      <c r="L29" s="14">
        <v>0.14000000000000001</v>
      </c>
      <c r="M29" s="14">
        <v>0.28000000000000003</v>
      </c>
      <c r="N29" s="14">
        <v>0.23</v>
      </c>
      <c r="O29" s="14">
        <v>0.31</v>
      </c>
      <c r="P29" s="14">
        <v>0.2</v>
      </c>
      <c r="Q29" s="14">
        <v>0.16</v>
      </c>
      <c r="R29" s="14">
        <v>0.14000000000000001</v>
      </c>
      <c r="S29" s="14">
        <v>0.14000000000000001</v>
      </c>
      <c r="T29" s="14">
        <v>0.12</v>
      </c>
      <c r="U29" s="14">
        <v>0.13</v>
      </c>
      <c r="V29" s="14">
        <v>0.16</v>
      </c>
      <c r="W29" s="14">
        <v>0.09</v>
      </c>
      <c r="X29" s="14">
        <v>0.15</v>
      </c>
      <c r="Y29" s="14">
        <v>0.26</v>
      </c>
      <c r="Z29" s="14">
        <v>0.11</v>
      </c>
      <c r="AA29" s="14">
        <v>7.0000000000000007E-2</v>
      </c>
      <c r="AB29" s="14">
        <v>0.27</v>
      </c>
      <c r="AC29" s="14">
        <v>0.19</v>
      </c>
      <c r="AD29" s="14">
        <v>0.19</v>
      </c>
      <c r="AE29" s="14">
        <v>0.14000000000000001</v>
      </c>
      <c r="AF29" s="14">
        <v>0.1</v>
      </c>
    </row>
  </sheetData>
  <mergeCells count="10">
    <mergeCell ref="H3:L3"/>
    <mergeCell ref="C8:AF8"/>
    <mergeCell ref="B3:F3"/>
    <mergeCell ref="B5:F5"/>
    <mergeCell ref="A24:A29"/>
    <mergeCell ref="H5:L5"/>
    <mergeCell ref="B10:B11"/>
    <mergeCell ref="H4:L4"/>
    <mergeCell ref="A10:A23"/>
    <mergeCell ref="B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13</v>
      </c>
      <c r="C3" s="18"/>
      <c r="D3" s="18"/>
      <c r="E3" s="18"/>
      <c r="F3" s="18"/>
      <c r="H3" s="18" t="s">
        <v>14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229</v>
      </c>
      <c r="C12" s="12">
        <v>15631</v>
      </c>
      <c r="D12" s="12">
        <v>710</v>
      </c>
      <c r="E12" s="12">
        <v>424</v>
      </c>
      <c r="F12" s="12">
        <v>407</v>
      </c>
      <c r="G12" s="12">
        <v>379</v>
      </c>
      <c r="H12" s="12">
        <v>750</v>
      </c>
      <c r="I12" s="12">
        <v>896</v>
      </c>
      <c r="J12" s="12">
        <v>145</v>
      </c>
      <c r="K12" s="12">
        <v>390</v>
      </c>
      <c r="L12" s="12">
        <v>586</v>
      </c>
      <c r="M12" s="12">
        <v>774</v>
      </c>
      <c r="N12" s="12">
        <v>783</v>
      </c>
      <c r="O12" s="12">
        <v>478</v>
      </c>
      <c r="P12" s="12">
        <v>612</v>
      </c>
      <c r="Q12" s="12">
        <v>688</v>
      </c>
      <c r="R12" s="12">
        <v>448</v>
      </c>
      <c r="S12" s="12">
        <v>573</v>
      </c>
      <c r="T12" s="12">
        <v>692</v>
      </c>
      <c r="U12" s="12">
        <v>344</v>
      </c>
      <c r="V12" s="12">
        <v>603</v>
      </c>
      <c r="W12" s="12">
        <v>389</v>
      </c>
      <c r="X12" s="12">
        <v>674</v>
      </c>
      <c r="Y12" s="12">
        <v>465</v>
      </c>
      <c r="Z12" s="12">
        <v>516</v>
      </c>
      <c r="AA12" s="12">
        <v>715</v>
      </c>
      <c r="AB12" s="12">
        <v>609</v>
      </c>
      <c r="AC12" s="12">
        <v>629</v>
      </c>
      <c r="AD12" s="12">
        <v>486</v>
      </c>
      <c r="AE12" s="12">
        <v>509</v>
      </c>
      <c r="AF12" s="12">
        <v>444</v>
      </c>
    </row>
    <row r="13" spans="1:32" x14ac:dyDescent="0.25">
      <c r="A13" s="19"/>
      <c r="B13" s="13" t="s">
        <v>230</v>
      </c>
      <c r="C13" s="14">
        <v>0.59</v>
      </c>
      <c r="D13" s="14">
        <v>0.69000000000000006</v>
      </c>
      <c r="E13" s="14">
        <v>0.41</v>
      </c>
      <c r="F13" s="14">
        <v>0.38</v>
      </c>
      <c r="G13" s="14">
        <v>0.37</v>
      </c>
      <c r="H13" s="14">
        <v>0.61</v>
      </c>
      <c r="I13" s="14">
        <v>0.59</v>
      </c>
      <c r="J13" s="14">
        <v>0.49</v>
      </c>
      <c r="K13" s="14">
        <v>0.39</v>
      </c>
      <c r="L13" s="14">
        <v>0.57999999999999996</v>
      </c>
      <c r="M13" s="14">
        <v>0.77</v>
      </c>
      <c r="N13" s="14">
        <v>0.77</v>
      </c>
      <c r="O13" s="14">
        <v>0.48</v>
      </c>
      <c r="P13" s="14">
        <v>0.61</v>
      </c>
      <c r="Q13" s="14">
        <v>0.67</v>
      </c>
      <c r="R13" s="14">
        <v>0.9</v>
      </c>
      <c r="S13" s="14">
        <v>0.57000000000000006</v>
      </c>
      <c r="T13" s="14">
        <v>0.68</v>
      </c>
      <c r="U13" s="14">
        <v>0.68</v>
      </c>
      <c r="V13" s="14">
        <v>0.59</v>
      </c>
      <c r="W13" s="14">
        <v>0.77</v>
      </c>
      <c r="X13" s="14">
        <v>0.67</v>
      </c>
      <c r="Y13" s="14">
        <v>0.46</v>
      </c>
      <c r="Z13" s="14">
        <v>0.51</v>
      </c>
      <c r="AA13" s="14">
        <v>0.69000000000000006</v>
      </c>
      <c r="AB13" s="14">
        <v>0.59</v>
      </c>
      <c r="AC13" s="14">
        <v>0.62</v>
      </c>
      <c r="AD13" s="14">
        <v>0.48</v>
      </c>
      <c r="AE13" s="14">
        <v>0.51</v>
      </c>
      <c r="AF13" s="14">
        <v>0.43</v>
      </c>
    </row>
    <row r="14" spans="1:32" x14ac:dyDescent="0.25">
      <c r="A14" s="19"/>
      <c r="B14" s="11" t="s">
        <v>231</v>
      </c>
      <c r="C14" s="12">
        <v>6929</v>
      </c>
      <c r="D14" s="12">
        <v>251</v>
      </c>
      <c r="E14" s="12">
        <v>405</v>
      </c>
      <c r="F14" s="12">
        <v>524</v>
      </c>
      <c r="G14" s="12">
        <v>320</v>
      </c>
      <c r="H14" s="12">
        <v>305</v>
      </c>
      <c r="I14" s="12">
        <v>428</v>
      </c>
      <c r="J14" s="12">
        <v>123</v>
      </c>
      <c r="K14" s="12">
        <v>327</v>
      </c>
      <c r="L14" s="12">
        <v>229</v>
      </c>
      <c r="M14" s="12">
        <v>152</v>
      </c>
      <c r="N14" s="12">
        <v>103</v>
      </c>
      <c r="O14" s="12">
        <v>324</v>
      </c>
      <c r="P14" s="12">
        <v>333</v>
      </c>
      <c r="Q14" s="12">
        <v>218</v>
      </c>
      <c r="R14" s="12">
        <v>32</v>
      </c>
      <c r="S14" s="12">
        <v>247</v>
      </c>
      <c r="T14" s="12">
        <v>150</v>
      </c>
      <c r="U14" s="12">
        <v>81</v>
      </c>
      <c r="V14" s="12">
        <v>325</v>
      </c>
      <c r="W14" s="12">
        <v>71</v>
      </c>
      <c r="X14" s="12">
        <v>250</v>
      </c>
      <c r="Y14" s="12">
        <v>352</v>
      </c>
      <c r="Z14" s="12">
        <v>345</v>
      </c>
      <c r="AA14" s="12">
        <v>43</v>
      </c>
      <c r="AB14" s="12">
        <v>312</v>
      </c>
      <c r="AC14" s="12">
        <v>191</v>
      </c>
      <c r="AD14" s="12">
        <v>328</v>
      </c>
      <c r="AE14" s="12">
        <v>304</v>
      </c>
      <c r="AF14" s="12">
        <v>370</v>
      </c>
    </row>
    <row r="15" spans="1:32" x14ac:dyDescent="0.25">
      <c r="A15" s="19"/>
      <c r="B15" s="13" t="s">
        <v>232</v>
      </c>
      <c r="C15" s="14">
        <v>0.26</v>
      </c>
      <c r="D15" s="14">
        <v>0.25</v>
      </c>
      <c r="E15" s="14">
        <v>0.39</v>
      </c>
      <c r="F15" s="14">
        <v>0.49</v>
      </c>
      <c r="G15" s="14">
        <v>0.31</v>
      </c>
      <c r="H15" s="14">
        <v>0.25</v>
      </c>
      <c r="I15" s="14">
        <v>0.28000000000000003</v>
      </c>
      <c r="J15" s="14">
        <v>0.41</v>
      </c>
      <c r="K15" s="14">
        <v>0.33</v>
      </c>
      <c r="L15" s="14">
        <v>0.23</v>
      </c>
      <c r="M15" s="14">
        <v>0.15</v>
      </c>
      <c r="N15" s="14">
        <v>0.1</v>
      </c>
      <c r="O15" s="14">
        <v>0.32</v>
      </c>
      <c r="P15" s="14">
        <v>0.33</v>
      </c>
      <c r="Q15" s="14">
        <v>0.21</v>
      </c>
      <c r="R15" s="14">
        <v>0.06</v>
      </c>
      <c r="S15" s="14">
        <v>0.24</v>
      </c>
      <c r="T15" s="14">
        <v>0.15</v>
      </c>
      <c r="U15" s="14">
        <v>0.16</v>
      </c>
      <c r="V15" s="14">
        <v>0.32</v>
      </c>
      <c r="W15" s="14">
        <v>0.14000000000000001</v>
      </c>
      <c r="X15" s="14">
        <v>0.25</v>
      </c>
      <c r="Y15" s="14">
        <v>0.35</v>
      </c>
      <c r="Z15" s="14">
        <v>0.34</v>
      </c>
      <c r="AA15" s="14">
        <v>0.04</v>
      </c>
      <c r="AB15" s="14">
        <v>0.3</v>
      </c>
      <c r="AC15" s="14">
        <v>0.19</v>
      </c>
      <c r="AD15" s="14">
        <v>0.33</v>
      </c>
      <c r="AE15" s="14">
        <v>0.3</v>
      </c>
      <c r="AF15" s="14">
        <v>0.36</v>
      </c>
    </row>
    <row r="16" spans="1:32" ht="34.5" x14ac:dyDescent="0.25">
      <c r="A16" s="19"/>
      <c r="B16" s="11" t="s">
        <v>233</v>
      </c>
      <c r="C16" s="12">
        <v>2717</v>
      </c>
      <c r="D16" s="12">
        <v>43</v>
      </c>
      <c r="E16" s="12">
        <v>149</v>
      </c>
      <c r="F16" s="12">
        <v>104</v>
      </c>
      <c r="G16" s="12">
        <v>249</v>
      </c>
      <c r="H16" s="12">
        <v>156</v>
      </c>
      <c r="I16" s="12">
        <v>182</v>
      </c>
      <c r="J16" s="12">
        <v>27</v>
      </c>
      <c r="K16" s="12">
        <v>225</v>
      </c>
      <c r="L16" s="12">
        <v>138</v>
      </c>
      <c r="M16" s="12">
        <v>51</v>
      </c>
      <c r="N16" s="12">
        <v>67</v>
      </c>
      <c r="O16" s="12">
        <v>102</v>
      </c>
      <c r="P16" s="12">
        <v>42</v>
      </c>
      <c r="Q16" s="12">
        <v>85</v>
      </c>
      <c r="R16" s="12">
        <v>12</v>
      </c>
      <c r="S16" s="12">
        <v>87</v>
      </c>
      <c r="T16" s="12">
        <v>138</v>
      </c>
      <c r="U16" s="12">
        <v>60</v>
      </c>
      <c r="V16" s="12">
        <v>71</v>
      </c>
      <c r="W16" s="12">
        <v>35</v>
      </c>
      <c r="X16" s="12">
        <v>66</v>
      </c>
      <c r="Y16" s="12">
        <v>165</v>
      </c>
      <c r="Z16" s="12">
        <v>123</v>
      </c>
      <c r="AA16" s="12">
        <v>215</v>
      </c>
      <c r="AB16" s="12">
        <v>68</v>
      </c>
      <c r="AC16" s="12">
        <v>148</v>
      </c>
      <c r="AD16" s="12">
        <v>158</v>
      </c>
      <c r="AE16" s="12">
        <v>105</v>
      </c>
      <c r="AF16" s="12">
        <v>184</v>
      </c>
    </row>
    <row r="17" spans="1:32" ht="23.25" x14ac:dyDescent="0.25">
      <c r="A17" s="19"/>
      <c r="B17" s="13" t="s">
        <v>234</v>
      </c>
      <c r="C17" s="14">
        <v>0.1</v>
      </c>
      <c r="D17" s="14">
        <v>0.04</v>
      </c>
      <c r="E17" s="14">
        <v>0.14000000000000001</v>
      </c>
      <c r="F17" s="14">
        <v>0.1</v>
      </c>
      <c r="G17" s="14">
        <v>0.25</v>
      </c>
      <c r="H17" s="14">
        <v>0.13</v>
      </c>
      <c r="I17" s="14">
        <v>0.12</v>
      </c>
      <c r="J17" s="14">
        <v>0.09</v>
      </c>
      <c r="K17" s="14">
        <v>0.22</v>
      </c>
      <c r="L17" s="14">
        <v>0.14000000000000001</v>
      </c>
      <c r="M17" s="14">
        <v>0.05</v>
      </c>
      <c r="N17" s="14">
        <v>7.0000000000000007E-2</v>
      </c>
      <c r="O17" s="14">
        <v>0.1</v>
      </c>
      <c r="P17" s="14">
        <v>0.04</v>
      </c>
      <c r="Q17" s="14">
        <v>0.08</v>
      </c>
      <c r="R17" s="14">
        <v>0.02</v>
      </c>
      <c r="S17" s="14">
        <v>0.09</v>
      </c>
      <c r="T17" s="14">
        <v>0.13</v>
      </c>
      <c r="U17" s="14">
        <v>0.12</v>
      </c>
      <c r="V17" s="14">
        <v>7.0000000000000007E-2</v>
      </c>
      <c r="W17" s="14">
        <v>7.0000000000000007E-2</v>
      </c>
      <c r="X17" s="14">
        <v>0.06</v>
      </c>
      <c r="Y17" s="14">
        <v>0.17</v>
      </c>
      <c r="Z17" s="14">
        <v>0.12</v>
      </c>
      <c r="AA17" s="14">
        <v>0.21</v>
      </c>
      <c r="AB17" s="14">
        <v>0.06</v>
      </c>
      <c r="AC17" s="14">
        <v>0.15</v>
      </c>
      <c r="AD17" s="14">
        <v>0.16</v>
      </c>
      <c r="AE17" s="14">
        <v>0.11</v>
      </c>
      <c r="AF17" s="14">
        <v>0.18</v>
      </c>
    </row>
    <row r="18" spans="1:32" x14ac:dyDescent="0.25">
      <c r="A18" s="19"/>
      <c r="B18" s="11" t="s">
        <v>224</v>
      </c>
      <c r="C18" s="12">
        <v>1176</v>
      </c>
      <c r="D18" s="12">
        <v>17</v>
      </c>
      <c r="E18" s="12">
        <v>68</v>
      </c>
      <c r="F18" s="12">
        <v>29</v>
      </c>
      <c r="G18" s="12">
        <v>68</v>
      </c>
      <c r="H18" s="12">
        <v>18</v>
      </c>
      <c r="I18" s="12">
        <v>21</v>
      </c>
      <c r="J18" s="12">
        <v>3</v>
      </c>
      <c r="K18" s="12">
        <v>64</v>
      </c>
      <c r="L18" s="12">
        <v>53</v>
      </c>
      <c r="M18" s="12">
        <v>31</v>
      </c>
      <c r="N18" s="12">
        <v>58</v>
      </c>
      <c r="O18" s="12">
        <v>100</v>
      </c>
      <c r="P18" s="12">
        <v>16</v>
      </c>
      <c r="Q18" s="12">
        <v>40</v>
      </c>
      <c r="R18" s="12">
        <v>8</v>
      </c>
      <c r="S18" s="12">
        <v>98</v>
      </c>
      <c r="T18" s="12">
        <v>43</v>
      </c>
      <c r="U18" s="12">
        <v>23</v>
      </c>
      <c r="V18" s="12">
        <v>27</v>
      </c>
      <c r="W18" s="12">
        <v>8</v>
      </c>
      <c r="X18" s="12">
        <v>20</v>
      </c>
      <c r="Y18" s="12">
        <v>21</v>
      </c>
      <c r="Z18" s="12">
        <v>32</v>
      </c>
      <c r="AA18" s="12">
        <v>64</v>
      </c>
      <c r="AB18" s="12">
        <v>52</v>
      </c>
      <c r="AC18" s="12">
        <v>38</v>
      </c>
      <c r="AD18" s="12">
        <v>31</v>
      </c>
      <c r="AE18" s="12">
        <v>83</v>
      </c>
      <c r="AF18" s="12">
        <v>34</v>
      </c>
    </row>
    <row r="19" spans="1:32" x14ac:dyDescent="0.25">
      <c r="A19" s="19"/>
      <c r="B19" s="13" t="s">
        <v>225</v>
      </c>
      <c r="C19" s="14">
        <v>0.05</v>
      </c>
      <c r="D19" s="14">
        <v>0.02</v>
      </c>
      <c r="E19" s="14">
        <v>0.06</v>
      </c>
      <c r="F19" s="14">
        <v>0.03</v>
      </c>
      <c r="G19" s="14">
        <v>7.0000000000000007E-2</v>
      </c>
      <c r="H19" s="14">
        <v>0.01</v>
      </c>
      <c r="I19" s="14">
        <v>0.01</v>
      </c>
      <c r="J19" s="14">
        <v>0.01</v>
      </c>
      <c r="K19" s="14">
        <v>0.06</v>
      </c>
      <c r="L19" s="14">
        <v>0.05</v>
      </c>
      <c r="M19" s="14">
        <v>0.03</v>
      </c>
      <c r="N19" s="14">
        <v>0.06</v>
      </c>
      <c r="O19" s="14">
        <v>0.1</v>
      </c>
      <c r="P19" s="14">
        <v>0.02</v>
      </c>
      <c r="Q19" s="14">
        <v>0.04</v>
      </c>
      <c r="R19" s="14">
        <v>0.02</v>
      </c>
      <c r="S19" s="14">
        <v>0.1</v>
      </c>
      <c r="T19" s="14">
        <v>0.04</v>
      </c>
      <c r="U19" s="14">
        <v>0.04</v>
      </c>
      <c r="V19" s="14">
        <v>0.02</v>
      </c>
      <c r="W19" s="14">
        <v>0.02</v>
      </c>
      <c r="X19" s="14">
        <v>0.02</v>
      </c>
      <c r="Y19" s="14">
        <v>0.02</v>
      </c>
      <c r="Z19" s="14">
        <v>0.03</v>
      </c>
      <c r="AA19" s="14">
        <v>0.06</v>
      </c>
      <c r="AB19" s="14">
        <v>0.05</v>
      </c>
      <c r="AC19" s="14">
        <v>0.04</v>
      </c>
      <c r="AD19" s="14">
        <v>0.03</v>
      </c>
      <c r="AE19" s="14">
        <v>0.08</v>
      </c>
      <c r="AF19" s="14">
        <v>0.03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15</v>
      </c>
      <c r="C3" s="18"/>
      <c r="D3" s="18"/>
      <c r="E3" s="18"/>
      <c r="F3" s="18"/>
      <c r="H3" s="18" t="s">
        <v>16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214</v>
      </c>
      <c r="C12" s="12">
        <v>2140</v>
      </c>
      <c r="D12" s="12">
        <v>50</v>
      </c>
      <c r="E12" s="12">
        <v>134</v>
      </c>
      <c r="F12" s="12">
        <v>54</v>
      </c>
      <c r="G12" s="12">
        <v>142</v>
      </c>
      <c r="H12" s="12">
        <v>89</v>
      </c>
      <c r="I12" s="12">
        <v>109</v>
      </c>
      <c r="J12" s="12">
        <v>19</v>
      </c>
      <c r="K12" s="12">
        <v>60</v>
      </c>
      <c r="L12" s="12">
        <v>261</v>
      </c>
      <c r="M12" s="12">
        <v>54</v>
      </c>
      <c r="N12" s="12">
        <v>75</v>
      </c>
      <c r="O12" s="12">
        <v>50</v>
      </c>
      <c r="P12" s="12">
        <v>97</v>
      </c>
      <c r="Q12" s="12">
        <v>112</v>
      </c>
      <c r="R12" s="12">
        <v>20</v>
      </c>
      <c r="S12" s="12">
        <v>81</v>
      </c>
      <c r="T12" s="12">
        <v>101</v>
      </c>
      <c r="U12" s="12">
        <v>57</v>
      </c>
      <c r="V12" s="12">
        <v>59</v>
      </c>
      <c r="W12" s="12">
        <v>64</v>
      </c>
      <c r="X12" s="12">
        <v>101</v>
      </c>
      <c r="Y12" s="12">
        <v>110</v>
      </c>
      <c r="Z12" s="12">
        <v>93</v>
      </c>
      <c r="AA12" s="12">
        <v>74</v>
      </c>
      <c r="AB12" s="12">
        <v>63</v>
      </c>
      <c r="AC12" s="12">
        <v>57</v>
      </c>
      <c r="AD12" s="12">
        <v>95</v>
      </c>
      <c r="AE12" s="12">
        <v>74</v>
      </c>
      <c r="AF12" s="12">
        <v>141</v>
      </c>
    </row>
    <row r="13" spans="1:32" x14ac:dyDescent="0.25">
      <c r="A13" s="19"/>
      <c r="B13" s="13" t="s">
        <v>215</v>
      </c>
      <c r="C13" s="14">
        <v>0.08</v>
      </c>
      <c r="D13" s="14">
        <v>0.05</v>
      </c>
      <c r="E13" s="14">
        <v>0.13</v>
      </c>
      <c r="F13" s="14">
        <v>0.05</v>
      </c>
      <c r="G13" s="14">
        <v>0.14000000000000001</v>
      </c>
      <c r="H13" s="14">
        <v>7.0000000000000007E-2</v>
      </c>
      <c r="I13" s="14">
        <v>7.0000000000000007E-2</v>
      </c>
      <c r="J13" s="14">
        <v>0.06</v>
      </c>
      <c r="K13" s="14">
        <v>0.06</v>
      </c>
      <c r="L13" s="14">
        <v>0.26</v>
      </c>
      <c r="M13" s="14">
        <v>0.05</v>
      </c>
      <c r="N13" s="14">
        <v>7.0000000000000007E-2</v>
      </c>
      <c r="O13" s="14">
        <v>0.05</v>
      </c>
      <c r="P13" s="14">
        <v>0.1</v>
      </c>
      <c r="Q13" s="14">
        <v>0.11</v>
      </c>
      <c r="R13" s="14">
        <v>0.04</v>
      </c>
      <c r="S13" s="14">
        <v>0.08</v>
      </c>
      <c r="T13" s="14">
        <v>0.1</v>
      </c>
      <c r="U13" s="14">
        <v>0.11</v>
      </c>
      <c r="V13" s="14">
        <v>0.06</v>
      </c>
      <c r="W13" s="14">
        <v>0.13</v>
      </c>
      <c r="X13" s="14">
        <v>0.1</v>
      </c>
      <c r="Y13" s="14">
        <v>0.11</v>
      </c>
      <c r="Z13" s="14">
        <v>0.09</v>
      </c>
      <c r="AA13" s="14">
        <v>7.0000000000000007E-2</v>
      </c>
      <c r="AB13" s="14">
        <v>0.06</v>
      </c>
      <c r="AC13" s="14">
        <v>0.06</v>
      </c>
      <c r="AD13" s="14">
        <v>0.1</v>
      </c>
      <c r="AE13" s="14">
        <v>7.0000000000000007E-2</v>
      </c>
      <c r="AF13" s="14">
        <v>0.14000000000000001</v>
      </c>
    </row>
    <row r="14" spans="1:32" x14ac:dyDescent="0.25">
      <c r="A14" s="19"/>
      <c r="B14" s="11" t="s">
        <v>235</v>
      </c>
      <c r="C14" s="12">
        <v>10842</v>
      </c>
      <c r="D14" s="12">
        <v>421</v>
      </c>
      <c r="E14" s="12">
        <v>360</v>
      </c>
      <c r="F14" s="12">
        <v>293</v>
      </c>
      <c r="G14" s="12">
        <v>544</v>
      </c>
      <c r="H14" s="12">
        <v>588</v>
      </c>
      <c r="I14" s="12">
        <v>671</v>
      </c>
      <c r="J14" s="12">
        <v>83</v>
      </c>
      <c r="K14" s="12">
        <v>448</v>
      </c>
      <c r="L14" s="12">
        <v>414</v>
      </c>
      <c r="M14" s="12">
        <v>287</v>
      </c>
      <c r="N14" s="12">
        <v>422</v>
      </c>
      <c r="O14" s="12">
        <v>335</v>
      </c>
      <c r="P14" s="12">
        <v>419</v>
      </c>
      <c r="Q14" s="12">
        <v>408</v>
      </c>
      <c r="R14" s="12">
        <v>192</v>
      </c>
      <c r="S14" s="12">
        <v>386</v>
      </c>
      <c r="T14" s="12">
        <v>491</v>
      </c>
      <c r="U14" s="12">
        <v>261</v>
      </c>
      <c r="V14" s="12">
        <v>413</v>
      </c>
      <c r="W14" s="12">
        <v>205</v>
      </c>
      <c r="X14" s="12">
        <v>510</v>
      </c>
      <c r="Y14" s="12">
        <v>304</v>
      </c>
      <c r="Z14" s="12">
        <v>420</v>
      </c>
      <c r="AA14" s="12">
        <v>642</v>
      </c>
      <c r="AB14" s="12">
        <v>450</v>
      </c>
      <c r="AC14" s="12">
        <v>360</v>
      </c>
      <c r="AD14" s="12">
        <v>412</v>
      </c>
      <c r="AE14" s="12">
        <v>458</v>
      </c>
      <c r="AF14" s="12">
        <v>576</v>
      </c>
    </row>
    <row r="15" spans="1:32" x14ac:dyDescent="0.25">
      <c r="A15" s="19"/>
      <c r="B15" s="13" t="s">
        <v>217</v>
      </c>
      <c r="C15" s="14">
        <v>0.41</v>
      </c>
      <c r="D15" s="14">
        <v>0.41</v>
      </c>
      <c r="E15" s="14">
        <v>0.34</v>
      </c>
      <c r="F15" s="14">
        <v>0.28000000000000003</v>
      </c>
      <c r="G15" s="14">
        <v>0.53</v>
      </c>
      <c r="H15" s="14">
        <v>0.48</v>
      </c>
      <c r="I15" s="14">
        <v>0.44</v>
      </c>
      <c r="J15" s="14">
        <v>0.28000000000000003</v>
      </c>
      <c r="K15" s="14">
        <v>0.44</v>
      </c>
      <c r="L15" s="14">
        <v>0.41</v>
      </c>
      <c r="M15" s="14">
        <v>0.28999999999999998</v>
      </c>
      <c r="N15" s="14">
        <v>0.42</v>
      </c>
      <c r="O15" s="14">
        <v>0.33</v>
      </c>
      <c r="P15" s="14">
        <v>0.42</v>
      </c>
      <c r="Q15" s="14">
        <v>0.4</v>
      </c>
      <c r="R15" s="14">
        <v>0.38</v>
      </c>
      <c r="S15" s="14">
        <v>0.38</v>
      </c>
      <c r="T15" s="14">
        <v>0.48</v>
      </c>
      <c r="U15" s="14">
        <v>0.51</v>
      </c>
      <c r="V15" s="14">
        <v>0.4</v>
      </c>
      <c r="W15" s="14">
        <v>0.41</v>
      </c>
      <c r="X15" s="14">
        <v>0.51</v>
      </c>
      <c r="Y15" s="14">
        <v>0.31</v>
      </c>
      <c r="Z15" s="14">
        <v>0.42</v>
      </c>
      <c r="AA15" s="14">
        <v>0.62</v>
      </c>
      <c r="AB15" s="14">
        <v>0.43</v>
      </c>
      <c r="AC15" s="14">
        <v>0.36</v>
      </c>
      <c r="AD15" s="14">
        <v>0.41</v>
      </c>
      <c r="AE15" s="14">
        <v>0.46</v>
      </c>
      <c r="AF15" s="14">
        <v>0.56000000000000005</v>
      </c>
    </row>
    <row r="16" spans="1:32" x14ac:dyDescent="0.25">
      <c r="A16" s="19"/>
      <c r="B16" s="11" t="s">
        <v>218</v>
      </c>
      <c r="C16" s="12">
        <v>8886</v>
      </c>
      <c r="D16" s="12">
        <v>323</v>
      </c>
      <c r="E16" s="12">
        <v>293</v>
      </c>
      <c r="F16" s="12">
        <v>457</v>
      </c>
      <c r="G16" s="12">
        <v>230</v>
      </c>
      <c r="H16" s="12">
        <v>400</v>
      </c>
      <c r="I16" s="12">
        <v>526</v>
      </c>
      <c r="J16" s="12">
        <v>125</v>
      </c>
      <c r="K16" s="12">
        <v>359</v>
      </c>
      <c r="L16" s="12">
        <v>223</v>
      </c>
      <c r="M16" s="12">
        <v>364</v>
      </c>
      <c r="N16" s="12">
        <v>318</v>
      </c>
      <c r="O16" s="12">
        <v>328</v>
      </c>
      <c r="P16" s="12">
        <v>357</v>
      </c>
      <c r="Q16" s="12">
        <v>388</v>
      </c>
      <c r="R16" s="12">
        <v>193</v>
      </c>
      <c r="S16" s="12">
        <v>400</v>
      </c>
      <c r="T16" s="12">
        <v>360</v>
      </c>
      <c r="U16" s="12">
        <v>114</v>
      </c>
      <c r="V16" s="12">
        <v>419</v>
      </c>
      <c r="W16" s="12">
        <v>177</v>
      </c>
      <c r="X16" s="12">
        <v>257</v>
      </c>
      <c r="Y16" s="12">
        <v>342</v>
      </c>
      <c r="Z16" s="12">
        <v>398</v>
      </c>
      <c r="AA16" s="12">
        <v>250</v>
      </c>
      <c r="AB16" s="12">
        <v>347</v>
      </c>
      <c r="AC16" s="12">
        <v>394</v>
      </c>
      <c r="AD16" s="12">
        <v>305</v>
      </c>
      <c r="AE16" s="12">
        <v>299</v>
      </c>
      <c r="AF16" s="12">
        <v>225</v>
      </c>
    </row>
    <row r="17" spans="1:32" x14ac:dyDescent="0.25">
      <c r="A17" s="19"/>
      <c r="B17" s="13" t="s">
        <v>219</v>
      </c>
      <c r="C17" s="14">
        <v>0.34</v>
      </c>
      <c r="D17" s="14">
        <v>0.32</v>
      </c>
      <c r="E17" s="14">
        <v>0.28000000000000003</v>
      </c>
      <c r="F17" s="14">
        <v>0.43</v>
      </c>
      <c r="G17" s="14">
        <v>0.23</v>
      </c>
      <c r="H17" s="14">
        <v>0.33</v>
      </c>
      <c r="I17" s="14">
        <v>0.34</v>
      </c>
      <c r="J17" s="14">
        <v>0.42</v>
      </c>
      <c r="K17" s="14">
        <v>0.36</v>
      </c>
      <c r="L17" s="14">
        <v>0.22</v>
      </c>
      <c r="M17" s="14">
        <v>0.36</v>
      </c>
      <c r="N17" s="14">
        <v>0.31</v>
      </c>
      <c r="O17" s="14">
        <v>0.33</v>
      </c>
      <c r="P17" s="14">
        <v>0.36</v>
      </c>
      <c r="Q17" s="14">
        <v>0.37</v>
      </c>
      <c r="R17" s="14">
        <v>0.38</v>
      </c>
      <c r="S17" s="14">
        <v>0.4</v>
      </c>
      <c r="T17" s="14">
        <v>0.35</v>
      </c>
      <c r="U17" s="14">
        <v>0.23</v>
      </c>
      <c r="V17" s="14">
        <v>0.41</v>
      </c>
      <c r="W17" s="14">
        <v>0.35</v>
      </c>
      <c r="X17" s="14">
        <v>0.25</v>
      </c>
      <c r="Y17" s="14">
        <v>0.34</v>
      </c>
      <c r="Z17" s="14">
        <v>0.39</v>
      </c>
      <c r="AA17" s="14">
        <v>0.24</v>
      </c>
      <c r="AB17" s="14">
        <v>0.34</v>
      </c>
      <c r="AC17" s="14">
        <v>0.39</v>
      </c>
      <c r="AD17" s="14">
        <v>0.3</v>
      </c>
      <c r="AE17" s="14">
        <v>0.3</v>
      </c>
      <c r="AF17" s="14">
        <v>0.22</v>
      </c>
    </row>
    <row r="18" spans="1:32" x14ac:dyDescent="0.25">
      <c r="A18" s="19"/>
      <c r="B18" s="11" t="s">
        <v>236</v>
      </c>
      <c r="C18" s="12">
        <v>3470</v>
      </c>
      <c r="D18" s="12">
        <v>167</v>
      </c>
      <c r="E18" s="12">
        <v>166</v>
      </c>
      <c r="F18" s="12">
        <v>197</v>
      </c>
      <c r="G18" s="12">
        <v>70</v>
      </c>
      <c r="H18" s="12">
        <v>125</v>
      </c>
      <c r="I18" s="12">
        <v>178</v>
      </c>
      <c r="J18" s="12">
        <v>53</v>
      </c>
      <c r="K18" s="12">
        <v>85</v>
      </c>
      <c r="L18" s="12">
        <v>61</v>
      </c>
      <c r="M18" s="12">
        <v>186</v>
      </c>
      <c r="N18" s="12">
        <v>137</v>
      </c>
      <c r="O18" s="12">
        <v>219</v>
      </c>
      <c r="P18" s="12">
        <v>103</v>
      </c>
      <c r="Q18" s="12">
        <v>103</v>
      </c>
      <c r="R18" s="12">
        <v>71</v>
      </c>
      <c r="S18" s="12">
        <v>108</v>
      </c>
      <c r="T18" s="12">
        <v>43</v>
      </c>
      <c r="U18" s="12">
        <v>60</v>
      </c>
      <c r="V18" s="12">
        <v>112</v>
      </c>
      <c r="W18" s="12">
        <v>51</v>
      </c>
      <c r="X18" s="12">
        <v>108</v>
      </c>
      <c r="Y18" s="12">
        <v>173</v>
      </c>
      <c r="Z18" s="12">
        <v>89</v>
      </c>
      <c r="AA18" s="12">
        <v>57</v>
      </c>
      <c r="AB18" s="12">
        <v>129</v>
      </c>
      <c r="AC18" s="12">
        <v>145</v>
      </c>
      <c r="AD18" s="12">
        <v>131</v>
      </c>
      <c r="AE18" s="12">
        <v>142</v>
      </c>
      <c r="AF18" s="12">
        <v>75</v>
      </c>
    </row>
    <row r="19" spans="1:32" x14ac:dyDescent="0.25">
      <c r="A19" s="19"/>
      <c r="B19" s="13" t="s">
        <v>221</v>
      </c>
      <c r="C19" s="14">
        <v>0.13</v>
      </c>
      <c r="D19" s="14">
        <v>0.16</v>
      </c>
      <c r="E19" s="14">
        <v>0.16</v>
      </c>
      <c r="F19" s="14">
        <v>0.18</v>
      </c>
      <c r="G19" s="14">
        <v>7.0000000000000007E-2</v>
      </c>
      <c r="H19" s="14">
        <v>0.1</v>
      </c>
      <c r="I19" s="14">
        <v>0.12</v>
      </c>
      <c r="J19" s="14">
        <v>0.18</v>
      </c>
      <c r="K19" s="14">
        <v>0.08</v>
      </c>
      <c r="L19" s="14">
        <v>0.06</v>
      </c>
      <c r="M19" s="14">
        <v>0.18</v>
      </c>
      <c r="N19" s="14">
        <v>0.14000000000000001</v>
      </c>
      <c r="O19" s="14">
        <v>0.22</v>
      </c>
      <c r="P19" s="14">
        <v>0.1</v>
      </c>
      <c r="Q19" s="14">
        <v>0.1</v>
      </c>
      <c r="R19" s="14">
        <v>0.14000000000000001</v>
      </c>
      <c r="S19" s="14">
        <v>0.11</v>
      </c>
      <c r="T19" s="14">
        <v>0.04</v>
      </c>
      <c r="U19" s="14">
        <v>0.12</v>
      </c>
      <c r="V19" s="14">
        <v>0.11</v>
      </c>
      <c r="W19" s="14">
        <v>0.1</v>
      </c>
      <c r="X19" s="14">
        <v>0.11</v>
      </c>
      <c r="Y19" s="14">
        <v>0.17</v>
      </c>
      <c r="Z19" s="14">
        <v>0.09</v>
      </c>
      <c r="AA19" s="14">
        <v>0.06</v>
      </c>
      <c r="AB19" s="14">
        <v>0.12</v>
      </c>
      <c r="AC19" s="14">
        <v>0.14000000000000001</v>
      </c>
      <c r="AD19" s="14">
        <v>0.13</v>
      </c>
      <c r="AE19" s="14">
        <v>0.14000000000000001</v>
      </c>
      <c r="AF19" s="14">
        <v>7.0000000000000007E-2</v>
      </c>
    </row>
    <row r="20" spans="1:32" x14ac:dyDescent="0.25">
      <c r="A20" s="19"/>
      <c r="B20" s="11" t="s">
        <v>222</v>
      </c>
      <c r="C20" s="12">
        <v>1015</v>
      </c>
      <c r="D20" s="12">
        <v>59</v>
      </c>
      <c r="E20" s="12">
        <v>82</v>
      </c>
      <c r="F20" s="12">
        <v>61</v>
      </c>
      <c r="G20" s="12">
        <v>24</v>
      </c>
      <c r="H20" s="12">
        <v>27</v>
      </c>
      <c r="I20" s="12">
        <v>44</v>
      </c>
      <c r="J20" s="12">
        <v>17</v>
      </c>
      <c r="K20" s="12">
        <v>47</v>
      </c>
      <c r="L20" s="12">
        <v>37</v>
      </c>
      <c r="M20" s="12">
        <v>106</v>
      </c>
      <c r="N20" s="12">
        <v>50</v>
      </c>
      <c r="O20" s="12">
        <v>66</v>
      </c>
      <c r="P20" s="12">
        <v>24</v>
      </c>
      <c r="Q20" s="12">
        <v>19</v>
      </c>
      <c r="R20" s="12">
        <v>18</v>
      </c>
      <c r="S20" s="12">
        <v>19</v>
      </c>
      <c r="T20" s="12">
        <v>18</v>
      </c>
      <c r="U20" s="12">
        <v>11</v>
      </c>
      <c r="V20" s="12">
        <v>23</v>
      </c>
      <c r="W20" s="12">
        <v>6</v>
      </c>
      <c r="X20" s="12">
        <v>33</v>
      </c>
      <c r="Y20" s="12">
        <v>72</v>
      </c>
      <c r="Z20" s="12">
        <v>13</v>
      </c>
      <c r="AA20" s="12">
        <v>3</v>
      </c>
      <c r="AB20" s="12">
        <v>42</v>
      </c>
      <c r="AC20" s="12">
        <v>39</v>
      </c>
      <c r="AD20" s="12">
        <v>57</v>
      </c>
      <c r="AE20" s="12">
        <v>23</v>
      </c>
      <c r="AF20" s="12">
        <v>15</v>
      </c>
    </row>
    <row r="21" spans="1:32" x14ac:dyDescent="0.25">
      <c r="A21" s="19"/>
      <c r="B21" s="13" t="s">
        <v>223</v>
      </c>
      <c r="C21" s="14">
        <v>0.04</v>
      </c>
      <c r="D21" s="14">
        <v>0.06</v>
      </c>
      <c r="E21" s="14">
        <v>0.08</v>
      </c>
      <c r="F21" s="14">
        <v>0.06</v>
      </c>
      <c r="G21" s="14">
        <v>0.02</v>
      </c>
      <c r="H21" s="14">
        <v>0.02</v>
      </c>
      <c r="I21" s="14">
        <v>0.03</v>
      </c>
      <c r="J21" s="14">
        <v>0.06</v>
      </c>
      <c r="K21" s="14">
        <v>0.05</v>
      </c>
      <c r="L21" s="14">
        <v>0.04</v>
      </c>
      <c r="M21" s="14">
        <v>0.11</v>
      </c>
      <c r="N21" s="14">
        <v>0.05</v>
      </c>
      <c r="O21" s="14">
        <v>7.0000000000000007E-2</v>
      </c>
      <c r="P21" s="14">
        <v>0.02</v>
      </c>
      <c r="Q21" s="14">
        <v>0.02</v>
      </c>
      <c r="R21" s="14">
        <v>0.04</v>
      </c>
      <c r="S21" s="14">
        <v>0.02</v>
      </c>
      <c r="T21" s="14">
        <v>0.02</v>
      </c>
      <c r="U21" s="14">
        <v>0.02</v>
      </c>
      <c r="V21" s="14">
        <v>0.02</v>
      </c>
      <c r="W21" s="14">
        <v>0.01</v>
      </c>
      <c r="X21" s="14">
        <v>0.03</v>
      </c>
      <c r="Y21" s="14">
        <v>7.0000000000000007E-2</v>
      </c>
      <c r="Z21" s="14">
        <v>0.01</v>
      </c>
      <c r="AA21" s="15" t="s">
        <v>213</v>
      </c>
      <c r="AB21" s="14">
        <v>0.04</v>
      </c>
      <c r="AC21" s="14">
        <v>0.04</v>
      </c>
      <c r="AD21" s="14">
        <v>0.06</v>
      </c>
      <c r="AE21" s="14">
        <v>0.02</v>
      </c>
      <c r="AF21" s="14">
        <v>0.01</v>
      </c>
    </row>
    <row r="22" spans="1:32" x14ac:dyDescent="0.25">
      <c r="A22" s="19"/>
      <c r="B22" s="11" t="s">
        <v>224</v>
      </c>
      <c r="C22" s="12">
        <v>100</v>
      </c>
      <c r="D22" s="12">
        <v>1</v>
      </c>
      <c r="E22" s="12">
        <v>10</v>
      </c>
      <c r="F22" s="12">
        <v>1</v>
      </c>
      <c r="G22" s="12">
        <v>6</v>
      </c>
      <c r="H22" s="12">
        <v>0</v>
      </c>
      <c r="I22" s="12">
        <v>0</v>
      </c>
      <c r="J22" s="12">
        <v>0</v>
      </c>
      <c r="K22" s="12">
        <v>7</v>
      </c>
      <c r="L22" s="12">
        <v>10</v>
      </c>
      <c r="M22" s="12">
        <v>10</v>
      </c>
      <c r="N22" s="12">
        <v>9</v>
      </c>
      <c r="O22" s="12">
        <v>6</v>
      </c>
      <c r="P22" s="12">
        <v>3</v>
      </c>
      <c r="Q22" s="12">
        <v>1</v>
      </c>
      <c r="R22" s="12">
        <v>8</v>
      </c>
      <c r="S22" s="12">
        <v>9</v>
      </c>
      <c r="T22" s="12">
        <v>11</v>
      </c>
      <c r="U22" s="12">
        <v>4</v>
      </c>
      <c r="V22" s="12">
        <v>0</v>
      </c>
      <c r="W22" s="12">
        <v>0</v>
      </c>
      <c r="X22" s="12">
        <v>2</v>
      </c>
      <c r="Y22" s="12">
        <v>3</v>
      </c>
      <c r="Z22" s="12">
        <v>3</v>
      </c>
      <c r="AA22" s="12">
        <v>11</v>
      </c>
      <c r="AB22" s="12">
        <v>11</v>
      </c>
      <c r="AC22" s="12">
        <v>9</v>
      </c>
      <c r="AD22" s="12">
        <v>3</v>
      </c>
      <c r="AE22" s="12">
        <v>5</v>
      </c>
      <c r="AF22" s="12">
        <v>0</v>
      </c>
    </row>
    <row r="23" spans="1:32" x14ac:dyDescent="0.25">
      <c r="A23" s="19"/>
      <c r="B23" s="13" t="s">
        <v>237</v>
      </c>
      <c r="C23" s="15" t="s">
        <v>213</v>
      </c>
      <c r="D23" s="15" t="s">
        <v>213</v>
      </c>
      <c r="E23" s="14">
        <v>0.01</v>
      </c>
      <c r="F23" s="15" t="s">
        <v>213</v>
      </c>
      <c r="G23" s="14">
        <v>0.01</v>
      </c>
      <c r="H23" s="15" t="s">
        <v>213</v>
      </c>
      <c r="I23" s="15" t="s">
        <v>213</v>
      </c>
      <c r="J23" s="15" t="s">
        <v>213</v>
      </c>
      <c r="K23" s="14">
        <v>0.01</v>
      </c>
      <c r="L23" s="14">
        <v>0.01</v>
      </c>
      <c r="M23" s="14">
        <v>0.01</v>
      </c>
      <c r="N23" s="14">
        <v>0.01</v>
      </c>
      <c r="O23" s="15" t="s">
        <v>213</v>
      </c>
      <c r="P23" s="15" t="s">
        <v>213</v>
      </c>
      <c r="Q23" s="15" t="s">
        <v>213</v>
      </c>
      <c r="R23" s="14">
        <v>0.02</v>
      </c>
      <c r="S23" s="14">
        <v>0.01</v>
      </c>
      <c r="T23" s="14">
        <v>0.01</v>
      </c>
      <c r="U23" s="14">
        <v>0.01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4">
        <v>0.01</v>
      </c>
      <c r="AB23" s="14">
        <v>0.01</v>
      </c>
      <c r="AC23" s="14">
        <v>0.01</v>
      </c>
      <c r="AD23" s="15" t="s">
        <v>213</v>
      </c>
      <c r="AE23" s="14">
        <v>0.01</v>
      </c>
      <c r="AF23" s="15" t="s">
        <v>213</v>
      </c>
    </row>
    <row r="24" spans="1:32" x14ac:dyDescent="0.25">
      <c r="A24" s="19"/>
      <c r="B24" s="11" t="s">
        <v>226</v>
      </c>
      <c r="C24" s="12">
        <v>12982</v>
      </c>
      <c r="D24" s="12">
        <v>471</v>
      </c>
      <c r="E24" s="12">
        <v>494</v>
      </c>
      <c r="F24" s="12">
        <v>347</v>
      </c>
      <c r="G24" s="12">
        <v>686</v>
      </c>
      <c r="H24" s="12">
        <v>677</v>
      </c>
      <c r="I24" s="12">
        <v>780</v>
      </c>
      <c r="J24" s="12">
        <v>102</v>
      </c>
      <c r="K24" s="12">
        <v>508</v>
      </c>
      <c r="L24" s="12">
        <v>675</v>
      </c>
      <c r="M24" s="12">
        <v>341</v>
      </c>
      <c r="N24" s="12">
        <v>497</v>
      </c>
      <c r="O24" s="12">
        <v>385</v>
      </c>
      <c r="P24" s="12">
        <v>516</v>
      </c>
      <c r="Q24" s="12">
        <v>520</v>
      </c>
      <c r="R24" s="12">
        <v>212</v>
      </c>
      <c r="S24" s="12">
        <v>467</v>
      </c>
      <c r="T24" s="12">
        <v>592</v>
      </c>
      <c r="U24" s="12">
        <v>318</v>
      </c>
      <c r="V24" s="12">
        <v>472</v>
      </c>
      <c r="W24" s="12">
        <v>269</v>
      </c>
      <c r="X24" s="12">
        <v>611</v>
      </c>
      <c r="Y24" s="12">
        <v>414</v>
      </c>
      <c r="Z24" s="12">
        <v>513</v>
      </c>
      <c r="AA24" s="12">
        <v>716</v>
      </c>
      <c r="AB24" s="12">
        <v>513</v>
      </c>
      <c r="AC24" s="12">
        <v>417</v>
      </c>
      <c r="AD24" s="12">
        <v>507</v>
      </c>
      <c r="AE24" s="12">
        <v>532</v>
      </c>
      <c r="AF24" s="12">
        <v>717</v>
      </c>
    </row>
    <row r="25" spans="1:32" x14ac:dyDescent="0.25">
      <c r="A25" s="19"/>
      <c r="B25" s="13" t="s">
        <v>226</v>
      </c>
      <c r="C25" s="14">
        <v>0.49</v>
      </c>
      <c r="D25" s="14">
        <v>0.46</v>
      </c>
      <c r="E25" s="14">
        <v>0.47</v>
      </c>
      <c r="F25" s="14">
        <v>0.33</v>
      </c>
      <c r="G25" s="14">
        <v>0.67</v>
      </c>
      <c r="H25" s="14">
        <v>0.55000000000000004</v>
      </c>
      <c r="I25" s="14">
        <v>0.51</v>
      </c>
      <c r="J25" s="14">
        <v>0.34</v>
      </c>
      <c r="K25" s="14">
        <v>0.5</v>
      </c>
      <c r="L25" s="14">
        <v>0.67</v>
      </c>
      <c r="M25" s="14">
        <v>0.34</v>
      </c>
      <c r="N25" s="14">
        <v>0.49</v>
      </c>
      <c r="O25" s="14">
        <v>0.38</v>
      </c>
      <c r="P25" s="14">
        <v>0.52</v>
      </c>
      <c r="Q25" s="14">
        <v>0.51</v>
      </c>
      <c r="R25" s="14">
        <v>0.42</v>
      </c>
      <c r="S25" s="14">
        <v>0.46</v>
      </c>
      <c r="T25" s="14">
        <v>0.57999999999999996</v>
      </c>
      <c r="U25" s="14">
        <v>0.62</v>
      </c>
      <c r="V25" s="14">
        <v>0.46</v>
      </c>
      <c r="W25" s="14">
        <v>0.54</v>
      </c>
      <c r="X25" s="14">
        <v>0.61</v>
      </c>
      <c r="Y25" s="14">
        <v>0.42</v>
      </c>
      <c r="Z25" s="14">
        <v>0.51</v>
      </c>
      <c r="AA25" s="14">
        <v>0.69000000000000006</v>
      </c>
      <c r="AB25" s="14">
        <v>0.49</v>
      </c>
      <c r="AC25" s="14">
        <v>0.42</v>
      </c>
      <c r="AD25" s="14">
        <v>0.51</v>
      </c>
      <c r="AE25" s="14">
        <v>0.53</v>
      </c>
      <c r="AF25" s="14">
        <v>0.70000000000000007</v>
      </c>
    </row>
    <row r="26" spans="1:32" x14ac:dyDescent="0.25">
      <c r="A26" s="19"/>
      <c r="B26" s="11" t="s">
        <v>218</v>
      </c>
      <c r="C26" s="12">
        <v>8886</v>
      </c>
      <c r="D26" s="12">
        <v>323</v>
      </c>
      <c r="E26" s="12">
        <v>293</v>
      </c>
      <c r="F26" s="12">
        <v>457</v>
      </c>
      <c r="G26" s="12">
        <v>230</v>
      </c>
      <c r="H26" s="12">
        <v>400</v>
      </c>
      <c r="I26" s="12">
        <v>526</v>
      </c>
      <c r="J26" s="12">
        <v>125</v>
      </c>
      <c r="K26" s="12">
        <v>359</v>
      </c>
      <c r="L26" s="12">
        <v>223</v>
      </c>
      <c r="M26" s="12">
        <v>364</v>
      </c>
      <c r="N26" s="12">
        <v>318</v>
      </c>
      <c r="O26" s="12">
        <v>328</v>
      </c>
      <c r="P26" s="12">
        <v>357</v>
      </c>
      <c r="Q26" s="12">
        <v>388</v>
      </c>
      <c r="R26" s="12">
        <v>193</v>
      </c>
      <c r="S26" s="12">
        <v>400</v>
      </c>
      <c r="T26" s="12">
        <v>360</v>
      </c>
      <c r="U26" s="12">
        <v>114</v>
      </c>
      <c r="V26" s="12">
        <v>419</v>
      </c>
      <c r="W26" s="12">
        <v>177</v>
      </c>
      <c r="X26" s="12">
        <v>257</v>
      </c>
      <c r="Y26" s="12">
        <v>342</v>
      </c>
      <c r="Z26" s="12">
        <v>398</v>
      </c>
      <c r="AA26" s="12">
        <v>250</v>
      </c>
      <c r="AB26" s="12">
        <v>347</v>
      </c>
      <c r="AC26" s="12">
        <v>394</v>
      </c>
      <c r="AD26" s="12">
        <v>305</v>
      </c>
      <c r="AE26" s="12">
        <v>299</v>
      </c>
      <c r="AF26" s="12">
        <v>225</v>
      </c>
    </row>
    <row r="27" spans="1:32" x14ac:dyDescent="0.25">
      <c r="A27" s="19"/>
      <c r="B27" s="13" t="s">
        <v>219</v>
      </c>
      <c r="C27" s="14">
        <v>0.34</v>
      </c>
      <c r="D27" s="14">
        <v>0.32</v>
      </c>
      <c r="E27" s="14">
        <v>0.28000000000000003</v>
      </c>
      <c r="F27" s="14">
        <v>0.43</v>
      </c>
      <c r="G27" s="14">
        <v>0.23</v>
      </c>
      <c r="H27" s="14">
        <v>0.33</v>
      </c>
      <c r="I27" s="14">
        <v>0.34</v>
      </c>
      <c r="J27" s="14">
        <v>0.42</v>
      </c>
      <c r="K27" s="14">
        <v>0.36</v>
      </c>
      <c r="L27" s="14">
        <v>0.22</v>
      </c>
      <c r="M27" s="14">
        <v>0.36</v>
      </c>
      <c r="N27" s="14">
        <v>0.31</v>
      </c>
      <c r="O27" s="14">
        <v>0.33</v>
      </c>
      <c r="P27" s="14">
        <v>0.36</v>
      </c>
      <c r="Q27" s="14">
        <v>0.37</v>
      </c>
      <c r="R27" s="14">
        <v>0.38</v>
      </c>
      <c r="S27" s="14">
        <v>0.4</v>
      </c>
      <c r="T27" s="14">
        <v>0.35</v>
      </c>
      <c r="U27" s="14">
        <v>0.23</v>
      </c>
      <c r="V27" s="14">
        <v>0.41</v>
      </c>
      <c r="W27" s="14">
        <v>0.35</v>
      </c>
      <c r="X27" s="14">
        <v>0.25</v>
      </c>
      <c r="Y27" s="14">
        <v>0.34</v>
      </c>
      <c r="Z27" s="14">
        <v>0.39</v>
      </c>
      <c r="AA27" s="14">
        <v>0.24</v>
      </c>
      <c r="AB27" s="14">
        <v>0.34</v>
      </c>
      <c r="AC27" s="14">
        <v>0.39</v>
      </c>
      <c r="AD27" s="14">
        <v>0.3</v>
      </c>
      <c r="AE27" s="14">
        <v>0.3</v>
      </c>
      <c r="AF27" s="14">
        <v>0.22</v>
      </c>
    </row>
    <row r="28" spans="1:32" x14ac:dyDescent="0.25">
      <c r="A28" s="19"/>
      <c r="B28" s="11" t="s">
        <v>228</v>
      </c>
      <c r="C28" s="12">
        <v>4485</v>
      </c>
      <c r="D28" s="12">
        <v>226</v>
      </c>
      <c r="E28" s="12">
        <v>248</v>
      </c>
      <c r="F28" s="12">
        <v>258</v>
      </c>
      <c r="G28" s="12">
        <v>94</v>
      </c>
      <c r="H28" s="12">
        <v>152</v>
      </c>
      <c r="I28" s="12">
        <v>222</v>
      </c>
      <c r="J28" s="12">
        <v>70</v>
      </c>
      <c r="K28" s="12">
        <v>132</v>
      </c>
      <c r="L28" s="12">
        <v>98</v>
      </c>
      <c r="M28" s="12">
        <v>292</v>
      </c>
      <c r="N28" s="12">
        <v>187</v>
      </c>
      <c r="O28" s="12">
        <v>285</v>
      </c>
      <c r="P28" s="12">
        <v>127</v>
      </c>
      <c r="Q28" s="12">
        <v>122</v>
      </c>
      <c r="R28" s="12">
        <v>89</v>
      </c>
      <c r="S28" s="12">
        <v>127</v>
      </c>
      <c r="T28" s="12">
        <v>61</v>
      </c>
      <c r="U28" s="12">
        <v>71</v>
      </c>
      <c r="V28" s="12">
        <v>135</v>
      </c>
      <c r="W28" s="12">
        <v>57</v>
      </c>
      <c r="X28" s="12">
        <v>141</v>
      </c>
      <c r="Y28" s="12">
        <v>245</v>
      </c>
      <c r="Z28" s="12">
        <v>102</v>
      </c>
      <c r="AA28" s="12">
        <v>60</v>
      </c>
      <c r="AB28" s="12">
        <v>171</v>
      </c>
      <c r="AC28" s="12">
        <v>184</v>
      </c>
      <c r="AD28" s="12">
        <v>188</v>
      </c>
      <c r="AE28" s="12">
        <v>165</v>
      </c>
      <c r="AF28" s="12">
        <v>90</v>
      </c>
    </row>
    <row r="29" spans="1:32" x14ac:dyDescent="0.25">
      <c r="A29" s="19"/>
      <c r="B29" s="13" t="s">
        <v>228</v>
      </c>
      <c r="C29" s="14">
        <v>0.17</v>
      </c>
      <c r="D29" s="14">
        <v>0.22</v>
      </c>
      <c r="E29" s="14">
        <v>0.24</v>
      </c>
      <c r="F29" s="14">
        <v>0.24</v>
      </c>
      <c r="G29" s="14">
        <v>0.09</v>
      </c>
      <c r="H29" s="14">
        <v>0.12</v>
      </c>
      <c r="I29" s="14">
        <v>0.15</v>
      </c>
      <c r="J29" s="14">
        <v>0.24</v>
      </c>
      <c r="K29" s="14">
        <v>0.13</v>
      </c>
      <c r="L29" s="14">
        <v>0.1</v>
      </c>
      <c r="M29" s="14">
        <v>0.28999999999999998</v>
      </c>
      <c r="N29" s="14">
        <v>0.19</v>
      </c>
      <c r="O29" s="14">
        <v>0.28999999999999998</v>
      </c>
      <c r="P29" s="14">
        <v>0.12</v>
      </c>
      <c r="Q29" s="14">
        <v>0.12</v>
      </c>
      <c r="R29" s="14">
        <v>0.18</v>
      </c>
      <c r="S29" s="14">
        <v>0.13</v>
      </c>
      <c r="T29" s="14">
        <v>0.06</v>
      </c>
      <c r="U29" s="14">
        <v>0.14000000000000001</v>
      </c>
      <c r="V29" s="14">
        <v>0.13</v>
      </c>
      <c r="W29" s="14">
        <v>0.11</v>
      </c>
      <c r="X29" s="14">
        <v>0.14000000000000001</v>
      </c>
      <c r="Y29" s="14">
        <v>0.24</v>
      </c>
      <c r="Z29" s="14">
        <v>0.1</v>
      </c>
      <c r="AA29" s="14">
        <v>0.06</v>
      </c>
      <c r="AB29" s="14">
        <v>0.16</v>
      </c>
      <c r="AC29" s="14">
        <v>0.18</v>
      </c>
      <c r="AD29" s="14">
        <v>0.19</v>
      </c>
      <c r="AE29" s="14">
        <v>0.16</v>
      </c>
      <c r="AF29" s="14">
        <v>0.08</v>
      </c>
    </row>
  </sheetData>
  <mergeCells count="10">
    <mergeCell ref="H3:L3"/>
    <mergeCell ref="C8:AF8"/>
    <mergeCell ref="B3:F3"/>
    <mergeCell ref="B5:F5"/>
    <mergeCell ref="A24:A29"/>
    <mergeCell ref="H5:L5"/>
    <mergeCell ref="B10:B11"/>
    <mergeCell ref="H4:L4"/>
    <mergeCell ref="A10:A23"/>
    <mergeCell ref="B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17</v>
      </c>
      <c r="C3" s="18"/>
      <c r="D3" s="18"/>
      <c r="E3" s="18"/>
      <c r="F3" s="18"/>
      <c r="H3" s="18" t="s">
        <v>18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238</v>
      </c>
      <c r="C12" s="12">
        <v>16517</v>
      </c>
      <c r="D12" s="12">
        <v>665</v>
      </c>
      <c r="E12" s="12">
        <v>483</v>
      </c>
      <c r="F12" s="12">
        <v>452</v>
      </c>
      <c r="G12" s="12">
        <v>863</v>
      </c>
      <c r="H12" s="12">
        <v>949</v>
      </c>
      <c r="I12" s="12">
        <v>1100</v>
      </c>
      <c r="J12" s="12">
        <v>151</v>
      </c>
      <c r="K12" s="12">
        <v>709</v>
      </c>
      <c r="L12" s="12">
        <v>863</v>
      </c>
      <c r="M12" s="12">
        <v>400</v>
      </c>
      <c r="N12" s="12">
        <v>727</v>
      </c>
      <c r="O12" s="12">
        <v>527</v>
      </c>
      <c r="P12" s="12">
        <v>570</v>
      </c>
      <c r="Q12" s="12">
        <v>534</v>
      </c>
      <c r="R12" s="12">
        <v>328</v>
      </c>
      <c r="S12" s="12">
        <v>691</v>
      </c>
      <c r="T12" s="12">
        <v>785</v>
      </c>
      <c r="U12" s="12">
        <v>423</v>
      </c>
      <c r="V12" s="12">
        <v>565</v>
      </c>
      <c r="W12" s="12">
        <v>359</v>
      </c>
      <c r="X12" s="12">
        <v>820</v>
      </c>
      <c r="Y12" s="12">
        <v>510</v>
      </c>
      <c r="Z12" s="12">
        <v>580</v>
      </c>
      <c r="AA12" s="12">
        <v>874</v>
      </c>
      <c r="AB12" s="12">
        <v>506</v>
      </c>
      <c r="AC12" s="12">
        <v>645</v>
      </c>
      <c r="AD12" s="12">
        <v>598</v>
      </c>
      <c r="AE12" s="12">
        <v>766</v>
      </c>
      <c r="AF12" s="12">
        <v>876</v>
      </c>
    </row>
    <row r="13" spans="1:32" x14ac:dyDescent="0.25">
      <c r="A13" s="19"/>
      <c r="B13" s="13" t="s">
        <v>239</v>
      </c>
      <c r="C13" s="14">
        <v>0.62</v>
      </c>
      <c r="D13" s="14">
        <v>0.65</v>
      </c>
      <c r="E13" s="14">
        <v>0.46</v>
      </c>
      <c r="F13" s="14">
        <v>0.42</v>
      </c>
      <c r="G13" s="14">
        <v>0.85</v>
      </c>
      <c r="H13" s="14">
        <v>0.77</v>
      </c>
      <c r="I13" s="14">
        <v>0.72</v>
      </c>
      <c r="J13" s="14">
        <v>0.51</v>
      </c>
      <c r="K13" s="14">
        <v>0.71</v>
      </c>
      <c r="L13" s="14">
        <v>0.86</v>
      </c>
      <c r="M13" s="14">
        <v>0.4</v>
      </c>
      <c r="N13" s="14">
        <v>0.72</v>
      </c>
      <c r="O13" s="14">
        <v>0.53</v>
      </c>
      <c r="P13" s="14">
        <v>0.57000000000000006</v>
      </c>
      <c r="Q13" s="14">
        <v>0.52</v>
      </c>
      <c r="R13" s="14">
        <v>0.65</v>
      </c>
      <c r="S13" s="14">
        <v>0.69000000000000006</v>
      </c>
      <c r="T13" s="14">
        <v>0.77</v>
      </c>
      <c r="U13" s="14">
        <v>0.83000000000000007</v>
      </c>
      <c r="V13" s="14">
        <v>0.55000000000000004</v>
      </c>
      <c r="W13" s="14">
        <v>0.71</v>
      </c>
      <c r="X13" s="14">
        <v>0.81</v>
      </c>
      <c r="Y13" s="14">
        <v>0.51</v>
      </c>
      <c r="Z13" s="14">
        <v>0.57000000000000006</v>
      </c>
      <c r="AA13" s="14">
        <v>0.84</v>
      </c>
      <c r="AB13" s="14">
        <v>0.49</v>
      </c>
      <c r="AC13" s="14">
        <v>0.64</v>
      </c>
      <c r="AD13" s="14">
        <v>0.6</v>
      </c>
      <c r="AE13" s="14">
        <v>0.76</v>
      </c>
      <c r="AF13" s="14">
        <v>0.85</v>
      </c>
    </row>
    <row r="14" spans="1:32" x14ac:dyDescent="0.25">
      <c r="A14" s="19"/>
      <c r="B14" s="11" t="s">
        <v>240</v>
      </c>
      <c r="C14" s="12">
        <v>2956</v>
      </c>
      <c r="D14" s="12">
        <v>101</v>
      </c>
      <c r="E14" s="12">
        <v>183</v>
      </c>
      <c r="F14" s="12">
        <v>155</v>
      </c>
      <c r="G14" s="12">
        <v>51</v>
      </c>
      <c r="H14" s="12">
        <v>89</v>
      </c>
      <c r="I14" s="12">
        <v>133</v>
      </c>
      <c r="J14" s="12">
        <v>44</v>
      </c>
      <c r="K14" s="12">
        <v>70</v>
      </c>
      <c r="L14" s="12">
        <v>67</v>
      </c>
      <c r="M14" s="12">
        <v>185</v>
      </c>
      <c r="N14" s="12">
        <v>86</v>
      </c>
      <c r="O14" s="12">
        <v>153</v>
      </c>
      <c r="P14" s="12">
        <v>170</v>
      </c>
      <c r="Q14" s="12">
        <v>128</v>
      </c>
      <c r="R14" s="12">
        <v>45</v>
      </c>
      <c r="S14" s="12">
        <v>66</v>
      </c>
      <c r="T14" s="12">
        <v>30</v>
      </c>
      <c r="U14" s="12">
        <v>23</v>
      </c>
      <c r="V14" s="12">
        <v>73</v>
      </c>
      <c r="W14" s="12">
        <v>31</v>
      </c>
      <c r="X14" s="12">
        <v>79</v>
      </c>
      <c r="Y14" s="12">
        <v>206</v>
      </c>
      <c r="Z14" s="12">
        <v>114</v>
      </c>
      <c r="AA14" s="12">
        <v>19</v>
      </c>
      <c r="AB14" s="12">
        <v>202</v>
      </c>
      <c r="AC14" s="12">
        <v>86</v>
      </c>
      <c r="AD14" s="12">
        <v>75</v>
      </c>
      <c r="AE14" s="12">
        <v>77</v>
      </c>
      <c r="AF14" s="12">
        <v>56</v>
      </c>
    </row>
    <row r="15" spans="1:32" x14ac:dyDescent="0.25">
      <c r="A15" s="19"/>
      <c r="B15" s="13" t="s">
        <v>241</v>
      </c>
      <c r="C15" s="14">
        <v>0.11</v>
      </c>
      <c r="D15" s="14">
        <v>0.1</v>
      </c>
      <c r="E15" s="14">
        <v>0.17</v>
      </c>
      <c r="F15" s="14">
        <v>0.15</v>
      </c>
      <c r="G15" s="14">
        <v>0.05</v>
      </c>
      <c r="H15" s="14">
        <v>7.0000000000000007E-2</v>
      </c>
      <c r="I15" s="14">
        <v>0.09</v>
      </c>
      <c r="J15" s="14">
        <v>0.15</v>
      </c>
      <c r="K15" s="14">
        <v>7.0000000000000007E-2</v>
      </c>
      <c r="L15" s="14">
        <v>7.0000000000000007E-2</v>
      </c>
      <c r="M15" s="14">
        <v>0.18</v>
      </c>
      <c r="N15" s="14">
        <v>0.09</v>
      </c>
      <c r="O15" s="14">
        <v>0.15</v>
      </c>
      <c r="P15" s="14">
        <v>0.17</v>
      </c>
      <c r="Q15" s="14">
        <v>0.12</v>
      </c>
      <c r="R15" s="14">
        <v>0.09</v>
      </c>
      <c r="S15" s="14">
        <v>7.0000000000000007E-2</v>
      </c>
      <c r="T15" s="14">
        <v>0.03</v>
      </c>
      <c r="U15" s="14">
        <v>0.05</v>
      </c>
      <c r="V15" s="14">
        <v>7.0000000000000007E-2</v>
      </c>
      <c r="W15" s="14">
        <v>0.06</v>
      </c>
      <c r="X15" s="14">
        <v>0.08</v>
      </c>
      <c r="Y15" s="14">
        <v>0.21</v>
      </c>
      <c r="Z15" s="14">
        <v>0.11</v>
      </c>
      <c r="AA15" s="14">
        <v>0.02</v>
      </c>
      <c r="AB15" s="14">
        <v>0.19</v>
      </c>
      <c r="AC15" s="14">
        <v>0.09</v>
      </c>
      <c r="AD15" s="14">
        <v>7.0000000000000007E-2</v>
      </c>
      <c r="AE15" s="14">
        <v>0.08</v>
      </c>
      <c r="AF15" s="14">
        <v>0.05</v>
      </c>
    </row>
    <row r="16" spans="1:32" ht="23.25" x14ac:dyDescent="0.25">
      <c r="A16" s="19"/>
      <c r="B16" s="11" t="s">
        <v>242</v>
      </c>
      <c r="C16" s="12">
        <v>6796</v>
      </c>
      <c r="D16" s="12">
        <v>251</v>
      </c>
      <c r="E16" s="12">
        <v>364</v>
      </c>
      <c r="F16" s="12">
        <v>450</v>
      </c>
      <c r="G16" s="12">
        <v>96</v>
      </c>
      <c r="H16" s="12">
        <v>190</v>
      </c>
      <c r="I16" s="12">
        <v>293</v>
      </c>
      <c r="J16" s="12">
        <v>103</v>
      </c>
      <c r="K16" s="12">
        <v>222</v>
      </c>
      <c r="L16" s="12">
        <v>70</v>
      </c>
      <c r="M16" s="12">
        <v>410</v>
      </c>
      <c r="N16" s="12">
        <v>186</v>
      </c>
      <c r="O16" s="12">
        <v>311</v>
      </c>
      <c r="P16" s="12">
        <v>264</v>
      </c>
      <c r="Q16" s="12">
        <v>359</v>
      </c>
      <c r="R16" s="12">
        <v>124</v>
      </c>
      <c r="S16" s="12">
        <v>231</v>
      </c>
      <c r="T16" s="12">
        <v>203</v>
      </c>
      <c r="U16" s="12">
        <v>62</v>
      </c>
      <c r="V16" s="12">
        <v>388</v>
      </c>
      <c r="W16" s="12">
        <v>110</v>
      </c>
      <c r="X16" s="12">
        <v>112</v>
      </c>
      <c r="Y16" s="12">
        <v>275</v>
      </c>
      <c r="Z16" s="12">
        <v>319</v>
      </c>
      <c r="AA16" s="12">
        <v>134</v>
      </c>
      <c r="AB16" s="12">
        <v>315</v>
      </c>
      <c r="AC16" s="12">
        <v>272</v>
      </c>
      <c r="AD16" s="12">
        <v>328</v>
      </c>
      <c r="AE16" s="12">
        <v>151</v>
      </c>
      <c r="AF16" s="12">
        <v>99</v>
      </c>
    </row>
    <row r="17" spans="1:32" ht="23.25" x14ac:dyDescent="0.25">
      <c r="A17" s="19"/>
      <c r="B17" s="13" t="s">
        <v>243</v>
      </c>
      <c r="C17" s="14">
        <v>0.26</v>
      </c>
      <c r="D17" s="14">
        <v>0.25</v>
      </c>
      <c r="E17" s="14">
        <v>0.35</v>
      </c>
      <c r="F17" s="14">
        <v>0.42</v>
      </c>
      <c r="G17" s="14">
        <v>0.09</v>
      </c>
      <c r="H17" s="14">
        <v>0.16</v>
      </c>
      <c r="I17" s="14">
        <v>0.19</v>
      </c>
      <c r="J17" s="14">
        <v>0.34</v>
      </c>
      <c r="K17" s="14">
        <v>0.22</v>
      </c>
      <c r="L17" s="14">
        <v>7.0000000000000007E-2</v>
      </c>
      <c r="M17" s="14">
        <v>0.41</v>
      </c>
      <c r="N17" s="14">
        <v>0.18</v>
      </c>
      <c r="O17" s="14">
        <v>0.31</v>
      </c>
      <c r="P17" s="14">
        <v>0.26</v>
      </c>
      <c r="Q17" s="14">
        <v>0.35</v>
      </c>
      <c r="R17" s="14">
        <v>0.25</v>
      </c>
      <c r="S17" s="14">
        <v>0.23</v>
      </c>
      <c r="T17" s="14">
        <v>0.2</v>
      </c>
      <c r="U17" s="14">
        <v>0.12</v>
      </c>
      <c r="V17" s="14">
        <v>0.38</v>
      </c>
      <c r="W17" s="14">
        <v>0.22</v>
      </c>
      <c r="X17" s="14">
        <v>0.11</v>
      </c>
      <c r="Y17" s="14">
        <v>0.27</v>
      </c>
      <c r="Z17" s="14">
        <v>0.32</v>
      </c>
      <c r="AA17" s="14">
        <v>0.13</v>
      </c>
      <c r="AB17" s="14">
        <v>0.3</v>
      </c>
      <c r="AC17" s="14">
        <v>0.27</v>
      </c>
      <c r="AD17" s="14">
        <v>0.33</v>
      </c>
      <c r="AE17" s="14">
        <v>0.15</v>
      </c>
      <c r="AF17" s="14">
        <v>0.1</v>
      </c>
    </row>
    <row r="18" spans="1:32" x14ac:dyDescent="0.25">
      <c r="A18" s="19"/>
      <c r="B18" s="11" t="s">
        <v>224</v>
      </c>
      <c r="C18" s="12">
        <v>184</v>
      </c>
      <c r="D18" s="12">
        <v>3</v>
      </c>
      <c r="E18" s="12">
        <v>17</v>
      </c>
      <c r="F18" s="12">
        <v>7</v>
      </c>
      <c r="G18" s="12">
        <v>5</v>
      </c>
      <c r="H18" s="12">
        <v>1</v>
      </c>
      <c r="I18" s="12">
        <v>1</v>
      </c>
      <c r="J18" s="12">
        <v>0</v>
      </c>
      <c r="K18" s="12">
        <v>5</v>
      </c>
      <c r="L18" s="12">
        <v>6</v>
      </c>
      <c r="M18" s="12">
        <v>12</v>
      </c>
      <c r="N18" s="12">
        <v>12</v>
      </c>
      <c r="O18" s="12">
        <v>12</v>
      </c>
      <c r="P18" s="12">
        <v>0</v>
      </c>
      <c r="Q18" s="12">
        <v>9</v>
      </c>
      <c r="R18" s="12">
        <v>4</v>
      </c>
      <c r="S18" s="12">
        <v>16</v>
      </c>
      <c r="T18" s="12">
        <v>4</v>
      </c>
      <c r="U18" s="12">
        <v>1</v>
      </c>
      <c r="V18" s="12">
        <v>0</v>
      </c>
      <c r="W18" s="12">
        <v>3</v>
      </c>
      <c r="X18" s="12">
        <v>0</v>
      </c>
      <c r="Y18" s="12">
        <v>12</v>
      </c>
      <c r="Z18" s="12">
        <v>2</v>
      </c>
      <c r="AA18" s="12">
        <v>10</v>
      </c>
      <c r="AB18" s="12">
        <v>18</v>
      </c>
      <c r="AC18" s="12">
        <v>2</v>
      </c>
      <c r="AD18" s="12">
        <v>2</v>
      </c>
      <c r="AE18" s="12">
        <v>8</v>
      </c>
      <c r="AF18" s="12">
        <v>0</v>
      </c>
    </row>
    <row r="19" spans="1:32" x14ac:dyDescent="0.25">
      <c r="A19" s="19"/>
      <c r="B19" s="13" t="s">
        <v>237</v>
      </c>
      <c r="C19" s="14">
        <v>0.01</v>
      </c>
      <c r="D19" s="15" t="s">
        <v>213</v>
      </c>
      <c r="E19" s="14">
        <v>0.02</v>
      </c>
      <c r="F19" s="14">
        <v>0.01</v>
      </c>
      <c r="G19" s="14">
        <v>0.01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4">
        <v>0.01</v>
      </c>
      <c r="N19" s="14">
        <v>0.01</v>
      </c>
      <c r="O19" s="14">
        <v>0.01</v>
      </c>
      <c r="P19" s="15" t="s">
        <v>213</v>
      </c>
      <c r="Q19" s="14">
        <v>0.01</v>
      </c>
      <c r="R19" s="14">
        <v>0.01</v>
      </c>
      <c r="S19" s="14">
        <v>0.01</v>
      </c>
      <c r="T19" s="15" t="s">
        <v>213</v>
      </c>
      <c r="U19" s="15" t="s">
        <v>213</v>
      </c>
      <c r="V19" s="15" t="s">
        <v>213</v>
      </c>
      <c r="W19" s="14">
        <v>0.01</v>
      </c>
      <c r="X19" s="15" t="s">
        <v>213</v>
      </c>
      <c r="Y19" s="14">
        <v>0.01</v>
      </c>
      <c r="Z19" s="15" t="s">
        <v>213</v>
      </c>
      <c r="AA19" s="14">
        <v>0.01</v>
      </c>
      <c r="AB19" s="14">
        <v>0.02</v>
      </c>
      <c r="AC19" s="15" t="s">
        <v>213</v>
      </c>
      <c r="AD19" s="15" t="s">
        <v>213</v>
      </c>
      <c r="AE19" s="14">
        <v>0.01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19</v>
      </c>
      <c r="C3" s="18"/>
      <c r="D3" s="18"/>
      <c r="E3" s="18"/>
      <c r="F3" s="18"/>
      <c r="H3" s="18" t="s">
        <v>20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244</v>
      </c>
      <c r="C12" s="12">
        <v>2371</v>
      </c>
      <c r="D12" s="12">
        <v>58</v>
      </c>
      <c r="E12" s="12">
        <v>64</v>
      </c>
      <c r="F12" s="12">
        <v>59</v>
      </c>
      <c r="G12" s="12">
        <v>48</v>
      </c>
      <c r="H12" s="12">
        <v>20</v>
      </c>
      <c r="I12" s="12">
        <v>34</v>
      </c>
      <c r="J12" s="12">
        <v>15</v>
      </c>
      <c r="K12" s="12">
        <v>73</v>
      </c>
      <c r="L12" s="12">
        <v>157</v>
      </c>
      <c r="M12" s="12">
        <v>121</v>
      </c>
      <c r="N12" s="12">
        <v>209</v>
      </c>
      <c r="O12" s="12">
        <v>100</v>
      </c>
      <c r="P12" s="12">
        <v>58</v>
      </c>
      <c r="Q12" s="12">
        <v>114</v>
      </c>
      <c r="R12" s="12">
        <v>53</v>
      </c>
      <c r="S12" s="12">
        <v>144</v>
      </c>
      <c r="T12" s="12">
        <v>114</v>
      </c>
      <c r="U12" s="12">
        <v>51</v>
      </c>
      <c r="V12" s="12">
        <v>94</v>
      </c>
      <c r="W12" s="12">
        <v>71</v>
      </c>
      <c r="X12" s="12">
        <v>36</v>
      </c>
      <c r="Y12" s="12">
        <v>50</v>
      </c>
      <c r="Z12" s="12">
        <v>77</v>
      </c>
      <c r="AA12" s="12">
        <v>215</v>
      </c>
      <c r="AB12" s="12">
        <v>85</v>
      </c>
      <c r="AC12" s="12">
        <v>171</v>
      </c>
      <c r="AD12" s="12">
        <v>81</v>
      </c>
      <c r="AE12" s="12">
        <v>36</v>
      </c>
      <c r="AF12" s="12">
        <v>22</v>
      </c>
    </row>
    <row r="13" spans="1:32" x14ac:dyDescent="0.25">
      <c r="A13" s="19"/>
      <c r="B13" s="13" t="s">
        <v>245</v>
      </c>
      <c r="C13" s="14">
        <v>0.09</v>
      </c>
      <c r="D13" s="14">
        <v>0.06</v>
      </c>
      <c r="E13" s="14">
        <v>0.06</v>
      </c>
      <c r="F13" s="14">
        <v>0.06</v>
      </c>
      <c r="G13" s="14">
        <v>0.05</v>
      </c>
      <c r="H13" s="14">
        <v>0.02</v>
      </c>
      <c r="I13" s="14">
        <v>0.02</v>
      </c>
      <c r="J13" s="14">
        <v>0.05</v>
      </c>
      <c r="K13" s="14">
        <v>7.0000000000000007E-2</v>
      </c>
      <c r="L13" s="14">
        <v>0.16</v>
      </c>
      <c r="M13" s="14">
        <v>0.12</v>
      </c>
      <c r="N13" s="14">
        <v>0.21</v>
      </c>
      <c r="O13" s="14">
        <v>0.1</v>
      </c>
      <c r="P13" s="14">
        <v>0.06</v>
      </c>
      <c r="Q13" s="14">
        <v>0.11</v>
      </c>
      <c r="R13" s="14">
        <v>0.11</v>
      </c>
      <c r="S13" s="14">
        <v>0.14000000000000001</v>
      </c>
      <c r="T13" s="14">
        <v>0.11</v>
      </c>
      <c r="U13" s="14">
        <v>0.1</v>
      </c>
      <c r="V13" s="14">
        <v>0.09</v>
      </c>
      <c r="W13" s="14">
        <v>0.14000000000000001</v>
      </c>
      <c r="X13" s="14">
        <v>0.03</v>
      </c>
      <c r="Y13" s="14">
        <v>0.05</v>
      </c>
      <c r="Z13" s="14">
        <v>0.08</v>
      </c>
      <c r="AA13" s="14">
        <v>0.21</v>
      </c>
      <c r="AB13" s="14">
        <v>0.08</v>
      </c>
      <c r="AC13" s="14">
        <v>0.17</v>
      </c>
      <c r="AD13" s="14">
        <v>0.08</v>
      </c>
      <c r="AE13" s="14">
        <v>0.04</v>
      </c>
      <c r="AF13" s="14">
        <v>0.02</v>
      </c>
    </row>
    <row r="14" spans="1:32" ht="23.25" x14ac:dyDescent="0.25">
      <c r="A14" s="19"/>
      <c r="B14" s="11" t="s">
        <v>246</v>
      </c>
      <c r="C14" s="12">
        <v>1982</v>
      </c>
      <c r="D14" s="12">
        <v>80</v>
      </c>
      <c r="E14" s="12">
        <v>33</v>
      </c>
      <c r="F14" s="12">
        <v>35</v>
      </c>
      <c r="G14" s="12">
        <v>157</v>
      </c>
      <c r="H14" s="12">
        <v>123</v>
      </c>
      <c r="I14" s="12">
        <v>136</v>
      </c>
      <c r="J14" s="12">
        <v>13</v>
      </c>
      <c r="K14" s="12">
        <v>22</v>
      </c>
      <c r="L14" s="12">
        <v>75</v>
      </c>
      <c r="M14" s="12">
        <v>25</v>
      </c>
      <c r="N14" s="12">
        <v>49</v>
      </c>
      <c r="O14" s="12">
        <v>89</v>
      </c>
      <c r="P14" s="12">
        <v>37</v>
      </c>
      <c r="Q14" s="12">
        <v>68</v>
      </c>
      <c r="R14" s="12">
        <v>11</v>
      </c>
      <c r="S14" s="12">
        <v>16</v>
      </c>
      <c r="T14" s="12">
        <v>22</v>
      </c>
      <c r="U14" s="12">
        <v>34</v>
      </c>
      <c r="V14" s="12">
        <v>68</v>
      </c>
      <c r="W14" s="12">
        <v>63</v>
      </c>
      <c r="X14" s="12">
        <v>170</v>
      </c>
      <c r="Y14" s="12">
        <v>89</v>
      </c>
      <c r="Z14" s="12">
        <v>36</v>
      </c>
      <c r="AA14" s="12">
        <v>21</v>
      </c>
      <c r="AB14" s="12">
        <v>45</v>
      </c>
      <c r="AC14" s="12">
        <v>51</v>
      </c>
      <c r="AD14" s="12">
        <v>29</v>
      </c>
      <c r="AE14" s="12">
        <v>134</v>
      </c>
      <c r="AF14" s="12">
        <v>271</v>
      </c>
    </row>
    <row r="15" spans="1:32" ht="23.25" x14ac:dyDescent="0.25">
      <c r="A15" s="19"/>
      <c r="B15" s="13" t="s">
        <v>247</v>
      </c>
      <c r="C15" s="14">
        <v>0.08</v>
      </c>
      <c r="D15" s="14">
        <v>0.08</v>
      </c>
      <c r="E15" s="14">
        <v>0.03</v>
      </c>
      <c r="F15" s="14">
        <v>0.03</v>
      </c>
      <c r="G15" s="14">
        <v>0.15</v>
      </c>
      <c r="H15" s="14">
        <v>0.1</v>
      </c>
      <c r="I15" s="14">
        <v>0.09</v>
      </c>
      <c r="J15" s="14">
        <v>0.04</v>
      </c>
      <c r="K15" s="14">
        <v>0.02</v>
      </c>
      <c r="L15" s="14">
        <v>7.0000000000000007E-2</v>
      </c>
      <c r="M15" s="14">
        <v>0.02</v>
      </c>
      <c r="N15" s="14">
        <v>0.05</v>
      </c>
      <c r="O15" s="14">
        <v>0.09</v>
      </c>
      <c r="P15" s="14">
        <v>0.04</v>
      </c>
      <c r="Q15" s="14">
        <v>7.0000000000000007E-2</v>
      </c>
      <c r="R15" s="14">
        <v>0.02</v>
      </c>
      <c r="S15" s="14">
        <v>0.02</v>
      </c>
      <c r="T15" s="14">
        <v>0.02</v>
      </c>
      <c r="U15" s="14">
        <v>7.0000000000000007E-2</v>
      </c>
      <c r="V15" s="14">
        <v>7.0000000000000007E-2</v>
      </c>
      <c r="W15" s="14">
        <v>0.13</v>
      </c>
      <c r="X15" s="14">
        <v>0.17</v>
      </c>
      <c r="Y15" s="14">
        <v>0.09</v>
      </c>
      <c r="Z15" s="14">
        <v>0.04</v>
      </c>
      <c r="AA15" s="14">
        <v>0.02</v>
      </c>
      <c r="AB15" s="14">
        <v>0.04</v>
      </c>
      <c r="AC15" s="14">
        <v>0.05</v>
      </c>
      <c r="AD15" s="14">
        <v>0.03</v>
      </c>
      <c r="AE15" s="14">
        <v>0.13</v>
      </c>
      <c r="AF15" s="14">
        <v>0.26</v>
      </c>
    </row>
    <row r="16" spans="1:32" ht="23.25" x14ac:dyDescent="0.25">
      <c r="A16" s="19"/>
      <c r="B16" s="11" t="s">
        <v>248</v>
      </c>
      <c r="C16" s="12">
        <v>2052</v>
      </c>
      <c r="D16" s="12">
        <v>97</v>
      </c>
      <c r="E16" s="12">
        <v>131</v>
      </c>
      <c r="F16" s="12">
        <v>45</v>
      </c>
      <c r="G16" s="12">
        <v>36</v>
      </c>
      <c r="H16" s="12">
        <v>89</v>
      </c>
      <c r="I16" s="12">
        <v>103</v>
      </c>
      <c r="J16" s="12">
        <v>14</v>
      </c>
      <c r="K16" s="12">
        <v>57</v>
      </c>
      <c r="L16" s="12">
        <v>52</v>
      </c>
      <c r="M16" s="12">
        <v>142</v>
      </c>
      <c r="N16" s="12">
        <v>95</v>
      </c>
      <c r="O16" s="12">
        <v>106</v>
      </c>
      <c r="P16" s="12">
        <v>89</v>
      </c>
      <c r="Q16" s="12">
        <v>64</v>
      </c>
      <c r="R16" s="12">
        <v>59</v>
      </c>
      <c r="S16" s="12">
        <v>73</v>
      </c>
      <c r="T16" s="12">
        <v>123</v>
      </c>
      <c r="U16" s="12">
        <v>40</v>
      </c>
      <c r="V16" s="12">
        <v>74</v>
      </c>
      <c r="W16" s="12">
        <v>38</v>
      </c>
      <c r="X16" s="12">
        <v>45</v>
      </c>
      <c r="Y16" s="12">
        <v>64</v>
      </c>
      <c r="Z16" s="12">
        <v>44</v>
      </c>
      <c r="AA16" s="12">
        <v>126</v>
      </c>
      <c r="AB16" s="12">
        <v>92</v>
      </c>
      <c r="AC16" s="12">
        <v>72</v>
      </c>
      <c r="AD16" s="12">
        <v>77</v>
      </c>
      <c r="AE16" s="12">
        <v>87</v>
      </c>
      <c r="AF16" s="12">
        <v>57</v>
      </c>
    </row>
    <row r="17" spans="1:32" ht="23.25" x14ac:dyDescent="0.25">
      <c r="A17" s="19"/>
      <c r="B17" s="13" t="s">
        <v>249</v>
      </c>
      <c r="C17" s="14">
        <v>0.08</v>
      </c>
      <c r="D17" s="14">
        <v>0.09</v>
      </c>
      <c r="E17" s="14">
        <v>0.13</v>
      </c>
      <c r="F17" s="14">
        <v>0.04</v>
      </c>
      <c r="G17" s="14">
        <v>0.04</v>
      </c>
      <c r="H17" s="14">
        <v>7.0000000000000007E-2</v>
      </c>
      <c r="I17" s="14">
        <v>7.0000000000000007E-2</v>
      </c>
      <c r="J17" s="14">
        <v>0.05</v>
      </c>
      <c r="K17" s="14">
        <v>0.06</v>
      </c>
      <c r="L17" s="14">
        <v>0.05</v>
      </c>
      <c r="M17" s="14">
        <v>0.14000000000000001</v>
      </c>
      <c r="N17" s="14">
        <v>0.09</v>
      </c>
      <c r="O17" s="14">
        <v>0.11</v>
      </c>
      <c r="P17" s="14">
        <v>0.09</v>
      </c>
      <c r="Q17" s="14">
        <v>0.06</v>
      </c>
      <c r="R17" s="14">
        <v>0.12</v>
      </c>
      <c r="S17" s="14">
        <v>7.0000000000000007E-2</v>
      </c>
      <c r="T17" s="14">
        <v>0.12</v>
      </c>
      <c r="U17" s="14">
        <v>0.08</v>
      </c>
      <c r="V17" s="14">
        <v>7.0000000000000007E-2</v>
      </c>
      <c r="W17" s="14">
        <v>0.08</v>
      </c>
      <c r="X17" s="14">
        <v>0.04</v>
      </c>
      <c r="Y17" s="14">
        <v>0.06</v>
      </c>
      <c r="Z17" s="14">
        <v>0.04</v>
      </c>
      <c r="AA17" s="14">
        <v>0.12</v>
      </c>
      <c r="AB17" s="14">
        <v>0.09</v>
      </c>
      <c r="AC17" s="14">
        <v>7.0000000000000007E-2</v>
      </c>
      <c r="AD17" s="14">
        <v>0.08</v>
      </c>
      <c r="AE17" s="14">
        <v>0.09</v>
      </c>
      <c r="AF17" s="14">
        <v>0.06</v>
      </c>
    </row>
    <row r="18" spans="1:32" ht="23.25" x14ac:dyDescent="0.25">
      <c r="A18" s="19"/>
      <c r="B18" s="11" t="s">
        <v>250</v>
      </c>
      <c r="C18" s="12">
        <v>2889</v>
      </c>
      <c r="D18" s="12">
        <v>71</v>
      </c>
      <c r="E18" s="12">
        <v>168</v>
      </c>
      <c r="F18" s="12">
        <v>70</v>
      </c>
      <c r="G18" s="12">
        <v>49</v>
      </c>
      <c r="H18" s="12">
        <v>97</v>
      </c>
      <c r="I18" s="12">
        <v>126</v>
      </c>
      <c r="J18" s="12">
        <v>29</v>
      </c>
      <c r="K18" s="12">
        <v>158</v>
      </c>
      <c r="L18" s="12">
        <v>77</v>
      </c>
      <c r="M18" s="12">
        <v>220</v>
      </c>
      <c r="N18" s="12">
        <v>202</v>
      </c>
      <c r="O18" s="12">
        <v>69</v>
      </c>
      <c r="P18" s="12">
        <v>145</v>
      </c>
      <c r="Q18" s="12">
        <v>143</v>
      </c>
      <c r="R18" s="12">
        <v>59</v>
      </c>
      <c r="S18" s="12">
        <v>180</v>
      </c>
      <c r="T18" s="12">
        <v>155</v>
      </c>
      <c r="U18" s="12">
        <v>43</v>
      </c>
      <c r="V18" s="12">
        <v>133</v>
      </c>
      <c r="W18" s="12">
        <v>35</v>
      </c>
      <c r="X18" s="12">
        <v>26</v>
      </c>
      <c r="Y18" s="12">
        <v>81</v>
      </c>
      <c r="Z18" s="12">
        <v>84</v>
      </c>
      <c r="AA18" s="12">
        <v>115</v>
      </c>
      <c r="AB18" s="12">
        <v>146</v>
      </c>
      <c r="AC18" s="12">
        <v>124</v>
      </c>
      <c r="AD18" s="12">
        <v>114</v>
      </c>
      <c r="AE18" s="12">
        <v>163</v>
      </c>
      <c r="AF18" s="12">
        <v>88</v>
      </c>
    </row>
    <row r="19" spans="1:32" x14ac:dyDescent="0.25">
      <c r="A19" s="19"/>
      <c r="B19" s="13" t="s">
        <v>251</v>
      </c>
      <c r="C19" s="14">
        <v>0.11</v>
      </c>
      <c r="D19" s="14">
        <v>7.0000000000000007E-2</v>
      </c>
      <c r="E19" s="14">
        <v>0.16</v>
      </c>
      <c r="F19" s="14">
        <v>7.0000000000000007E-2</v>
      </c>
      <c r="G19" s="14">
        <v>0.05</v>
      </c>
      <c r="H19" s="14">
        <v>0.08</v>
      </c>
      <c r="I19" s="14">
        <v>0.08</v>
      </c>
      <c r="J19" s="14">
        <v>0.1</v>
      </c>
      <c r="K19" s="14">
        <v>0.16</v>
      </c>
      <c r="L19" s="14">
        <v>0.08</v>
      </c>
      <c r="M19" s="14">
        <v>0.22</v>
      </c>
      <c r="N19" s="14">
        <v>0.2</v>
      </c>
      <c r="O19" s="14">
        <v>7.0000000000000007E-2</v>
      </c>
      <c r="P19" s="14">
        <v>0.14000000000000001</v>
      </c>
      <c r="Q19" s="14">
        <v>0.14000000000000001</v>
      </c>
      <c r="R19" s="14">
        <v>0.12</v>
      </c>
      <c r="S19" s="14">
        <v>0.18</v>
      </c>
      <c r="T19" s="14">
        <v>0.15</v>
      </c>
      <c r="U19" s="14">
        <v>0.09</v>
      </c>
      <c r="V19" s="14">
        <v>0.13</v>
      </c>
      <c r="W19" s="14">
        <v>7.0000000000000007E-2</v>
      </c>
      <c r="X19" s="14">
        <v>0.03</v>
      </c>
      <c r="Y19" s="14">
        <v>0.08</v>
      </c>
      <c r="Z19" s="14">
        <v>0.08</v>
      </c>
      <c r="AA19" s="14">
        <v>0.11</v>
      </c>
      <c r="AB19" s="14">
        <v>0.14000000000000001</v>
      </c>
      <c r="AC19" s="14">
        <v>0.12</v>
      </c>
      <c r="AD19" s="14">
        <v>0.11</v>
      </c>
      <c r="AE19" s="14">
        <v>0.16</v>
      </c>
      <c r="AF19" s="14">
        <v>0.09</v>
      </c>
    </row>
    <row r="20" spans="1:32" ht="23.25" x14ac:dyDescent="0.25">
      <c r="A20" s="19"/>
      <c r="B20" s="11" t="s">
        <v>252</v>
      </c>
      <c r="C20" s="12">
        <v>3924</v>
      </c>
      <c r="D20" s="12">
        <v>174</v>
      </c>
      <c r="E20" s="12">
        <v>282</v>
      </c>
      <c r="F20" s="12">
        <v>164</v>
      </c>
      <c r="G20" s="12">
        <v>72</v>
      </c>
      <c r="H20" s="12">
        <v>140</v>
      </c>
      <c r="I20" s="12">
        <v>189</v>
      </c>
      <c r="J20" s="12">
        <v>49</v>
      </c>
      <c r="K20" s="12">
        <v>179</v>
      </c>
      <c r="L20" s="12">
        <v>205</v>
      </c>
      <c r="M20" s="12">
        <v>193</v>
      </c>
      <c r="N20" s="12">
        <v>131</v>
      </c>
      <c r="O20" s="12">
        <v>193</v>
      </c>
      <c r="P20" s="12">
        <v>249</v>
      </c>
      <c r="Q20" s="12">
        <v>144</v>
      </c>
      <c r="R20" s="12">
        <v>47</v>
      </c>
      <c r="S20" s="12">
        <v>146</v>
      </c>
      <c r="T20" s="12">
        <v>128</v>
      </c>
      <c r="U20" s="12">
        <v>79</v>
      </c>
      <c r="V20" s="12">
        <v>187</v>
      </c>
      <c r="W20" s="12">
        <v>72</v>
      </c>
      <c r="X20" s="12">
        <v>81</v>
      </c>
      <c r="Y20" s="12">
        <v>187</v>
      </c>
      <c r="Z20" s="12">
        <v>148</v>
      </c>
      <c r="AA20" s="12">
        <v>252</v>
      </c>
      <c r="AB20" s="12">
        <v>158</v>
      </c>
      <c r="AC20" s="12">
        <v>95</v>
      </c>
      <c r="AD20" s="12">
        <v>246</v>
      </c>
      <c r="AE20" s="12">
        <v>31</v>
      </c>
      <c r="AF20" s="12">
        <v>24</v>
      </c>
    </row>
    <row r="21" spans="1:32" ht="23.25" x14ac:dyDescent="0.25">
      <c r="A21" s="19"/>
      <c r="B21" s="13" t="s">
        <v>253</v>
      </c>
      <c r="C21" s="14">
        <v>0.15</v>
      </c>
      <c r="D21" s="14">
        <v>0.17</v>
      </c>
      <c r="E21" s="14">
        <v>0.27</v>
      </c>
      <c r="F21" s="14">
        <v>0.15</v>
      </c>
      <c r="G21" s="14">
        <v>7.0000000000000007E-2</v>
      </c>
      <c r="H21" s="14">
        <v>0.11</v>
      </c>
      <c r="I21" s="14">
        <v>0.12</v>
      </c>
      <c r="J21" s="14">
        <v>0.16</v>
      </c>
      <c r="K21" s="14">
        <v>0.18</v>
      </c>
      <c r="L21" s="14">
        <v>0.2</v>
      </c>
      <c r="M21" s="14">
        <v>0.19</v>
      </c>
      <c r="N21" s="14">
        <v>0.13</v>
      </c>
      <c r="O21" s="14">
        <v>0.19</v>
      </c>
      <c r="P21" s="14">
        <v>0.25</v>
      </c>
      <c r="Q21" s="14">
        <v>0.14000000000000001</v>
      </c>
      <c r="R21" s="14">
        <v>0.09</v>
      </c>
      <c r="S21" s="14">
        <v>0.15</v>
      </c>
      <c r="T21" s="14">
        <v>0.13</v>
      </c>
      <c r="U21" s="14">
        <v>0.16</v>
      </c>
      <c r="V21" s="14">
        <v>0.18</v>
      </c>
      <c r="W21" s="14">
        <v>0.14000000000000001</v>
      </c>
      <c r="X21" s="14">
        <v>0.08</v>
      </c>
      <c r="Y21" s="14">
        <v>0.19</v>
      </c>
      <c r="Z21" s="14">
        <v>0.15</v>
      </c>
      <c r="AA21" s="14">
        <v>0.24</v>
      </c>
      <c r="AB21" s="14">
        <v>0.15</v>
      </c>
      <c r="AC21" s="14">
        <v>0.1</v>
      </c>
      <c r="AD21" s="14">
        <v>0.25</v>
      </c>
      <c r="AE21" s="14">
        <v>0.03</v>
      </c>
      <c r="AF21" s="14">
        <v>0.02</v>
      </c>
    </row>
    <row r="22" spans="1:32" ht="34.5" x14ac:dyDescent="0.25">
      <c r="A22" s="19"/>
      <c r="B22" s="11" t="s">
        <v>254</v>
      </c>
      <c r="C22" s="12">
        <v>520</v>
      </c>
      <c r="D22" s="12">
        <v>11</v>
      </c>
      <c r="E22" s="12">
        <v>13</v>
      </c>
      <c r="F22" s="12">
        <v>19</v>
      </c>
      <c r="G22" s="12">
        <v>15</v>
      </c>
      <c r="H22" s="12">
        <v>34</v>
      </c>
      <c r="I22" s="12">
        <v>41</v>
      </c>
      <c r="J22" s="12">
        <v>7</v>
      </c>
      <c r="K22" s="12">
        <v>28</v>
      </c>
      <c r="L22" s="12">
        <v>10</v>
      </c>
      <c r="M22" s="12">
        <v>10</v>
      </c>
      <c r="N22" s="12">
        <v>5</v>
      </c>
      <c r="O22" s="12">
        <v>11</v>
      </c>
      <c r="P22" s="12">
        <v>28</v>
      </c>
      <c r="Q22" s="12">
        <v>32</v>
      </c>
      <c r="R22" s="12">
        <v>5</v>
      </c>
      <c r="S22" s="12">
        <v>17</v>
      </c>
      <c r="T22" s="12">
        <v>28</v>
      </c>
      <c r="U22" s="12">
        <v>7</v>
      </c>
      <c r="V22" s="12">
        <v>32</v>
      </c>
      <c r="W22" s="12">
        <v>9</v>
      </c>
      <c r="X22" s="12">
        <v>17</v>
      </c>
      <c r="Y22" s="12">
        <v>31</v>
      </c>
      <c r="Z22" s="12">
        <v>28</v>
      </c>
      <c r="AA22" s="12">
        <v>14</v>
      </c>
      <c r="AB22" s="12">
        <v>27</v>
      </c>
      <c r="AC22" s="12">
        <v>27</v>
      </c>
      <c r="AD22" s="12">
        <v>14</v>
      </c>
      <c r="AE22" s="12">
        <v>8</v>
      </c>
      <c r="AF22" s="12">
        <v>10</v>
      </c>
    </row>
    <row r="23" spans="1:32" ht="34.5" x14ac:dyDescent="0.25">
      <c r="A23" s="19"/>
      <c r="B23" s="13" t="s">
        <v>255</v>
      </c>
      <c r="C23" s="14">
        <v>0.02</v>
      </c>
      <c r="D23" s="14">
        <v>0.01</v>
      </c>
      <c r="E23" s="14">
        <v>0.01</v>
      </c>
      <c r="F23" s="14">
        <v>0.02</v>
      </c>
      <c r="G23" s="14">
        <v>0.01</v>
      </c>
      <c r="H23" s="14">
        <v>0.03</v>
      </c>
      <c r="I23" s="14">
        <v>0.03</v>
      </c>
      <c r="J23" s="14">
        <v>0.02</v>
      </c>
      <c r="K23" s="14">
        <v>0.03</v>
      </c>
      <c r="L23" s="14">
        <v>0.01</v>
      </c>
      <c r="M23" s="14">
        <v>0.01</v>
      </c>
      <c r="N23" s="14">
        <v>0.01</v>
      </c>
      <c r="O23" s="14">
        <v>0.01</v>
      </c>
      <c r="P23" s="14">
        <v>0.03</v>
      </c>
      <c r="Q23" s="14">
        <v>0.03</v>
      </c>
      <c r="R23" s="14">
        <v>0.01</v>
      </c>
      <c r="S23" s="14">
        <v>0.02</v>
      </c>
      <c r="T23" s="14">
        <v>0.03</v>
      </c>
      <c r="U23" s="14">
        <v>0.01</v>
      </c>
      <c r="V23" s="14">
        <v>0.03</v>
      </c>
      <c r="W23" s="14">
        <v>0.02</v>
      </c>
      <c r="X23" s="14">
        <v>0.02</v>
      </c>
      <c r="Y23" s="14">
        <v>0.03</v>
      </c>
      <c r="Z23" s="14">
        <v>0.03</v>
      </c>
      <c r="AA23" s="14">
        <v>0.01</v>
      </c>
      <c r="AB23" s="14">
        <v>0.03</v>
      </c>
      <c r="AC23" s="14">
        <v>0.03</v>
      </c>
      <c r="AD23" s="14">
        <v>0.01</v>
      </c>
      <c r="AE23" s="14">
        <v>0.01</v>
      </c>
      <c r="AF23" s="14">
        <v>0.01</v>
      </c>
    </row>
    <row r="24" spans="1:32" ht="23.25" x14ac:dyDescent="0.25">
      <c r="A24" s="19"/>
      <c r="B24" s="11" t="s">
        <v>256</v>
      </c>
      <c r="C24" s="12">
        <v>596</v>
      </c>
      <c r="D24" s="12">
        <v>26</v>
      </c>
      <c r="E24" s="12">
        <v>23</v>
      </c>
      <c r="F24" s="12">
        <v>14</v>
      </c>
      <c r="G24" s="12">
        <v>16</v>
      </c>
      <c r="H24" s="12">
        <v>17</v>
      </c>
      <c r="I24" s="12">
        <v>22</v>
      </c>
      <c r="J24" s="12">
        <v>5</v>
      </c>
      <c r="K24" s="12">
        <v>17</v>
      </c>
      <c r="L24" s="12">
        <v>24</v>
      </c>
      <c r="M24" s="12">
        <v>27</v>
      </c>
      <c r="N24" s="12">
        <v>33</v>
      </c>
      <c r="O24" s="12">
        <v>25</v>
      </c>
      <c r="P24" s="12">
        <v>20</v>
      </c>
      <c r="Q24" s="12">
        <v>30</v>
      </c>
      <c r="R24" s="12">
        <v>22</v>
      </c>
      <c r="S24" s="12">
        <v>14</v>
      </c>
      <c r="T24" s="12">
        <v>15</v>
      </c>
      <c r="U24" s="12">
        <v>17</v>
      </c>
      <c r="V24" s="12">
        <v>11</v>
      </c>
      <c r="W24" s="12">
        <v>10</v>
      </c>
      <c r="X24" s="12">
        <v>19</v>
      </c>
      <c r="Y24" s="12">
        <v>17</v>
      </c>
      <c r="Z24" s="12">
        <v>19</v>
      </c>
      <c r="AA24" s="12">
        <v>22</v>
      </c>
      <c r="AB24" s="12">
        <v>41</v>
      </c>
      <c r="AC24" s="12">
        <v>15</v>
      </c>
      <c r="AD24" s="12">
        <v>22</v>
      </c>
      <c r="AE24" s="12">
        <v>10</v>
      </c>
      <c r="AF24" s="12">
        <v>6</v>
      </c>
    </row>
    <row r="25" spans="1:32" ht="23.25" x14ac:dyDescent="0.25">
      <c r="A25" s="19"/>
      <c r="B25" s="13" t="s">
        <v>257</v>
      </c>
      <c r="C25" s="14">
        <v>0.02</v>
      </c>
      <c r="D25" s="14">
        <v>0.02</v>
      </c>
      <c r="E25" s="14">
        <v>0.02</v>
      </c>
      <c r="F25" s="14">
        <v>0.01</v>
      </c>
      <c r="G25" s="14">
        <v>0.02</v>
      </c>
      <c r="H25" s="14">
        <v>0.01</v>
      </c>
      <c r="I25" s="14">
        <v>0.02</v>
      </c>
      <c r="J25" s="14">
        <v>0.02</v>
      </c>
      <c r="K25" s="14">
        <v>0.02</v>
      </c>
      <c r="L25" s="14">
        <v>0.02</v>
      </c>
      <c r="M25" s="14">
        <v>0.03</v>
      </c>
      <c r="N25" s="14">
        <v>0.03</v>
      </c>
      <c r="O25" s="14">
        <v>0.02</v>
      </c>
      <c r="P25" s="14">
        <v>0.02</v>
      </c>
      <c r="Q25" s="14">
        <v>0.03</v>
      </c>
      <c r="R25" s="14">
        <v>0.04</v>
      </c>
      <c r="S25" s="14">
        <v>0.01</v>
      </c>
      <c r="T25" s="14">
        <v>0.01</v>
      </c>
      <c r="U25" s="14">
        <v>0.03</v>
      </c>
      <c r="V25" s="14">
        <v>0.01</v>
      </c>
      <c r="W25" s="14">
        <v>0.02</v>
      </c>
      <c r="X25" s="14">
        <v>0.02</v>
      </c>
      <c r="Y25" s="14">
        <v>0.02</v>
      </c>
      <c r="Z25" s="14">
        <v>0.02</v>
      </c>
      <c r="AA25" s="14">
        <v>0.02</v>
      </c>
      <c r="AB25" s="14">
        <v>0.04</v>
      </c>
      <c r="AC25" s="14">
        <v>0.02</v>
      </c>
      <c r="AD25" s="14">
        <v>0.02</v>
      </c>
      <c r="AE25" s="14">
        <v>0.01</v>
      </c>
      <c r="AF25" s="14">
        <v>0.01</v>
      </c>
    </row>
    <row r="26" spans="1:32" ht="34.5" x14ac:dyDescent="0.25">
      <c r="A26" s="19"/>
      <c r="B26" s="11" t="s">
        <v>258</v>
      </c>
      <c r="C26" s="12">
        <v>857</v>
      </c>
      <c r="D26" s="12">
        <v>35</v>
      </c>
      <c r="E26" s="12">
        <v>35</v>
      </c>
      <c r="F26" s="12">
        <v>129</v>
      </c>
      <c r="G26" s="12">
        <v>43</v>
      </c>
      <c r="H26" s="12">
        <v>30</v>
      </c>
      <c r="I26" s="12">
        <v>40</v>
      </c>
      <c r="J26" s="12">
        <v>10</v>
      </c>
      <c r="K26" s="12">
        <v>59</v>
      </c>
      <c r="L26" s="12">
        <v>16</v>
      </c>
      <c r="M26" s="12">
        <v>15</v>
      </c>
      <c r="N26" s="12">
        <v>14</v>
      </c>
      <c r="O26" s="12">
        <v>29</v>
      </c>
      <c r="P26" s="12">
        <v>31</v>
      </c>
      <c r="Q26" s="12">
        <v>43</v>
      </c>
      <c r="R26" s="12">
        <v>1</v>
      </c>
      <c r="S26" s="12">
        <v>22</v>
      </c>
      <c r="T26" s="12">
        <v>20</v>
      </c>
      <c r="U26" s="12">
        <v>16</v>
      </c>
      <c r="V26" s="12">
        <v>41</v>
      </c>
      <c r="W26" s="12">
        <v>10</v>
      </c>
      <c r="X26" s="12">
        <v>52</v>
      </c>
      <c r="Y26" s="12">
        <v>40</v>
      </c>
      <c r="Z26" s="12">
        <v>33</v>
      </c>
      <c r="AA26" s="12">
        <v>22</v>
      </c>
      <c r="AB26" s="12">
        <v>49</v>
      </c>
      <c r="AC26" s="12">
        <v>23</v>
      </c>
      <c r="AD26" s="12">
        <v>30</v>
      </c>
      <c r="AE26" s="12">
        <v>23</v>
      </c>
      <c r="AF26" s="12">
        <v>20</v>
      </c>
    </row>
    <row r="27" spans="1:32" ht="23.25" x14ac:dyDescent="0.25">
      <c r="A27" s="19"/>
      <c r="B27" s="13" t="s">
        <v>259</v>
      </c>
      <c r="C27" s="14">
        <v>0.03</v>
      </c>
      <c r="D27" s="14">
        <v>0.03</v>
      </c>
      <c r="E27" s="14">
        <v>0.03</v>
      </c>
      <c r="F27" s="14">
        <v>0.12</v>
      </c>
      <c r="G27" s="14">
        <v>0.04</v>
      </c>
      <c r="H27" s="14">
        <v>0.02</v>
      </c>
      <c r="I27" s="14">
        <v>0.03</v>
      </c>
      <c r="J27" s="14">
        <v>0.03</v>
      </c>
      <c r="K27" s="14">
        <v>0.06</v>
      </c>
      <c r="L27" s="14">
        <v>0.02</v>
      </c>
      <c r="M27" s="14">
        <v>0.02</v>
      </c>
      <c r="N27" s="14">
        <v>0.02</v>
      </c>
      <c r="O27" s="14">
        <v>0.03</v>
      </c>
      <c r="P27" s="14">
        <v>0.03</v>
      </c>
      <c r="Q27" s="14">
        <v>0.04</v>
      </c>
      <c r="R27" s="15" t="s">
        <v>213</v>
      </c>
      <c r="S27" s="14">
        <v>0.02</v>
      </c>
      <c r="T27" s="14">
        <v>0.02</v>
      </c>
      <c r="U27" s="14">
        <v>0.03</v>
      </c>
      <c r="V27" s="14">
        <v>0.04</v>
      </c>
      <c r="W27" s="14">
        <v>0.02</v>
      </c>
      <c r="X27" s="14">
        <v>0.05</v>
      </c>
      <c r="Y27" s="14">
        <v>0.04</v>
      </c>
      <c r="Z27" s="14">
        <v>0.03</v>
      </c>
      <c r="AA27" s="14">
        <v>0.02</v>
      </c>
      <c r="AB27" s="14">
        <v>0.05</v>
      </c>
      <c r="AC27" s="14">
        <v>0.02</v>
      </c>
      <c r="AD27" s="14">
        <v>0.03</v>
      </c>
      <c r="AE27" s="14">
        <v>0.02</v>
      </c>
      <c r="AF27" s="14">
        <v>0.02</v>
      </c>
    </row>
    <row r="28" spans="1:32" ht="23.25" x14ac:dyDescent="0.25">
      <c r="A28" s="19"/>
      <c r="B28" s="11" t="s">
        <v>260</v>
      </c>
      <c r="C28" s="12">
        <v>497</v>
      </c>
      <c r="D28" s="12">
        <v>19</v>
      </c>
      <c r="E28" s="12">
        <v>45</v>
      </c>
      <c r="F28" s="12">
        <v>12</v>
      </c>
      <c r="G28" s="12">
        <v>29</v>
      </c>
      <c r="H28" s="12">
        <v>12</v>
      </c>
      <c r="I28" s="12">
        <v>15</v>
      </c>
      <c r="J28" s="12">
        <v>4</v>
      </c>
      <c r="K28" s="12">
        <v>16</v>
      </c>
      <c r="L28" s="12">
        <v>16</v>
      </c>
      <c r="M28" s="12">
        <v>32</v>
      </c>
      <c r="N28" s="12">
        <v>13</v>
      </c>
      <c r="O28" s="12">
        <v>21</v>
      </c>
      <c r="P28" s="12">
        <v>29</v>
      </c>
      <c r="Q28" s="12">
        <v>34</v>
      </c>
      <c r="R28" s="12">
        <v>10</v>
      </c>
      <c r="S28" s="12">
        <v>10</v>
      </c>
      <c r="T28" s="12">
        <v>7</v>
      </c>
      <c r="U28" s="12">
        <v>14</v>
      </c>
      <c r="V28" s="12">
        <v>16</v>
      </c>
      <c r="W28" s="12">
        <v>17</v>
      </c>
      <c r="X28" s="12">
        <v>7</v>
      </c>
      <c r="Y28" s="12">
        <v>30</v>
      </c>
      <c r="Z28" s="12">
        <v>20</v>
      </c>
      <c r="AA28" s="12">
        <v>7</v>
      </c>
      <c r="AB28" s="12">
        <v>30</v>
      </c>
      <c r="AC28" s="12">
        <v>10</v>
      </c>
      <c r="AD28" s="12">
        <v>20</v>
      </c>
      <c r="AE28" s="12">
        <v>5</v>
      </c>
      <c r="AF28" s="12">
        <v>9</v>
      </c>
    </row>
    <row r="29" spans="1:32" x14ac:dyDescent="0.25">
      <c r="A29" s="19"/>
      <c r="B29" s="13" t="s">
        <v>261</v>
      </c>
      <c r="C29" s="14">
        <v>0.02</v>
      </c>
      <c r="D29" s="14">
        <v>0.02</v>
      </c>
      <c r="E29" s="14">
        <v>0.04</v>
      </c>
      <c r="F29" s="14">
        <v>0.01</v>
      </c>
      <c r="G29" s="14">
        <v>0.03</v>
      </c>
      <c r="H29" s="14">
        <v>0.01</v>
      </c>
      <c r="I29" s="14">
        <v>0.01</v>
      </c>
      <c r="J29" s="14">
        <v>0.01</v>
      </c>
      <c r="K29" s="14">
        <v>0.01</v>
      </c>
      <c r="L29" s="14">
        <v>0.02</v>
      </c>
      <c r="M29" s="14">
        <v>0.03</v>
      </c>
      <c r="N29" s="14">
        <v>0.01</v>
      </c>
      <c r="O29" s="14">
        <v>0.02</v>
      </c>
      <c r="P29" s="14">
        <v>0.03</v>
      </c>
      <c r="Q29" s="14">
        <v>0.03</v>
      </c>
      <c r="R29" s="14">
        <v>0.02</v>
      </c>
      <c r="S29" s="14">
        <v>0.01</v>
      </c>
      <c r="T29" s="14">
        <v>0.01</v>
      </c>
      <c r="U29" s="14">
        <v>0.03</v>
      </c>
      <c r="V29" s="14">
        <v>0.02</v>
      </c>
      <c r="W29" s="14">
        <v>0.03</v>
      </c>
      <c r="X29" s="14">
        <v>0.01</v>
      </c>
      <c r="Y29" s="14">
        <v>0.03</v>
      </c>
      <c r="Z29" s="14">
        <v>0.02</v>
      </c>
      <c r="AA29" s="14">
        <v>0.01</v>
      </c>
      <c r="AB29" s="14">
        <v>0.03</v>
      </c>
      <c r="AC29" s="14">
        <v>0.01</v>
      </c>
      <c r="AD29" s="14">
        <v>0.02</v>
      </c>
      <c r="AE29" s="14">
        <v>0.01</v>
      </c>
      <c r="AF29" s="14">
        <v>0.01</v>
      </c>
    </row>
    <row r="30" spans="1:32" x14ac:dyDescent="0.25">
      <c r="A30" s="19"/>
      <c r="B30" s="11" t="s">
        <v>262</v>
      </c>
      <c r="C30" s="12">
        <v>2117</v>
      </c>
      <c r="D30" s="12">
        <v>169</v>
      </c>
      <c r="E30" s="12">
        <v>22</v>
      </c>
      <c r="F30" s="12">
        <v>124</v>
      </c>
      <c r="G30" s="12">
        <v>70</v>
      </c>
      <c r="H30" s="12">
        <v>148</v>
      </c>
      <c r="I30" s="12">
        <v>192</v>
      </c>
      <c r="J30" s="12">
        <v>44</v>
      </c>
      <c r="K30" s="12">
        <v>27</v>
      </c>
      <c r="L30" s="12">
        <v>206</v>
      </c>
      <c r="M30" s="12">
        <v>39</v>
      </c>
      <c r="N30" s="12">
        <v>66</v>
      </c>
      <c r="O30" s="12">
        <v>69</v>
      </c>
      <c r="P30" s="12">
        <v>52</v>
      </c>
      <c r="Q30" s="12">
        <v>46</v>
      </c>
      <c r="R30" s="12">
        <v>89</v>
      </c>
      <c r="S30" s="12">
        <v>38</v>
      </c>
      <c r="T30" s="12">
        <v>50</v>
      </c>
      <c r="U30" s="12">
        <v>48</v>
      </c>
      <c r="V30" s="12">
        <v>62</v>
      </c>
      <c r="W30" s="12">
        <v>62</v>
      </c>
      <c r="X30" s="12">
        <v>154</v>
      </c>
      <c r="Y30" s="12">
        <v>111</v>
      </c>
      <c r="Z30" s="12">
        <v>72</v>
      </c>
      <c r="AA30" s="12">
        <v>40</v>
      </c>
      <c r="AB30" s="12">
        <v>34</v>
      </c>
      <c r="AC30" s="12">
        <v>93</v>
      </c>
      <c r="AD30" s="12">
        <v>43</v>
      </c>
      <c r="AE30" s="12">
        <v>33</v>
      </c>
      <c r="AF30" s="12">
        <v>48</v>
      </c>
    </row>
    <row r="31" spans="1:32" x14ac:dyDescent="0.25">
      <c r="A31" s="19"/>
      <c r="B31" s="13" t="s">
        <v>263</v>
      </c>
      <c r="C31" s="14">
        <v>0.08</v>
      </c>
      <c r="D31" s="14">
        <v>0.17</v>
      </c>
      <c r="E31" s="14">
        <v>0.02</v>
      </c>
      <c r="F31" s="14">
        <v>0.12</v>
      </c>
      <c r="G31" s="14">
        <v>7.0000000000000007E-2</v>
      </c>
      <c r="H31" s="14">
        <v>0.12</v>
      </c>
      <c r="I31" s="14">
        <v>0.13</v>
      </c>
      <c r="J31" s="14">
        <v>0.15</v>
      </c>
      <c r="K31" s="14">
        <v>0.03</v>
      </c>
      <c r="L31" s="14">
        <v>0.21</v>
      </c>
      <c r="M31" s="14">
        <v>0.04</v>
      </c>
      <c r="N31" s="14">
        <v>7.0000000000000007E-2</v>
      </c>
      <c r="O31" s="14">
        <v>7.0000000000000007E-2</v>
      </c>
      <c r="P31" s="14">
        <v>0.05</v>
      </c>
      <c r="Q31" s="14">
        <v>0.05</v>
      </c>
      <c r="R31" s="14">
        <v>0.18</v>
      </c>
      <c r="S31" s="14">
        <v>0.04</v>
      </c>
      <c r="T31" s="14">
        <v>0.05</v>
      </c>
      <c r="U31" s="14">
        <v>0.09</v>
      </c>
      <c r="V31" s="14">
        <v>0.06</v>
      </c>
      <c r="W31" s="14">
        <v>0.12</v>
      </c>
      <c r="X31" s="14">
        <v>0.15</v>
      </c>
      <c r="Y31" s="14">
        <v>0.11</v>
      </c>
      <c r="Z31" s="14">
        <v>7.0000000000000007E-2</v>
      </c>
      <c r="AA31" s="14">
        <v>0.04</v>
      </c>
      <c r="AB31" s="14">
        <v>0.03</v>
      </c>
      <c r="AC31" s="14">
        <v>0.09</v>
      </c>
      <c r="AD31" s="14">
        <v>0.04</v>
      </c>
      <c r="AE31" s="14">
        <v>0.03</v>
      </c>
      <c r="AF31" s="14">
        <v>0.05</v>
      </c>
    </row>
    <row r="32" spans="1:32" ht="23.25" x14ac:dyDescent="0.25">
      <c r="A32" s="19"/>
      <c r="B32" s="11" t="s">
        <v>264</v>
      </c>
      <c r="C32" s="12">
        <v>1111</v>
      </c>
      <c r="D32" s="12">
        <v>47</v>
      </c>
      <c r="E32" s="12">
        <v>20</v>
      </c>
      <c r="F32" s="12">
        <v>50</v>
      </c>
      <c r="G32" s="12">
        <v>58</v>
      </c>
      <c r="H32" s="12">
        <v>31</v>
      </c>
      <c r="I32" s="12">
        <v>48</v>
      </c>
      <c r="J32" s="12">
        <v>18</v>
      </c>
      <c r="K32" s="12">
        <v>24</v>
      </c>
      <c r="L32" s="12">
        <v>34</v>
      </c>
      <c r="M32" s="12">
        <v>16</v>
      </c>
      <c r="N32" s="12">
        <v>18</v>
      </c>
      <c r="O32" s="12">
        <v>56</v>
      </c>
      <c r="P32" s="12">
        <v>42</v>
      </c>
      <c r="Q32" s="12">
        <v>72</v>
      </c>
      <c r="R32" s="12">
        <v>13</v>
      </c>
      <c r="S32" s="12">
        <v>14</v>
      </c>
      <c r="T32" s="12">
        <v>10</v>
      </c>
      <c r="U32" s="12">
        <v>23</v>
      </c>
      <c r="V32" s="12">
        <v>30</v>
      </c>
      <c r="W32" s="12">
        <v>22</v>
      </c>
      <c r="X32" s="12">
        <v>30</v>
      </c>
      <c r="Y32" s="12">
        <v>40</v>
      </c>
      <c r="Z32" s="12">
        <v>54</v>
      </c>
      <c r="AA32" s="12">
        <v>30</v>
      </c>
      <c r="AB32" s="12">
        <v>39</v>
      </c>
      <c r="AC32" s="12">
        <v>31</v>
      </c>
      <c r="AD32" s="12">
        <v>22</v>
      </c>
      <c r="AE32" s="12">
        <v>28</v>
      </c>
      <c r="AF32" s="12">
        <v>76</v>
      </c>
    </row>
    <row r="33" spans="1:32" ht="23.25" x14ac:dyDescent="0.25">
      <c r="A33" s="19"/>
      <c r="B33" s="13" t="s">
        <v>265</v>
      </c>
      <c r="C33" s="14">
        <v>0.04</v>
      </c>
      <c r="D33" s="14">
        <v>0.05</v>
      </c>
      <c r="E33" s="14">
        <v>0.02</v>
      </c>
      <c r="F33" s="14">
        <v>0.05</v>
      </c>
      <c r="G33" s="14">
        <v>0.06</v>
      </c>
      <c r="H33" s="14">
        <v>0.03</v>
      </c>
      <c r="I33" s="14">
        <v>0.03</v>
      </c>
      <c r="J33" s="14">
        <v>0.06</v>
      </c>
      <c r="K33" s="14">
        <v>0.02</v>
      </c>
      <c r="L33" s="14">
        <v>0.03</v>
      </c>
      <c r="M33" s="14">
        <v>0.02</v>
      </c>
      <c r="N33" s="14">
        <v>0.02</v>
      </c>
      <c r="O33" s="14">
        <v>0.05</v>
      </c>
      <c r="P33" s="14">
        <v>0.04</v>
      </c>
      <c r="Q33" s="14">
        <v>7.0000000000000007E-2</v>
      </c>
      <c r="R33" s="14">
        <v>0.03</v>
      </c>
      <c r="S33" s="14">
        <v>0.01</v>
      </c>
      <c r="T33" s="14">
        <v>0.01</v>
      </c>
      <c r="U33" s="14">
        <v>0.04</v>
      </c>
      <c r="V33" s="14">
        <v>0.03</v>
      </c>
      <c r="W33" s="14">
        <v>0.04</v>
      </c>
      <c r="X33" s="14">
        <v>0.03</v>
      </c>
      <c r="Y33" s="14">
        <v>0.04</v>
      </c>
      <c r="Z33" s="14">
        <v>0.05</v>
      </c>
      <c r="AA33" s="14">
        <v>0.03</v>
      </c>
      <c r="AB33" s="14">
        <v>0.04</v>
      </c>
      <c r="AC33" s="14">
        <v>0.03</v>
      </c>
      <c r="AD33" s="14">
        <v>0.02</v>
      </c>
      <c r="AE33" s="14">
        <v>0.03</v>
      </c>
      <c r="AF33" s="14">
        <v>7.0000000000000007E-2</v>
      </c>
    </row>
    <row r="34" spans="1:32" ht="23.25" x14ac:dyDescent="0.25">
      <c r="A34" s="19"/>
      <c r="B34" s="11" t="s">
        <v>266</v>
      </c>
      <c r="C34" s="12">
        <v>1915</v>
      </c>
      <c r="D34" s="12">
        <v>55</v>
      </c>
      <c r="E34" s="12">
        <v>55</v>
      </c>
      <c r="F34" s="12">
        <v>64</v>
      </c>
      <c r="G34" s="12">
        <v>83</v>
      </c>
      <c r="H34" s="12">
        <v>173</v>
      </c>
      <c r="I34" s="12">
        <v>201</v>
      </c>
      <c r="J34" s="12">
        <v>29</v>
      </c>
      <c r="K34" s="12">
        <v>31</v>
      </c>
      <c r="L34" s="12">
        <v>29</v>
      </c>
      <c r="M34" s="12">
        <v>73</v>
      </c>
      <c r="N34" s="12">
        <v>51</v>
      </c>
      <c r="O34" s="12">
        <v>44</v>
      </c>
      <c r="P34" s="12">
        <v>38</v>
      </c>
      <c r="Q34" s="12">
        <v>42</v>
      </c>
      <c r="R34" s="12">
        <v>55</v>
      </c>
      <c r="S34" s="12">
        <v>54</v>
      </c>
      <c r="T34" s="12">
        <v>29</v>
      </c>
      <c r="U34" s="12">
        <v>28</v>
      </c>
      <c r="V34" s="12">
        <v>75</v>
      </c>
      <c r="W34" s="12">
        <v>34</v>
      </c>
      <c r="X34" s="12">
        <v>97</v>
      </c>
      <c r="Y34" s="12">
        <v>87</v>
      </c>
      <c r="Z34" s="12">
        <v>66</v>
      </c>
      <c r="AA34" s="12">
        <v>29</v>
      </c>
      <c r="AB34" s="12">
        <v>92</v>
      </c>
      <c r="AC34" s="12">
        <v>48</v>
      </c>
      <c r="AD34" s="12">
        <v>80</v>
      </c>
      <c r="AE34" s="12">
        <v>101</v>
      </c>
      <c r="AF34" s="12">
        <v>138</v>
      </c>
    </row>
    <row r="35" spans="1:32" ht="23.25" x14ac:dyDescent="0.25">
      <c r="A35" s="19"/>
      <c r="B35" s="13" t="s">
        <v>267</v>
      </c>
      <c r="C35" s="14">
        <v>7.0000000000000007E-2</v>
      </c>
      <c r="D35" s="14">
        <v>0.05</v>
      </c>
      <c r="E35" s="14">
        <v>0.05</v>
      </c>
      <c r="F35" s="14">
        <v>0.06</v>
      </c>
      <c r="G35" s="14">
        <v>0.08</v>
      </c>
      <c r="H35" s="14">
        <v>0.14000000000000001</v>
      </c>
      <c r="I35" s="14">
        <v>0.13</v>
      </c>
      <c r="J35" s="14">
        <v>0.1</v>
      </c>
      <c r="K35" s="14">
        <v>0.03</v>
      </c>
      <c r="L35" s="14">
        <v>0.03</v>
      </c>
      <c r="M35" s="14">
        <v>7.0000000000000007E-2</v>
      </c>
      <c r="N35" s="14">
        <v>0.05</v>
      </c>
      <c r="O35" s="14">
        <v>0.04</v>
      </c>
      <c r="P35" s="14">
        <v>0.04</v>
      </c>
      <c r="Q35" s="14">
        <v>0.04</v>
      </c>
      <c r="R35" s="14">
        <v>0.11</v>
      </c>
      <c r="S35" s="14">
        <v>0.05</v>
      </c>
      <c r="T35" s="14">
        <v>0.03</v>
      </c>
      <c r="U35" s="14">
        <v>0.05</v>
      </c>
      <c r="V35" s="14">
        <v>7.0000000000000007E-2</v>
      </c>
      <c r="W35" s="14">
        <v>7.0000000000000007E-2</v>
      </c>
      <c r="X35" s="14">
        <v>0.1</v>
      </c>
      <c r="Y35" s="14">
        <v>0.09</v>
      </c>
      <c r="Z35" s="14">
        <v>7.0000000000000007E-2</v>
      </c>
      <c r="AA35" s="14">
        <v>0.03</v>
      </c>
      <c r="AB35" s="14">
        <v>0.09</v>
      </c>
      <c r="AC35" s="14">
        <v>0.05</v>
      </c>
      <c r="AD35" s="14">
        <v>0.08</v>
      </c>
      <c r="AE35" s="14">
        <v>0.1</v>
      </c>
      <c r="AF35" s="14">
        <v>0.13</v>
      </c>
    </row>
    <row r="36" spans="1:32" ht="23.25" x14ac:dyDescent="0.25">
      <c r="A36" s="19"/>
      <c r="B36" s="11" t="s">
        <v>268</v>
      </c>
      <c r="C36" s="12">
        <v>3595</v>
      </c>
      <c r="D36" s="12">
        <v>139</v>
      </c>
      <c r="E36" s="12">
        <v>58</v>
      </c>
      <c r="F36" s="12">
        <v>190</v>
      </c>
      <c r="G36" s="12">
        <v>251</v>
      </c>
      <c r="H36" s="12">
        <v>239</v>
      </c>
      <c r="I36" s="12">
        <v>277</v>
      </c>
      <c r="J36" s="12">
        <v>38</v>
      </c>
      <c r="K36" s="12">
        <v>227</v>
      </c>
      <c r="L36" s="12">
        <v>58</v>
      </c>
      <c r="M36" s="12">
        <v>56</v>
      </c>
      <c r="N36" s="12">
        <v>53</v>
      </c>
      <c r="O36" s="12">
        <v>111</v>
      </c>
      <c r="P36" s="12">
        <v>82</v>
      </c>
      <c r="Q36" s="12">
        <v>130</v>
      </c>
      <c r="R36" s="12">
        <v>63</v>
      </c>
      <c r="S36" s="12">
        <v>221</v>
      </c>
      <c r="T36" s="12">
        <v>268</v>
      </c>
      <c r="U36" s="12">
        <v>80</v>
      </c>
      <c r="V36" s="12">
        <v>109</v>
      </c>
      <c r="W36" s="12">
        <v>29</v>
      </c>
      <c r="X36" s="12">
        <v>224</v>
      </c>
      <c r="Y36" s="12">
        <v>81</v>
      </c>
      <c r="Z36" s="12">
        <v>227</v>
      </c>
      <c r="AA36" s="12">
        <v>64</v>
      </c>
      <c r="AB36" s="12">
        <v>95</v>
      </c>
      <c r="AC36" s="12">
        <v>80</v>
      </c>
      <c r="AD36" s="12">
        <v>125</v>
      </c>
      <c r="AE36" s="12">
        <v>240</v>
      </c>
      <c r="AF36" s="12">
        <v>153</v>
      </c>
    </row>
    <row r="37" spans="1:32" x14ac:dyDescent="0.25">
      <c r="A37" s="19"/>
      <c r="B37" s="13" t="s">
        <v>269</v>
      </c>
      <c r="C37" s="14">
        <v>0.14000000000000001</v>
      </c>
      <c r="D37" s="14">
        <v>0.14000000000000001</v>
      </c>
      <c r="E37" s="14">
        <v>0.06</v>
      </c>
      <c r="F37" s="14">
        <v>0.18</v>
      </c>
      <c r="G37" s="14">
        <v>0.25</v>
      </c>
      <c r="H37" s="14">
        <v>0.2</v>
      </c>
      <c r="I37" s="14">
        <v>0.18</v>
      </c>
      <c r="J37" s="14">
        <v>0.13</v>
      </c>
      <c r="K37" s="14">
        <v>0.22</v>
      </c>
      <c r="L37" s="14">
        <v>0.06</v>
      </c>
      <c r="M37" s="14">
        <v>0.06</v>
      </c>
      <c r="N37" s="14">
        <v>0.05</v>
      </c>
      <c r="O37" s="14">
        <v>0.11</v>
      </c>
      <c r="P37" s="14">
        <v>0.08</v>
      </c>
      <c r="Q37" s="14">
        <v>0.13</v>
      </c>
      <c r="R37" s="14">
        <v>0.13</v>
      </c>
      <c r="S37" s="14">
        <v>0.22</v>
      </c>
      <c r="T37" s="14">
        <v>0.26</v>
      </c>
      <c r="U37" s="14">
        <v>0.16</v>
      </c>
      <c r="V37" s="14">
        <v>0.11</v>
      </c>
      <c r="W37" s="14">
        <v>0.06</v>
      </c>
      <c r="X37" s="14">
        <v>0.22</v>
      </c>
      <c r="Y37" s="14">
        <v>0.08</v>
      </c>
      <c r="Z37" s="14">
        <v>0.22</v>
      </c>
      <c r="AA37" s="14">
        <v>0.06</v>
      </c>
      <c r="AB37" s="14">
        <v>0.09</v>
      </c>
      <c r="AC37" s="14">
        <v>0.08</v>
      </c>
      <c r="AD37" s="14">
        <v>0.13</v>
      </c>
      <c r="AE37" s="14">
        <v>0.24</v>
      </c>
      <c r="AF37" s="14">
        <v>0.15</v>
      </c>
    </row>
    <row r="38" spans="1:32" ht="23.25" x14ac:dyDescent="0.25">
      <c r="A38" s="19"/>
      <c r="B38" s="11" t="s">
        <v>270</v>
      </c>
      <c r="C38" s="12">
        <v>1157</v>
      </c>
      <c r="D38" s="12">
        <v>27</v>
      </c>
      <c r="E38" s="12">
        <v>56</v>
      </c>
      <c r="F38" s="12">
        <v>53</v>
      </c>
      <c r="G38" s="12">
        <v>43</v>
      </c>
      <c r="H38" s="12">
        <v>32</v>
      </c>
      <c r="I38" s="12">
        <v>48</v>
      </c>
      <c r="J38" s="12">
        <v>16</v>
      </c>
      <c r="K38" s="12">
        <v>50</v>
      </c>
      <c r="L38" s="12">
        <v>21</v>
      </c>
      <c r="M38" s="12">
        <v>34</v>
      </c>
      <c r="N38" s="12">
        <v>44</v>
      </c>
      <c r="O38" s="12">
        <v>40</v>
      </c>
      <c r="P38" s="12">
        <v>75</v>
      </c>
      <c r="Q38" s="12">
        <v>35</v>
      </c>
      <c r="R38" s="12">
        <v>4</v>
      </c>
      <c r="S38" s="12">
        <v>24</v>
      </c>
      <c r="T38" s="12">
        <v>32</v>
      </c>
      <c r="U38" s="12">
        <v>19</v>
      </c>
      <c r="V38" s="12">
        <v>70</v>
      </c>
      <c r="W38" s="12">
        <v>15</v>
      </c>
      <c r="X38" s="12">
        <v>29</v>
      </c>
      <c r="Y38" s="12">
        <v>43</v>
      </c>
      <c r="Z38" s="12">
        <v>75</v>
      </c>
      <c r="AA38" s="12">
        <v>42</v>
      </c>
      <c r="AB38" s="12">
        <v>70</v>
      </c>
      <c r="AC38" s="12">
        <v>145</v>
      </c>
      <c r="AD38" s="12">
        <v>85</v>
      </c>
      <c r="AE38" s="12">
        <v>79</v>
      </c>
      <c r="AF38" s="12">
        <v>51</v>
      </c>
    </row>
    <row r="39" spans="1:32" ht="23.25" x14ac:dyDescent="0.25">
      <c r="A39" s="19"/>
      <c r="B39" s="13" t="s">
        <v>271</v>
      </c>
      <c r="C39" s="14">
        <v>0.04</v>
      </c>
      <c r="D39" s="14">
        <v>0.03</v>
      </c>
      <c r="E39" s="14">
        <v>0.06</v>
      </c>
      <c r="F39" s="14">
        <v>0.05</v>
      </c>
      <c r="G39" s="14">
        <v>0.04</v>
      </c>
      <c r="H39" s="14">
        <v>0.03</v>
      </c>
      <c r="I39" s="14">
        <v>0.03</v>
      </c>
      <c r="J39" s="14">
        <v>0.05</v>
      </c>
      <c r="K39" s="14">
        <v>0.05</v>
      </c>
      <c r="L39" s="14">
        <v>0.02</v>
      </c>
      <c r="M39" s="14">
        <v>0.03</v>
      </c>
      <c r="N39" s="14">
        <v>0.04</v>
      </c>
      <c r="O39" s="14">
        <v>0.04</v>
      </c>
      <c r="P39" s="14">
        <v>0.08</v>
      </c>
      <c r="Q39" s="14">
        <v>0.03</v>
      </c>
      <c r="R39" s="14">
        <v>0.01</v>
      </c>
      <c r="S39" s="14">
        <v>0.02</v>
      </c>
      <c r="T39" s="14">
        <v>0.03</v>
      </c>
      <c r="U39" s="14">
        <v>0.04</v>
      </c>
      <c r="V39" s="14">
        <v>7.0000000000000007E-2</v>
      </c>
      <c r="W39" s="14">
        <v>0.03</v>
      </c>
      <c r="X39" s="14">
        <v>0.03</v>
      </c>
      <c r="Y39" s="14">
        <v>0.04</v>
      </c>
      <c r="Z39" s="14">
        <v>7.0000000000000007E-2</v>
      </c>
      <c r="AA39" s="14">
        <v>0.04</v>
      </c>
      <c r="AB39" s="14">
        <v>7.0000000000000007E-2</v>
      </c>
      <c r="AC39" s="14">
        <v>0.15</v>
      </c>
      <c r="AD39" s="14">
        <v>0.09</v>
      </c>
      <c r="AE39" s="14">
        <v>0.08</v>
      </c>
      <c r="AF39" s="14">
        <v>0.05</v>
      </c>
    </row>
    <row r="40" spans="1:32" ht="23.25" x14ac:dyDescent="0.25">
      <c r="A40" s="19"/>
      <c r="B40" s="11" t="s">
        <v>272</v>
      </c>
      <c r="C40" s="12">
        <v>560</v>
      </c>
      <c r="D40" s="12">
        <v>11</v>
      </c>
      <c r="E40" s="12">
        <v>17</v>
      </c>
      <c r="F40" s="12">
        <v>11</v>
      </c>
      <c r="G40" s="12">
        <v>33</v>
      </c>
      <c r="H40" s="12">
        <v>17</v>
      </c>
      <c r="I40" s="12">
        <v>25</v>
      </c>
      <c r="J40" s="12">
        <v>8</v>
      </c>
      <c r="K40" s="12">
        <v>16</v>
      </c>
      <c r="L40" s="12">
        <v>21</v>
      </c>
      <c r="M40" s="12">
        <v>4</v>
      </c>
      <c r="N40" s="12">
        <v>20</v>
      </c>
      <c r="O40" s="12">
        <v>26</v>
      </c>
      <c r="P40" s="12">
        <v>20</v>
      </c>
      <c r="Q40" s="12">
        <v>23</v>
      </c>
      <c r="R40" s="12">
        <v>4</v>
      </c>
      <c r="S40" s="12">
        <v>7</v>
      </c>
      <c r="T40" s="12">
        <v>7</v>
      </c>
      <c r="U40" s="12">
        <v>9</v>
      </c>
      <c r="V40" s="12">
        <v>22</v>
      </c>
      <c r="W40" s="12">
        <v>10</v>
      </c>
      <c r="X40" s="12">
        <v>12</v>
      </c>
      <c r="Y40" s="12">
        <v>35</v>
      </c>
      <c r="Z40" s="12">
        <v>29</v>
      </c>
      <c r="AA40" s="12">
        <v>30</v>
      </c>
      <c r="AB40" s="12">
        <v>22</v>
      </c>
      <c r="AC40" s="12">
        <v>12</v>
      </c>
      <c r="AD40" s="12">
        <v>13</v>
      </c>
      <c r="AE40" s="12">
        <v>17</v>
      </c>
      <c r="AF40" s="12">
        <v>54</v>
      </c>
    </row>
    <row r="41" spans="1:32" ht="23.25" x14ac:dyDescent="0.25">
      <c r="A41" s="19"/>
      <c r="B41" s="13" t="s">
        <v>273</v>
      </c>
      <c r="C41" s="14">
        <v>0.02</v>
      </c>
      <c r="D41" s="14">
        <v>0.01</v>
      </c>
      <c r="E41" s="14">
        <v>0.02</v>
      </c>
      <c r="F41" s="14">
        <v>0.01</v>
      </c>
      <c r="G41" s="14">
        <v>0.03</v>
      </c>
      <c r="H41" s="14">
        <v>0.01</v>
      </c>
      <c r="I41" s="14">
        <v>0.02</v>
      </c>
      <c r="J41" s="14">
        <v>0.03</v>
      </c>
      <c r="K41" s="14">
        <v>0.02</v>
      </c>
      <c r="L41" s="14">
        <v>0.02</v>
      </c>
      <c r="M41" s="15" t="s">
        <v>213</v>
      </c>
      <c r="N41" s="14">
        <v>0.02</v>
      </c>
      <c r="O41" s="14">
        <v>0.03</v>
      </c>
      <c r="P41" s="14">
        <v>0.02</v>
      </c>
      <c r="Q41" s="14">
        <v>0.02</v>
      </c>
      <c r="R41" s="14">
        <v>0.01</v>
      </c>
      <c r="S41" s="14">
        <v>0.01</v>
      </c>
      <c r="T41" s="14">
        <v>0.01</v>
      </c>
      <c r="U41" s="14">
        <v>0.02</v>
      </c>
      <c r="V41" s="14">
        <v>0.02</v>
      </c>
      <c r="W41" s="14">
        <v>0.02</v>
      </c>
      <c r="X41" s="14">
        <v>0.01</v>
      </c>
      <c r="Y41" s="14">
        <v>0.04</v>
      </c>
      <c r="Z41" s="14">
        <v>0.03</v>
      </c>
      <c r="AA41" s="14">
        <v>0.03</v>
      </c>
      <c r="AB41" s="14">
        <v>0.02</v>
      </c>
      <c r="AC41" s="14">
        <v>0.01</v>
      </c>
      <c r="AD41" s="14">
        <v>0.01</v>
      </c>
      <c r="AE41" s="14">
        <v>0.02</v>
      </c>
      <c r="AF41" s="14">
        <v>0.05</v>
      </c>
    </row>
    <row r="42" spans="1:32" x14ac:dyDescent="0.25">
      <c r="A42" s="19"/>
      <c r="B42" s="11" t="s">
        <v>274</v>
      </c>
      <c r="C42" s="12">
        <v>102</v>
      </c>
      <c r="D42" s="12">
        <v>0</v>
      </c>
      <c r="E42" s="12">
        <v>2</v>
      </c>
      <c r="F42" s="12">
        <v>3</v>
      </c>
      <c r="G42" s="12">
        <v>2</v>
      </c>
      <c r="H42" s="12">
        <v>17</v>
      </c>
      <c r="I42" s="12">
        <v>17</v>
      </c>
      <c r="J42" s="12">
        <v>0</v>
      </c>
      <c r="K42" s="12">
        <v>9</v>
      </c>
      <c r="L42" s="12">
        <v>0</v>
      </c>
      <c r="M42" s="12">
        <v>2</v>
      </c>
      <c r="N42" s="12">
        <v>3</v>
      </c>
      <c r="O42" s="12">
        <v>4</v>
      </c>
      <c r="P42" s="12">
        <v>4</v>
      </c>
      <c r="Q42" s="12">
        <v>2</v>
      </c>
      <c r="R42" s="12">
        <v>3</v>
      </c>
      <c r="S42" s="12">
        <v>8</v>
      </c>
      <c r="T42" s="12">
        <v>1</v>
      </c>
      <c r="U42" s="12">
        <v>1</v>
      </c>
      <c r="V42" s="12">
        <v>0</v>
      </c>
      <c r="W42" s="12">
        <v>0</v>
      </c>
      <c r="X42" s="12">
        <v>1</v>
      </c>
      <c r="Y42" s="12">
        <v>9</v>
      </c>
      <c r="Z42" s="12">
        <v>0</v>
      </c>
      <c r="AA42" s="12">
        <v>3</v>
      </c>
      <c r="AB42" s="12">
        <v>0</v>
      </c>
      <c r="AC42" s="12">
        <v>2</v>
      </c>
      <c r="AD42" s="12">
        <v>0</v>
      </c>
      <c r="AE42" s="12">
        <v>2</v>
      </c>
      <c r="AF42" s="12">
        <v>2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4">
        <v>0.01</v>
      </c>
      <c r="I43" s="14">
        <v>0.01</v>
      </c>
      <c r="J43" s="15" t="s">
        <v>213</v>
      </c>
      <c r="K43" s="14">
        <v>0.01</v>
      </c>
      <c r="L43" s="15" t="s">
        <v>213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4">
        <v>0.01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104</v>
      </c>
      <c r="D44" s="12">
        <v>3</v>
      </c>
      <c r="E44" s="12">
        <v>9</v>
      </c>
      <c r="F44" s="12">
        <v>10</v>
      </c>
      <c r="G44" s="12">
        <v>2</v>
      </c>
      <c r="H44" s="12">
        <v>7</v>
      </c>
      <c r="I44" s="12">
        <v>7</v>
      </c>
      <c r="J44" s="12">
        <v>0</v>
      </c>
      <c r="K44" s="12">
        <v>6</v>
      </c>
      <c r="L44" s="12">
        <v>2</v>
      </c>
      <c r="M44" s="12">
        <v>0</v>
      </c>
      <c r="N44" s="12">
        <v>3</v>
      </c>
      <c r="O44" s="12">
        <v>6</v>
      </c>
      <c r="P44" s="12">
        <v>1</v>
      </c>
      <c r="Q44" s="12">
        <v>3</v>
      </c>
      <c r="R44" s="12">
        <v>1</v>
      </c>
      <c r="S44" s="12">
        <v>3</v>
      </c>
      <c r="T44" s="12">
        <v>5</v>
      </c>
      <c r="U44" s="12">
        <v>0</v>
      </c>
      <c r="V44" s="12">
        <v>0</v>
      </c>
      <c r="W44" s="12">
        <v>2</v>
      </c>
      <c r="X44" s="12">
        <v>10</v>
      </c>
      <c r="Y44" s="12">
        <v>5</v>
      </c>
      <c r="Z44" s="12">
        <v>2</v>
      </c>
      <c r="AA44" s="12">
        <v>0</v>
      </c>
      <c r="AB44" s="12">
        <v>4</v>
      </c>
      <c r="AC44" s="12">
        <v>4</v>
      </c>
      <c r="AD44" s="12">
        <v>0</v>
      </c>
      <c r="AE44" s="12">
        <v>3</v>
      </c>
      <c r="AF44" s="12">
        <v>3</v>
      </c>
    </row>
    <row r="45" spans="1:32" x14ac:dyDescent="0.25">
      <c r="A45" s="19"/>
      <c r="B45" s="13" t="s">
        <v>277</v>
      </c>
      <c r="C45" s="15" t="s">
        <v>213</v>
      </c>
      <c r="D45" s="15" t="s">
        <v>213</v>
      </c>
      <c r="E45" s="14">
        <v>0.01</v>
      </c>
      <c r="F45" s="14">
        <v>0.01</v>
      </c>
      <c r="G45" s="15" t="s">
        <v>213</v>
      </c>
      <c r="H45" s="14">
        <v>0.01</v>
      </c>
      <c r="I45" s="15" t="s">
        <v>213</v>
      </c>
      <c r="J45" s="15" t="s">
        <v>213</v>
      </c>
      <c r="K45" s="15" t="s">
        <v>213</v>
      </c>
      <c r="L45" s="15" t="s">
        <v>213</v>
      </c>
      <c r="M45" s="15" t="s">
        <v>213</v>
      </c>
      <c r="N45" s="15" t="s">
        <v>213</v>
      </c>
      <c r="O45" s="14">
        <v>0.01</v>
      </c>
      <c r="P45" s="15" t="s">
        <v>213</v>
      </c>
      <c r="Q45" s="15" t="s">
        <v>213</v>
      </c>
      <c r="R45" s="15" t="s">
        <v>213</v>
      </c>
      <c r="S45" s="15" t="s">
        <v>213</v>
      </c>
      <c r="T45" s="15" t="s">
        <v>213</v>
      </c>
      <c r="U45" s="15" t="s">
        <v>213</v>
      </c>
      <c r="V45" s="15" t="s">
        <v>213</v>
      </c>
      <c r="W45" s="15" t="s">
        <v>213</v>
      </c>
      <c r="X45" s="14">
        <v>0.01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5" t="s">
        <v>213</v>
      </c>
      <c r="AF45" s="15" t="s">
        <v>213</v>
      </c>
    </row>
    <row r="46" spans="1:32" x14ac:dyDescent="0.25">
      <c r="A46" s="19"/>
      <c r="B46" s="11" t="s">
        <v>224</v>
      </c>
      <c r="C46" s="12">
        <v>106</v>
      </c>
      <c r="D46" s="12">
        <v>1</v>
      </c>
      <c r="E46" s="12">
        <v>14</v>
      </c>
      <c r="F46" s="12">
        <v>11</v>
      </c>
      <c r="G46" s="12">
        <v>8</v>
      </c>
      <c r="H46" s="12">
        <v>5</v>
      </c>
      <c r="I46" s="12">
        <v>5</v>
      </c>
      <c r="J46" s="12">
        <v>0</v>
      </c>
      <c r="K46" s="12">
        <v>6</v>
      </c>
      <c r="L46" s="12">
        <v>3</v>
      </c>
      <c r="M46" s="12">
        <v>1</v>
      </c>
      <c r="N46" s="12">
        <v>3</v>
      </c>
      <c r="O46" s="12">
        <v>6</v>
      </c>
      <c r="P46" s="12">
        <v>4</v>
      </c>
      <c r="Q46" s="12">
        <v>5</v>
      </c>
      <c r="R46" s="12">
        <v>2</v>
      </c>
      <c r="S46" s="12">
        <v>14</v>
      </c>
      <c r="T46" s="12">
        <v>8</v>
      </c>
      <c r="U46" s="12">
        <v>1</v>
      </c>
      <c r="V46" s="12">
        <v>3</v>
      </c>
      <c r="W46" s="12">
        <v>3</v>
      </c>
      <c r="X46" s="12">
        <v>0</v>
      </c>
      <c r="Y46" s="12">
        <v>1</v>
      </c>
      <c r="Z46" s="12">
        <v>2</v>
      </c>
      <c r="AA46" s="12">
        <v>4</v>
      </c>
      <c r="AB46" s="12">
        <v>11</v>
      </c>
      <c r="AC46" s="12">
        <v>1</v>
      </c>
      <c r="AD46" s="12">
        <v>0</v>
      </c>
      <c r="AE46" s="12">
        <v>1</v>
      </c>
      <c r="AF46" s="12">
        <v>0</v>
      </c>
    </row>
    <row r="47" spans="1:32" x14ac:dyDescent="0.25">
      <c r="A47" s="19"/>
      <c r="B47" s="13" t="s">
        <v>237</v>
      </c>
      <c r="C47" s="14">
        <v>0.01</v>
      </c>
      <c r="D47" s="15" t="s">
        <v>213</v>
      </c>
      <c r="E47" s="14">
        <v>0.01</v>
      </c>
      <c r="F47" s="14">
        <v>0.01</v>
      </c>
      <c r="G47" s="14">
        <v>0.01</v>
      </c>
      <c r="H47" s="15" t="s">
        <v>213</v>
      </c>
      <c r="I47" s="15" t="s">
        <v>213</v>
      </c>
      <c r="J47" s="15" t="s">
        <v>213</v>
      </c>
      <c r="K47" s="14">
        <v>0.01</v>
      </c>
      <c r="L47" s="15" t="s">
        <v>213</v>
      </c>
      <c r="M47" s="15" t="s">
        <v>213</v>
      </c>
      <c r="N47" s="15" t="s">
        <v>213</v>
      </c>
      <c r="O47" s="14">
        <v>0.01</v>
      </c>
      <c r="P47" s="15" t="s">
        <v>213</v>
      </c>
      <c r="Q47" s="14">
        <v>0.01</v>
      </c>
      <c r="R47" s="15" t="s">
        <v>213</v>
      </c>
      <c r="S47" s="14">
        <v>0.02</v>
      </c>
      <c r="T47" s="14">
        <v>0.01</v>
      </c>
      <c r="U47" s="15" t="s">
        <v>213</v>
      </c>
      <c r="V47" s="15" t="s">
        <v>213</v>
      </c>
      <c r="W47" s="14">
        <v>0.01</v>
      </c>
      <c r="X47" s="15" t="s">
        <v>213</v>
      </c>
      <c r="Y47" s="15" t="s">
        <v>213</v>
      </c>
      <c r="Z47" s="15" t="s">
        <v>213</v>
      </c>
      <c r="AA47" s="14">
        <v>0.01</v>
      </c>
      <c r="AB47" s="14">
        <v>0.01</v>
      </c>
      <c r="AC47" s="15" t="s">
        <v>213</v>
      </c>
      <c r="AD47" s="15" t="s">
        <v>213</v>
      </c>
      <c r="AE47" s="15" t="s">
        <v>213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21</v>
      </c>
      <c r="C3" s="18"/>
      <c r="D3" s="18"/>
      <c r="E3" s="18"/>
      <c r="F3" s="18"/>
      <c r="H3" s="18" t="s">
        <v>22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24" customHeight="1" x14ac:dyDescent="0.25">
      <c r="B5" s="18" t="s">
        <v>278</v>
      </c>
      <c r="C5" s="18"/>
      <c r="D5" s="18"/>
      <c r="E5" s="18"/>
      <c r="F5" s="18"/>
      <c r="H5" s="18" t="s">
        <v>279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26243</v>
      </c>
      <c r="D10" s="10">
        <v>1017</v>
      </c>
      <c r="E10" s="10">
        <v>1023</v>
      </c>
      <c r="F10" s="10">
        <v>1043</v>
      </c>
      <c r="G10" s="10">
        <v>1005</v>
      </c>
      <c r="H10" s="10">
        <v>1218</v>
      </c>
      <c r="I10" s="10">
        <v>1516</v>
      </c>
      <c r="J10" s="10">
        <v>294</v>
      </c>
      <c r="K10" s="10">
        <v>994</v>
      </c>
      <c r="L10" s="10">
        <v>1002</v>
      </c>
      <c r="M10" s="10">
        <v>1006</v>
      </c>
      <c r="N10" s="10">
        <v>1005</v>
      </c>
      <c r="O10" s="10">
        <v>992</v>
      </c>
      <c r="P10" s="10">
        <v>998</v>
      </c>
      <c r="Q10" s="10">
        <v>1023</v>
      </c>
      <c r="R10" s="10">
        <v>499</v>
      </c>
      <c r="S10" s="10">
        <v>986</v>
      </c>
      <c r="T10" s="10">
        <v>1009</v>
      </c>
      <c r="U10" s="10">
        <v>507</v>
      </c>
      <c r="V10" s="10">
        <v>1012</v>
      </c>
      <c r="W10" s="10">
        <v>497</v>
      </c>
      <c r="X10" s="10">
        <v>993</v>
      </c>
      <c r="Y10" s="10">
        <v>998</v>
      </c>
      <c r="Z10" s="10">
        <v>993</v>
      </c>
      <c r="AA10" s="10">
        <v>1033</v>
      </c>
      <c r="AB10" s="10">
        <v>1026</v>
      </c>
      <c r="AC10" s="10">
        <v>1001</v>
      </c>
      <c r="AD10" s="10">
        <v>1003</v>
      </c>
      <c r="AE10" s="10">
        <v>997</v>
      </c>
      <c r="AF10" s="10">
        <v>1028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244</v>
      </c>
      <c r="C12" s="12">
        <v>6018</v>
      </c>
      <c r="D12" s="12">
        <v>214</v>
      </c>
      <c r="E12" s="12">
        <v>235</v>
      </c>
      <c r="F12" s="12">
        <v>161</v>
      </c>
      <c r="G12" s="12">
        <v>197</v>
      </c>
      <c r="H12" s="12">
        <v>113</v>
      </c>
      <c r="I12" s="12">
        <v>154</v>
      </c>
      <c r="J12" s="12">
        <v>40</v>
      </c>
      <c r="K12" s="12">
        <v>227</v>
      </c>
      <c r="L12" s="12">
        <v>337</v>
      </c>
      <c r="M12" s="12">
        <v>421</v>
      </c>
      <c r="N12" s="12">
        <v>359</v>
      </c>
      <c r="O12" s="12">
        <v>265</v>
      </c>
      <c r="P12" s="12">
        <v>199</v>
      </c>
      <c r="Q12" s="12">
        <v>263</v>
      </c>
      <c r="R12" s="12">
        <v>142</v>
      </c>
      <c r="S12" s="12">
        <v>305</v>
      </c>
      <c r="T12" s="12">
        <v>330</v>
      </c>
      <c r="U12" s="12">
        <v>100</v>
      </c>
      <c r="V12" s="12">
        <v>265</v>
      </c>
      <c r="W12" s="12">
        <v>122</v>
      </c>
      <c r="X12" s="12">
        <v>134</v>
      </c>
      <c r="Y12" s="12">
        <v>168</v>
      </c>
      <c r="Z12" s="12">
        <v>215</v>
      </c>
      <c r="AA12" s="12">
        <v>493</v>
      </c>
      <c r="AB12" s="12">
        <v>220</v>
      </c>
      <c r="AC12" s="12">
        <v>304</v>
      </c>
      <c r="AD12" s="12">
        <v>253</v>
      </c>
      <c r="AE12" s="12">
        <v>97</v>
      </c>
      <c r="AF12" s="12">
        <v>153</v>
      </c>
    </row>
    <row r="13" spans="1:32" x14ac:dyDescent="0.25">
      <c r="A13" s="19"/>
      <c r="B13" s="13" t="s">
        <v>245</v>
      </c>
      <c r="C13" s="14">
        <v>0.25</v>
      </c>
      <c r="D13" s="14">
        <v>0.22</v>
      </c>
      <c r="E13" s="14">
        <v>0.25</v>
      </c>
      <c r="F13" s="14">
        <v>0.16</v>
      </c>
      <c r="G13" s="14">
        <v>0.21</v>
      </c>
      <c r="H13" s="14">
        <v>0.09</v>
      </c>
      <c r="I13" s="14">
        <v>0.1</v>
      </c>
      <c r="J13" s="14">
        <v>0.14000000000000001</v>
      </c>
      <c r="K13" s="14">
        <v>0.25</v>
      </c>
      <c r="L13" s="14">
        <v>0.4</v>
      </c>
      <c r="M13" s="14">
        <v>0.48</v>
      </c>
      <c r="N13" s="14">
        <v>0.45</v>
      </c>
      <c r="O13" s="14">
        <v>0.3</v>
      </c>
      <c r="P13" s="14">
        <v>0.21</v>
      </c>
      <c r="Q13" s="14">
        <v>0.28999999999999998</v>
      </c>
      <c r="R13" s="14">
        <v>0.32</v>
      </c>
      <c r="S13" s="14">
        <v>0.36</v>
      </c>
      <c r="T13" s="14">
        <v>0.37</v>
      </c>
      <c r="U13" s="14">
        <v>0.22</v>
      </c>
      <c r="V13" s="14">
        <v>0.28999999999999998</v>
      </c>
      <c r="W13" s="14">
        <v>0.28999999999999998</v>
      </c>
      <c r="X13" s="14">
        <v>0.14000000000000001</v>
      </c>
      <c r="Y13" s="14">
        <v>0.18</v>
      </c>
      <c r="Z13" s="14">
        <v>0.23</v>
      </c>
      <c r="AA13" s="14">
        <v>0.6</v>
      </c>
      <c r="AB13" s="14">
        <v>0.23</v>
      </c>
      <c r="AC13" s="14">
        <v>0.37</v>
      </c>
      <c r="AD13" s="14">
        <v>0.27</v>
      </c>
      <c r="AE13" s="14">
        <v>0.1</v>
      </c>
      <c r="AF13" s="14">
        <v>0.15</v>
      </c>
    </row>
    <row r="14" spans="1:32" ht="23.25" x14ac:dyDescent="0.25">
      <c r="A14" s="19"/>
      <c r="B14" s="11" t="s">
        <v>246</v>
      </c>
      <c r="C14" s="12">
        <v>4815</v>
      </c>
      <c r="D14" s="12">
        <v>174</v>
      </c>
      <c r="E14" s="12">
        <v>103</v>
      </c>
      <c r="F14" s="12">
        <v>111</v>
      </c>
      <c r="G14" s="12">
        <v>342</v>
      </c>
      <c r="H14" s="12">
        <v>268</v>
      </c>
      <c r="I14" s="12">
        <v>332</v>
      </c>
      <c r="J14" s="12">
        <v>64</v>
      </c>
      <c r="K14" s="12">
        <v>86</v>
      </c>
      <c r="L14" s="12">
        <v>143</v>
      </c>
      <c r="M14" s="12">
        <v>122</v>
      </c>
      <c r="N14" s="12">
        <v>153</v>
      </c>
      <c r="O14" s="12">
        <v>213</v>
      </c>
      <c r="P14" s="12">
        <v>149</v>
      </c>
      <c r="Q14" s="12">
        <v>192</v>
      </c>
      <c r="R14" s="12">
        <v>54</v>
      </c>
      <c r="S14" s="12">
        <v>93</v>
      </c>
      <c r="T14" s="12">
        <v>83</v>
      </c>
      <c r="U14" s="12">
        <v>83</v>
      </c>
      <c r="V14" s="12">
        <v>161</v>
      </c>
      <c r="W14" s="12">
        <v>106</v>
      </c>
      <c r="X14" s="12">
        <v>294</v>
      </c>
      <c r="Y14" s="12">
        <v>171</v>
      </c>
      <c r="Z14" s="12">
        <v>106</v>
      </c>
      <c r="AA14" s="12">
        <v>143</v>
      </c>
      <c r="AB14" s="12">
        <v>101</v>
      </c>
      <c r="AC14" s="12">
        <v>129</v>
      </c>
      <c r="AD14" s="12">
        <v>147</v>
      </c>
      <c r="AE14" s="12">
        <v>289</v>
      </c>
      <c r="AF14" s="12">
        <v>335</v>
      </c>
    </row>
    <row r="15" spans="1:32" ht="23.25" x14ac:dyDescent="0.25">
      <c r="A15" s="19"/>
      <c r="B15" s="13" t="s">
        <v>247</v>
      </c>
      <c r="C15" s="14">
        <v>0.2</v>
      </c>
      <c r="D15" s="14">
        <v>0.19</v>
      </c>
      <c r="E15" s="14">
        <v>0.1</v>
      </c>
      <c r="F15" s="14">
        <v>0.11</v>
      </c>
      <c r="G15" s="14">
        <v>0.4</v>
      </c>
      <c r="H15" s="14">
        <v>0.24</v>
      </c>
      <c r="I15" s="14">
        <v>0.24</v>
      </c>
      <c r="J15" s="14">
        <v>0.22</v>
      </c>
      <c r="K15" s="14">
        <v>0.09</v>
      </c>
      <c r="L15" s="14">
        <v>0.15</v>
      </c>
      <c r="M15" s="14">
        <v>0.12</v>
      </c>
      <c r="N15" s="14">
        <v>0.16</v>
      </c>
      <c r="O15" s="14">
        <v>0.24</v>
      </c>
      <c r="P15" s="14">
        <v>0.15</v>
      </c>
      <c r="Q15" s="14">
        <v>0.2</v>
      </c>
      <c r="R15" s="14">
        <v>0.11</v>
      </c>
      <c r="S15" s="14">
        <v>0.1</v>
      </c>
      <c r="T15" s="14">
        <v>0.08</v>
      </c>
      <c r="U15" s="14">
        <v>0.17</v>
      </c>
      <c r="V15" s="14">
        <v>0.17</v>
      </c>
      <c r="W15" s="14">
        <v>0.24</v>
      </c>
      <c r="X15" s="14">
        <v>0.35</v>
      </c>
      <c r="Y15" s="14">
        <v>0.19</v>
      </c>
      <c r="Z15" s="14">
        <v>0.11</v>
      </c>
      <c r="AA15" s="14">
        <v>0.14000000000000001</v>
      </c>
      <c r="AB15" s="14">
        <v>0.1</v>
      </c>
      <c r="AC15" s="14">
        <v>0.14000000000000001</v>
      </c>
      <c r="AD15" s="14">
        <v>0.15</v>
      </c>
      <c r="AE15" s="14">
        <v>0.33</v>
      </c>
      <c r="AF15" s="14">
        <v>0.44</v>
      </c>
    </row>
    <row r="16" spans="1:32" ht="23.25" x14ac:dyDescent="0.25">
      <c r="A16" s="19"/>
      <c r="B16" s="11" t="s">
        <v>248</v>
      </c>
      <c r="C16" s="12">
        <v>5346</v>
      </c>
      <c r="D16" s="12">
        <v>223</v>
      </c>
      <c r="E16" s="12">
        <v>300</v>
      </c>
      <c r="F16" s="12">
        <v>139</v>
      </c>
      <c r="G16" s="12">
        <v>159</v>
      </c>
      <c r="H16" s="12">
        <v>227</v>
      </c>
      <c r="I16" s="12">
        <v>282</v>
      </c>
      <c r="J16" s="12">
        <v>55</v>
      </c>
      <c r="K16" s="12">
        <v>160</v>
      </c>
      <c r="L16" s="12">
        <v>187</v>
      </c>
      <c r="M16" s="12">
        <v>319</v>
      </c>
      <c r="N16" s="12">
        <v>209</v>
      </c>
      <c r="O16" s="12">
        <v>279</v>
      </c>
      <c r="P16" s="12">
        <v>243</v>
      </c>
      <c r="Q16" s="12">
        <v>151</v>
      </c>
      <c r="R16" s="12">
        <v>115</v>
      </c>
      <c r="S16" s="12">
        <v>203</v>
      </c>
      <c r="T16" s="12">
        <v>301</v>
      </c>
      <c r="U16" s="12">
        <v>127</v>
      </c>
      <c r="V16" s="12">
        <v>183</v>
      </c>
      <c r="W16" s="12">
        <v>88</v>
      </c>
      <c r="X16" s="12">
        <v>196</v>
      </c>
      <c r="Y16" s="12">
        <v>225</v>
      </c>
      <c r="Z16" s="12">
        <v>129</v>
      </c>
      <c r="AA16" s="12">
        <v>304</v>
      </c>
      <c r="AB16" s="12">
        <v>215</v>
      </c>
      <c r="AC16" s="12">
        <v>192</v>
      </c>
      <c r="AD16" s="12">
        <v>208</v>
      </c>
      <c r="AE16" s="12">
        <v>219</v>
      </c>
      <c r="AF16" s="12">
        <v>216</v>
      </c>
    </row>
    <row r="17" spans="1:32" ht="23.25" x14ac:dyDescent="0.25">
      <c r="A17" s="19"/>
      <c r="B17" s="13" t="s">
        <v>249</v>
      </c>
      <c r="C17" s="14">
        <v>0.22</v>
      </c>
      <c r="D17" s="14">
        <v>0.24</v>
      </c>
      <c r="E17" s="14">
        <v>0.34</v>
      </c>
      <c r="F17" s="14">
        <v>0.14000000000000001</v>
      </c>
      <c r="G17" s="14">
        <v>0.16</v>
      </c>
      <c r="H17" s="14">
        <v>0.2</v>
      </c>
      <c r="I17" s="14">
        <v>0.2</v>
      </c>
      <c r="J17" s="14">
        <v>0.2</v>
      </c>
      <c r="K17" s="14">
        <v>0.17</v>
      </c>
      <c r="L17" s="14">
        <v>0.2</v>
      </c>
      <c r="M17" s="14">
        <v>0.37</v>
      </c>
      <c r="N17" s="14">
        <v>0.23</v>
      </c>
      <c r="O17" s="14">
        <v>0.31</v>
      </c>
      <c r="P17" s="14">
        <v>0.27</v>
      </c>
      <c r="Q17" s="14">
        <v>0.16</v>
      </c>
      <c r="R17" s="14">
        <v>0.26</v>
      </c>
      <c r="S17" s="14">
        <v>0.22</v>
      </c>
      <c r="T17" s="14">
        <v>0.34</v>
      </c>
      <c r="U17" s="14">
        <v>0.27</v>
      </c>
      <c r="V17" s="14">
        <v>0.19</v>
      </c>
      <c r="W17" s="14">
        <v>0.19</v>
      </c>
      <c r="X17" s="14">
        <v>0.2</v>
      </c>
      <c r="Y17" s="14">
        <v>0.24</v>
      </c>
      <c r="Z17" s="14">
        <v>0.13</v>
      </c>
      <c r="AA17" s="14">
        <v>0.34</v>
      </c>
      <c r="AB17" s="14">
        <v>0.23</v>
      </c>
      <c r="AC17" s="14">
        <v>0.21</v>
      </c>
      <c r="AD17" s="14">
        <v>0.23</v>
      </c>
      <c r="AE17" s="14">
        <v>0.24</v>
      </c>
      <c r="AF17" s="14">
        <v>0.22</v>
      </c>
    </row>
    <row r="18" spans="1:32" ht="23.25" x14ac:dyDescent="0.25">
      <c r="A18" s="19"/>
      <c r="B18" s="11" t="s">
        <v>250</v>
      </c>
      <c r="C18" s="12">
        <v>6347</v>
      </c>
      <c r="D18" s="12">
        <v>231</v>
      </c>
      <c r="E18" s="12">
        <v>324</v>
      </c>
      <c r="F18" s="12">
        <v>231</v>
      </c>
      <c r="G18" s="12">
        <v>213</v>
      </c>
      <c r="H18" s="12">
        <v>278</v>
      </c>
      <c r="I18" s="12">
        <v>355</v>
      </c>
      <c r="J18" s="12">
        <v>77</v>
      </c>
      <c r="K18" s="12">
        <v>316</v>
      </c>
      <c r="L18" s="12">
        <v>247</v>
      </c>
      <c r="M18" s="12">
        <v>380</v>
      </c>
      <c r="N18" s="12">
        <v>302</v>
      </c>
      <c r="O18" s="12">
        <v>158</v>
      </c>
      <c r="P18" s="12">
        <v>287</v>
      </c>
      <c r="Q18" s="12">
        <v>285</v>
      </c>
      <c r="R18" s="12">
        <v>156</v>
      </c>
      <c r="S18" s="12">
        <v>307</v>
      </c>
      <c r="T18" s="12">
        <v>304</v>
      </c>
      <c r="U18" s="12">
        <v>112</v>
      </c>
      <c r="V18" s="12">
        <v>316</v>
      </c>
      <c r="W18" s="12">
        <v>84</v>
      </c>
      <c r="X18" s="12">
        <v>185</v>
      </c>
      <c r="Y18" s="12">
        <v>313</v>
      </c>
      <c r="Z18" s="12">
        <v>174</v>
      </c>
      <c r="AA18" s="12">
        <v>348</v>
      </c>
      <c r="AB18" s="12">
        <v>251</v>
      </c>
      <c r="AC18" s="12">
        <v>262</v>
      </c>
      <c r="AD18" s="12">
        <v>296</v>
      </c>
      <c r="AE18" s="12">
        <v>277</v>
      </c>
      <c r="AF18" s="12">
        <v>207</v>
      </c>
    </row>
    <row r="19" spans="1:32" x14ac:dyDescent="0.25">
      <c r="A19" s="19"/>
      <c r="B19" s="13" t="s">
        <v>251</v>
      </c>
      <c r="C19" s="14">
        <v>0.27</v>
      </c>
      <c r="D19" s="14">
        <v>0.24</v>
      </c>
      <c r="E19" s="14">
        <v>0.38</v>
      </c>
      <c r="F19" s="14">
        <v>0.24</v>
      </c>
      <c r="G19" s="14">
        <v>0.22</v>
      </c>
      <c r="H19" s="14">
        <v>0.25</v>
      </c>
      <c r="I19" s="14">
        <v>0.26</v>
      </c>
      <c r="J19" s="14">
        <v>0.28999999999999998</v>
      </c>
      <c r="K19" s="14">
        <v>0.38</v>
      </c>
      <c r="L19" s="14">
        <v>0.27</v>
      </c>
      <c r="M19" s="14">
        <v>0.48</v>
      </c>
      <c r="N19" s="14">
        <v>0.38</v>
      </c>
      <c r="O19" s="14">
        <v>0.17</v>
      </c>
      <c r="P19" s="14">
        <v>0.34</v>
      </c>
      <c r="Q19" s="14">
        <v>0.32</v>
      </c>
      <c r="R19" s="14">
        <v>0.36</v>
      </c>
      <c r="S19" s="14">
        <v>0.38</v>
      </c>
      <c r="T19" s="14">
        <v>0.36</v>
      </c>
      <c r="U19" s="14">
        <v>0.24</v>
      </c>
      <c r="V19" s="14">
        <v>0.36</v>
      </c>
      <c r="W19" s="14">
        <v>0.18</v>
      </c>
      <c r="X19" s="14">
        <v>0.19</v>
      </c>
      <c r="Y19" s="14">
        <v>0.34</v>
      </c>
      <c r="Z19" s="14">
        <v>0.19</v>
      </c>
      <c r="AA19" s="14">
        <v>0.38</v>
      </c>
      <c r="AB19" s="14">
        <v>0.28999999999999998</v>
      </c>
      <c r="AC19" s="14">
        <v>0.3</v>
      </c>
      <c r="AD19" s="14">
        <v>0.33</v>
      </c>
      <c r="AE19" s="14">
        <v>0.33</v>
      </c>
      <c r="AF19" s="14">
        <v>0.22</v>
      </c>
    </row>
    <row r="20" spans="1:32" ht="23.25" x14ac:dyDescent="0.25">
      <c r="A20" s="19"/>
      <c r="B20" s="11" t="s">
        <v>252</v>
      </c>
      <c r="C20" s="12">
        <v>7027</v>
      </c>
      <c r="D20" s="12">
        <v>264</v>
      </c>
      <c r="E20" s="12">
        <v>331</v>
      </c>
      <c r="F20" s="12">
        <v>315</v>
      </c>
      <c r="G20" s="12">
        <v>203</v>
      </c>
      <c r="H20" s="12">
        <v>286</v>
      </c>
      <c r="I20" s="12">
        <v>373</v>
      </c>
      <c r="J20" s="12">
        <v>87</v>
      </c>
      <c r="K20" s="12">
        <v>347</v>
      </c>
      <c r="L20" s="12">
        <v>319</v>
      </c>
      <c r="M20" s="12">
        <v>340</v>
      </c>
      <c r="N20" s="12">
        <v>296</v>
      </c>
      <c r="O20" s="12">
        <v>303</v>
      </c>
      <c r="P20" s="12">
        <v>321</v>
      </c>
      <c r="Q20" s="12">
        <v>274</v>
      </c>
      <c r="R20" s="12">
        <v>122</v>
      </c>
      <c r="S20" s="12">
        <v>266</v>
      </c>
      <c r="T20" s="12">
        <v>231</v>
      </c>
      <c r="U20" s="12">
        <v>124</v>
      </c>
      <c r="V20" s="12">
        <v>273</v>
      </c>
      <c r="W20" s="12">
        <v>131</v>
      </c>
      <c r="X20" s="12">
        <v>214</v>
      </c>
      <c r="Y20" s="12">
        <v>299</v>
      </c>
      <c r="Z20" s="12">
        <v>229</v>
      </c>
      <c r="AA20" s="12">
        <v>352</v>
      </c>
      <c r="AB20" s="12">
        <v>258</v>
      </c>
      <c r="AC20" s="12">
        <v>250</v>
      </c>
      <c r="AD20" s="12">
        <v>362</v>
      </c>
      <c r="AE20" s="12">
        <v>158</v>
      </c>
      <c r="AF20" s="12">
        <v>120</v>
      </c>
    </row>
    <row r="21" spans="1:32" ht="23.25" x14ac:dyDescent="0.25">
      <c r="A21" s="19"/>
      <c r="B21" s="13" t="s">
        <v>253</v>
      </c>
      <c r="C21" s="14">
        <v>0.31</v>
      </c>
      <c r="D21" s="14">
        <v>0.31</v>
      </c>
      <c r="E21" s="14">
        <v>0.45</v>
      </c>
      <c r="F21" s="14">
        <v>0.36</v>
      </c>
      <c r="G21" s="14">
        <v>0.22</v>
      </c>
      <c r="H21" s="14">
        <v>0.27</v>
      </c>
      <c r="I21" s="14">
        <v>0.28000000000000003</v>
      </c>
      <c r="J21" s="14">
        <v>0.35</v>
      </c>
      <c r="K21" s="14">
        <v>0.43</v>
      </c>
      <c r="L21" s="14">
        <v>0.4</v>
      </c>
      <c r="M21" s="14">
        <v>0.42</v>
      </c>
      <c r="N21" s="14">
        <v>0.34</v>
      </c>
      <c r="O21" s="14">
        <v>0.38</v>
      </c>
      <c r="P21" s="14">
        <v>0.43</v>
      </c>
      <c r="Q21" s="14">
        <v>0.31</v>
      </c>
      <c r="R21" s="14">
        <v>0.27</v>
      </c>
      <c r="S21" s="14">
        <v>0.32</v>
      </c>
      <c r="T21" s="14">
        <v>0.26</v>
      </c>
      <c r="U21" s="14">
        <v>0.28999999999999998</v>
      </c>
      <c r="V21" s="14">
        <v>0.33</v>
      </c>
      <c r="W21" s="14">
        <v>0.31</v>
      </c>
      <c r="X21" s="14">
        <v>0.23</v>
      </c>
      <c r="Y21" s="14">
        <v>0.37</v>
      </c>
      <c r="Z21" s="14">
        <v>0.27</v>
      </c>
      <c r="AA21" s="14">
        <v>0.45</v>
      </c>
      <c r="AB21" s="14">
        <v>0.3</v>
      </c>
      <c r="AC21" s="14">
        <v>0.28000000000000003</v>
      </c>
      <c r="AD21" s="14">
        <v>0.48</v>
      </c>
      <c r="AE21" s="14">
        <v>0.16</v>
      </c>
      <c r="AF21" s="14">
        <v>0.12</v>
      </c>
    </row>
    <row r="22" spans="1:32" ht="34.5" x14ac:dyDescent="0.25">
      <c r="A22" s="19"/>
      <c r="B22" s="11" t="s">
        <v>254</v>
      </c>
      <c r="C22" s="12">
        <v>1827</v>
      </c>
      <c r="D22" s="12">
        <v>58</v>
      </c>
      <c r="E22" s="12">
        <v>71</v>
      </c>
      <c r="F22" s="12">
        <v>74</v>
      </c>
      <c r="G22" s="12">
        <v>64</v>
      </c>
      <c r="H22" s="12">
        <v>117</v>
      </c>
      <c r="I22" s="12">
        <v>143</v>
      </c>
      <c r="J22" s="12">
        <v>25</v>
      </c>
      <c r="K22" s="12">
        <v>60</v>
      </c>
      <c r="L22" s="12">
        <v>46</v>
      </c>
      <c r="M22" s="12">
        <v>47</v>
      </c>
      <c r="N22" s="12">
        <v>25</v>
      </c>
      <c r="O22" s="12">
        <v>31</v>
      </c>
      <c r="P22" s="12">
        <v>65</v>
      </c>
      <c r="Q22" s="12">
        <v>116</v>
      </c>
      <c r="R22" s="12">
        <v>14</v>
      </c>
      <c r="S22" s="12">
        <v>39</v>
      </c>
      <c r="T22" s="12">
        <v>77</v>
      </c>
      <c r="U22" s="12">
        <v>40</v>
      </c>
      <c r="V22" s="12">
        <v>95</v>
      </c>
      <c r="W22" s="12">
        <v>30</v>
      </c>
      <c r="X22" s="12">
        <v>111</v>
      </c>
      <c r="Y22" s="12">
        <v>66</v>
      </c>
      <c r="Z22" s="12">
        <v>72</v>
      </c>
      <c r="AA22" s="12">
        <v>51</v>
      </c>
      <c r="AB22" s="12">
        <v>90</v>
      </c>
      <c r="AC22" s="12">
        <v>49</v>
      </c>
      <c r="AD22" s="12">
        <v>73</v>
      </c>
      <c r="AE22" s="12">
        <v>47</v>
      </c>
      <c r="AF22" s="12">
        <v>46</v>
      </c>
    </row>
    <row r="23" spans="1:32" ht="34.5" x14ac:dyDescent="0.25">
      <c r="A23" s="19"/>
      <c r="B23" s="13" t="s">
        <v>255</v>
      </c>
      <c r="C23" s="14">
        <v>7.0000000000000007E-2</v>
      </c>
      <c r="D23" s="14">
        <v>0.06</v>
      </c>
      <c r="E23" s="14">
        <v>7.0000000000000007E-2</v>
      </c>
      <c r="F23" s="14">
        <v>7.0000000000000007E-2</v>
      </c>
      <c r="G23" s="14">
        <v>7.0000000000000007E-2</v>
      </c>
      <c r="H23" s="14">
        <v>0.1</v>
      </c>
      <c r="I23" s="14">
        <v>0.1</v>
      </c>
      <c r="J23" s="14">
        <v>0.09</v>
      </c>
      <c r="K23" s="14">
        <v>0.06</v>
      </c>
      <c r="L23" s="14">
        <v>0.05</v>
      </c>
      <c r="M23" s="14">
        <v>0.05</v>
      </c>
      <c r="N23" s="14">
        <v>0.02</v>
      </c>
      <c r="O23" s="14">
        <v>0.03</v>
      </c>
      <c r="P23" s="14">
        <v>7.0000000000000007E-2</v>
      </c>
      <c r="Q23" s="14">
        <v>0.12</v>
      </c>
      <c r="R23" s="14">
        <v>0.03</v>
      </c>
      <c r="S23" s="14">
        <v>0.04</v>
      </c>
      <c r="T23" s="14">
        <v>0.08</v>
      </c>
      <c r="U23" s="14">
        <v>0.08</v>
      </c>
      <c r="V23" s="14">
        <v>0.1</v>
      </c>
      <c r="W23" s="14">
        <v>0.06</v>
      </c>
      <c r="X23" s="14">
        <v>0.11</v>
      </c>
      <c r="Y23" s="14">
        <v>7.0000000000000007E-2</v>
      </c>
      <c r="Z23" s="14">
        <v>7.0000000000000007E-2</v>
      </c>
      <c r="AA23" s="14">
        <v>0.05</v>
      </c>
      <c r="AB23" s="14">
        <v>0.09</v>
      </c>
      <c r="AC23" s="14">
        <v>0.05</v>
      </c>
      <c r="AD23" s="14">
        <v>7.0000000000000007E-2</v>
      </c>
      <c r="AE23" s="14">
        <v>0.05</v>
      </c>
      <c r="AF23" s="14">
        <v>0.04</v>
      </c>
    </row>
    <row r="24" spans="1:32" ht="23.25" x14ac:dyDescent="0.25">
      <c r="A24" s="19"/>
      <c r="B24" s="11" t="s">
        <v>256</v>
      </c>
      <c r="C24" s="12">
        <v>2214</v>
      </c>
      <c r="D24" s="12">
        <v>74</v>
      </c>
      <c r="E24" s="12">
        <v>95</v>
      </c>
      <c r="F24" s="12">
        <v>55</v>
      </c>
      <c r="G24" s="12">
        <v>93</v>
      </c>
      <c r="H24" s="12">
        <v>80</v>
      </c>
      <c r="I24" s="12">
        <v>96</v>
      </c>
      <c r="J24" s="12">
        <v>16</v>
      </c>
      <c r="K24" s="12">
        <v>66</v>
      </c>
      <c r="L24" s="12">
        <v>59</v>
      </c>
      <c r="M24" s="12">
        <v>121</v>
      </c>
      <c r="N24" s="12">
        <v>104</v>
      </c>
      <c r="O24" s="12">
        <v>95</v>
      </c>
      <c r="P24" s="12">
        <v>74</v>
      </c>
      <c r="Q24" s="12">
        <v>103</v>
      </c>
      <c r="R24" s="12">
        <v>66</v>
      </c>
      <c r="S24" s="12">
        <v>59</v>
      </c>
      <c r="T24" s="12">
        <v>32</v>
      </c>
      <c r="U24" s="12">
        <v>38</v>
      </c>
      <c r="V24" s="12">
        <v>60</v>
      </c>
      <c r="W24" s="12">
        <v>42</v>
      </c>
      <c r="X24" s="12">
        <v>86</v>
      </c>
      <c r="Y24" s="12">
        <v>52</v>
      </c>
      <c r="Z24" s="12">
        <v>76</v>
      </c>
      <c r="AA24" s="12">
        <v>99</v>
      </c>
      <c r="AB24" s="12">
        <v>97</v>
      </c>
      <c r="AC24" s="12">
        <v>71</v>
      </c>
      <c r="AD24" s="12">
        <v>45</v>
      </c>
      <c r="AE24" s="12">
        <v>66</v>
      </c>
      <c r="AF24" s="12">
        <v>116</v>
      </c>
    </row>
    <row r="25" spans="1:32" ht="23.25" x14ac:dyDescent="0.25">
      <c r="A25" s="19"/>
      <c r="B25" s="13" t="s">
        <v>257</v>
      </c>
      <c r="C25" s="14">
        <v>0.09</v>
      </c>
      <c r="D25" s="14">
        <v>7.0000000000000007E-2</v>
      </c>
      <c r="E25" s="14">
        <v>0.09</v>
      </c>
      <c r="F25" s="14">
        <v>0.05</v>
      </c>
      <c r="G25" s="14">
        <v>0.09</v>
      </c>
      <c r="H25" s="14">
        <v>7.0000000000000007E-2</v>
      </c>
      <c r="I25" s="14">
        <v>0.06</v>
      </c>
      <c r="J25" s="14">
        <v>0.06</v>
      </c>
      <c r="K25" s="14">
        <v>7.0000000000000007E-2</v>
      </c>
      <c r="L25" s="14">
        <v>0.06</v>
      </c>
      <c r="M25" s="14">
        <v>0.12</v>
      </c>
      <c r="N25" s="14">
        <v>0.11</v>
      </c>
      <c r="O25" s="14">
        <v>0.1</v>
      </c>
      <c r="P25" s="14">
        <v>0.08</v>
      </c>
      <c r="Q25" s="14">
        <v>0.1</v>
      </c>
      <c r="R25" s="14">
        <v>0.14000000000000001</v>
      </c>
      <c r="S25" s="14">
        <v>0.06</v>
      </c>
      <c r="T25" s="14">
        <v>0.03</v>
      </c>
      <c r="U25" s="14">
        <v>0.08</v>
      </c>
      <c r="V25" s="14">
        <v>0.06</v>
      </c>
      <c r="W25" s="14">
        <v>0.09</v>
      </c>
      <c r="X25" s="14">
        <v>0.09</v>
      </c>
      <c r="Y25" s="14">
        <v>0.05</v>
      </c>
      <c r="Z25" s="14">
        <v>0.08</v>
      </c>
      <c r="AA25" s="14">
        <v>0.1</v>
      </c>
      <c r="AB25" s="14">
        <v>0.1</v>
      </c>
      <c r="AC25" s="14">
        <v>7.0000000000000007E-2</v>
      </c>
      <c r="AD25" s="14">
        <v>0.05</v>
      </c>
      <c r="AE25" s="14">
        <v>7.0000000000000007E-2</v>
      </c>
      <c r="AF25" s="14">
        <v>0.11</v>
      </c>
    </row>
    <row r="26" spans="1:32" ht="34.5" x14ac:dyDescent="0.25">
      <c r="A26" s="19"/>
      <c r="B26" s="11" t="s">
        <v>258</v>
      </c>
      <c r="C26" s="12">
        <v>2544</v>
      </c>
      <c r="D26" s="12">
        <v>124</v>
      </c>
      <c r="E26" s="12">
        <v>89</v>
      </c>
      <c r="F26" s="12">
        <v>226</v>
      </c>
      <c r="G26" s="12">
        <v>154</v>
      </c>
      <c r="H26" s="12">
        <v>92</v>
      </c>
      <c r="I26" s="12">
        <v>118</v>
      </c>
      <c r="J26" s="12">
        <v>27</v>
      </c>
      <c r="K26" s="12">
        <v>162</v>
      </c>
      <c r="L26" s="12">
        <v>65</v>
      </c>
      <c r="M26" s="12">
        <v>109</v>
      </c>
      <c r="N26" s="12">
        <v>46</v>
      </c>
      <c r="O26" s="12">
        <v>90</v>
      </c>
      <c r="P26" s="12">
        <v>88</v>
      </c>
      <c r="Q26" s="12">
        <v>129</v>
      </c>
      <c r="R26" s="12">
        <v>11</v>
      </c>
      <c r="S26" s="12">
        <v>73</v>
      </c>
      <c r="T26" s="12">
        <v>78</v>
      </c>
      <c r="U26" s="12">
        <v>64</v>
      </c>
      <c r="V26" s="12">
        <v>108</v>
      </c>
      <c r="W26" s="12">
        <v>32</v>
      </c>
      <c r="X26" s="12">
        <v>142</v>
      </c>
      <c r="Y26" s="12">
        <v>131</v>
      </c>
      <c r="Z26" s="12">
        <v>70</v>
      </c>
      <c r="AA26" s="12">
        <v>139</v>
      </c>
      <c r="AB26" s="12">
        <v>140</v>
      </c>
      <c r="AC26" s="12">
        <v>82</v>
      </c>
      <c r="AD26" s="12">
        <v>73</v>
      </c>
      <c r="AE26" s="12">
        <v>91</v>
      </c>
      <c r="AF26" s="12">
        <v>96</v>
      </c>
    </row>
    <row r="27" spans="1:32" ht="23.25" x14ac:dyDescent="0.25">
      <c r="A27" s="19"/>
      <c r="B27" s="13" t="s">
        <v>259</v>
      </c>
      <c r="C27" s="14">
        <v>0.1</v>
      </c>
      <c r="D27" s="14">
        <v>0.13</v>
      </c>
      <c r="E27" s="14">
        <v>0.09</v>
      </c>
      <c r="F27" s="14">
        <v>0.25</v>
      </c>
      <c r="G27" s="14">
        <v>0.16</v>
      </c>
      <c r="H27" s="14">
        <v>0.08</v>
      </c>
      <c r="I27" s="14">
        <v>0.08</v>
      </c>
      <c r="J27" s="14">
        <v>0.09</v>
      </c>
      <c r="K27" s="14">
        <v>0.17</v>
      </c>
      <c r="L27" s="14">
        <v>7.0000000000000007E-2</v>
      </c>
      <c r="M27" s="14">
        <v>0.11</v>
      </c>
      <c r="N27" s="14">
        <v>0.05</v>
      </c>
      <c r="O27" s="14">
        <v>0.09</v>
      </c>
      <c r="P27" s="14">
        <v>0.09</v>
      </c>
      <c r="Q27" s="14">
        <v>0.13</v>
      </c>
      <c r="R27" s="14">
        <v>0.02</v>
      </c>
      <c r="S27" s="14">
        <v>0.08</v>
      </c>
      <c r="T27" s="14">
        <v>0.08</v>
      </c>
      <c r="U27" s="14">
        <v>0.13</v>
      </c>
      <c r="V27" s="14">
        <v>0.11</v>
      </c>
      <c r="W27" s="14">
        <v>7.0000000000000007E-2</v>
      </c>
      <c r="X27" s="14">
        <v>0.15</v>
      </c>
      <c r="Y27" s="14">
        <v>0.14000000000000001</v>
      </c>
      <c r="Z27" s="14">
        <v>7.0000000000000007E-2</v>
      </c>
      <c r="AA27" s="14">
        <v>0.14000000000000001</v>
      </c>
      <c r="AB27" s="14">
        <v>0.14000000000000001</v>
      </c>
      <c r="AC27" s="14">
        <v>0.08</v>
      </c>
      <c r="AD27" s="14">
        <v>7.0000000000000007E-2</v>
      </c>
      <c r="AE27" s="14">
        <v>0.09</v>
      </c>
      <c r="AF27" s="14">
        <v>0.1</v>
      </c>
    </row>
    <row r="28" spans="1:32" ht="23.25" x14ac:dyDescent="0.25">
      <c r="A28" s="19"/>
      <c r="B28" s="11" t="s">
        <v>260</v>
      </c>
      <c r="C28" s="12">
        <v>2339</v>
      </c>
      <c r="D28" s="12">
        <v>95</v>
      </c>
      <c r="E28" s="12">
        <v>169</v>
      </c>
      <c r="F28" s="12">
        <v>61</v>
      </c>
      <c r="G28" s="12">
        <v>91</v>
      </c>
      <c r="H28" s="12">
        <v>67</v>
      </c>
      <c r="I28" s="12">
        <v>95</v>
      </c>
      <c r="J28" s="12">
        <v>27</v>
      </c>
      <c r="K28" s="12">
        <v>79</v>
      </c>
      <c r="L28" s="12">
        <v>75</v>
      </c>
      <c r="M28" s="12">
        <v>150</v>
      </c>
      <c r="N28" s="12">
        <v>62</v>
      </c>
      <c r="O28" s="12">
        <v>95</v>
      </c>
      <c r="P28" s="12">
        <v>116</v>
      </c>
      <c r="Q28" s="12">
        <v>160</v>
      </c>
      <c r="R28" s="12">
        <v>54</v>
      </c>
      <c r="S28" s="12">
        <v>75</v>
      </c>
      <c r="T28" s="12">
        <v>54</v>
      </c>
      <c r="U28" s="12">
        <v>63</v>
      </c>
      <c r="V28" s="12">
        <v>80</v>
      </c>
      <c r="W28" s="12">
        <v>64</v>
      </c>
      <c r="X28" s="12">
        <v>57</v>
      </c>
      <c r="Y28" s="12">
        <v>167</v>
      </c>
      <c r="Z28" s="12">
        <v>63</v>
      </c>
      <c r="AA28" s="12">
        <v>58</v>
      </c>
      <c r="AB28" s="12">
        <v>104</v>
      </c>
      <c r="AC28" s="12">
        <v>63</v>
      </c>
      <c r="AD28" s="12">
        <v>96</v>
      </c>
      <c r="AE28" s="12">
        <v>41</v>
      </c>
      <c r="AF28" s="12">
        <v>57</v>
      </c>
    </row>
    <row r="29" spans="1:32" x14ac:dyDescent="0.25">
      <c r="A29" s="19"/>
      <c r="B29" s="13" t="s">
        <v>261</v>
      </c>
      <c r="C29" s="14">
        <v>0.09</v>
      </c>
      <c r="D29" s="14">
        <v>0.1</v>
      </c>
      <c r="E29" s="14">
        <v>0.17</v>
      </c>
      <c r="F29" s="14">
        <v>0.06</v>
      </c>
      <c r="G29" s="14">
        <v>0.09</v>
      </c>
      <c r="H29" s="14">
        <v>0.06</v>
      </c>
      <c r="I29" s="14">
        <v>0.06</v>
      </c>
      <c r="J29" s="14">
        <v>0.09</v>
      </c>
      <c r="K29" s="14">
        <v>0.08</v>
      </c>
      <c r="L29" s="14">
        <v>0.08</v>
      </c>
      <c r="M29" s="14">
        <v>0.15</v>
      </c>
      <c r="N29" s="14">
        <v>0.06</v>
      </c>
      <c r="O29" s="14">
        <v>0.1</v>
      </c>
      <c r="P29" s="14">
        <v>0.12</v>
      </c>
      <c r="Q29" s="14">
        <v>0.16</v>
      </c>
      <c r="R29" s="14">
        <v>0.11</v>
      </c>
      <c r="S29" s="14">
        <v>0.08</v>
      </c>
      <c r="T29" s="14">
        <v>0.05</v>
      </c>
      <c r="U29" s="14">
        <v>0.13</v>
      </c>
      <c r="V29" s="14">
        <v>0.08</v>
      </c>
      <c r="W29" s="14">
        <v>0.13</v>
      </c>
      <c r="X29" s="14">
        <v>0.06</v>
      </c>
      <c r="Y29" s="14">
        <v>0.17</v>
      </c>
      <c r="Z29" s="14">
        <v>0.06</v>
      </c>
      <c r="AA29" s="14">
        <v>0.06</v>
      </c>
      <c r="AB29" s="14">
        <v>0.1</v>
      </c>
      <c r="AC29" s="14">
        <v>0.06</v>
      </c>
      <c r="AD29" s="14">
        <v>0.1</v>
      </c>
      <c r="AE29" s="14">
        <v>0.04</v>
      </c>
      <c r="AF29" s="14">
        <v>0.06</v>
      </c>
    </row>
    <row r="30" spans="1:32" x14ac:dyDescent="0.25">
      <c r="A30" s="19"/>
      <c r="B30" s="11" t="s">
        <v>262</v>
      </c>
      <c r="C30" s="12">
        <v>4211</v>
      </c>
      <c r="D30" s="12">
        <v>162</v>
      </c>
      <c r="E30" s="12">
        <v>74</v>
      </c>
      <c r="F30" s="12">
        <v>216</v>
      </c>
      <c r="G30" s="12">
        <v>186</v>
      </c>
      <c r="H30" s="12">
        <v>319</v>
      </c>
      <c r="I30" s="12">
        <v>390</v>
      </c>
      <c r="J30" s="12">
        <v>71</v>
      </c>
      <c r="K30" s="12">
        <v>99</v>
      </c>
      <c r="L30" s="12">
        <v>244</v>
      </c>
      <c r="M30" s="12">
        <v>145</v>
      </c>
      <c r="N30" s="12">
        <v>146</v>
      </c>
      <c r="O30" s="12">
        <v>131</v>
      </c>
      <c r="P30" s="12">
        <v>107</v>
      </c>
      <c r="Q30" s="12">
        <v>126</v>
      </c>
      <c r="R30" s="12">
        <v>105</v>
      </c>
      <c r="S30" s="12">
        <v>79</v>
      </c>
      <c r="T30" s="12">
        <v>161</v>
      </c>
      <c r="U30" s="12">
        <v>67</v>
      </c>
      <c r="V30" s="12">
        <v>125</v>
      </c>
      <c r="W30" s="12">
        <v>101</v>
      </c>
      <c r="X30" s="12">
        <v>258</v>
      </c>
      <c r="Y30" s="12">
        <v>179</v>
      </c>
      <c r="Z30" s="12">
        <v>116</v>
      </c>
      <c r="AA30" s="12">
        <v>76</v>
      </c>
      <c r="AB30" s="12">
        <v>60</v>
      </c>
      <c r="AC30" s="12">
        <v>122</v>
      </c>
      <c r="AD30" s="12">
        <v>103</v>
      </c>
      <c r="AE30" s="12">
        <v>109</v>
      </c>
      <c r="AF30" s="12">
        <v>211</v>
      </c>
    </row>
    <row r="31" spans="1:32" x14ac:dyDescent="0.25">
      <c r="A31" s="19"/>
      <c r="B31" s="13" t="s">
        <v>263</v>
      </c>
      <c r="C31" s="14">
        <v>0.17</v>
      </c>
      <c r="D31" s="14">
        <v>0.19</v>
      </c>
      <c r="E31" s="14">
        <v>7.0000000000000007E-2</v>
      </c>
      <c r="F31" s="14">
        <v>0.23</v>
      </c>
      <c r="G31" s="14">
        <v>0.2</v>
      </c>
      <c r="H31" s="14">
        <v>0.3</v>
      </c>
      <c r="I31" s="14">
        <v>0.28999999999999998</v>
      </c>
      <c r="J31" s="14">
        <v>0.28000000000000003</v>
      </c>
      <c r="K31" s="14">
        <v>0.1</v>
      </c>
      <c r="L31" s="14">
        <v>0.31</v>
      </c>
      <c r="M31" s="14">
        <v>0.15</v>
      </c>
      <c r="N31" s="14">
        <v>0.16</v>
      </c>
      <c r="O31" s="14">
        <v>0.14000000000000001</v>
      </c>
      <c r="P31" s="14">
        <v>0.11</v>
      </c>
      <c r="Q31" s="14">
        <v>0.13</v>
      </c>
      <c r="R31" s="14">
        <v>0.26</v>
      </c>
      <c r="S31" s="14">
        <v>0.08</v>
      </c>
      <c r="T31" s="14">
        <v>0.17</v>
      </c>
      <c r="U31" s="14">
        <v>0.15</v>
      </c>
      <c r="V31" s="14">
        <v>0.13</v>
      </c>
      <c r="W31" s="14">
        <v>0.23</v>
      </c>
      <c r="X31" s="14">
        <v>0.3</v>
      </c>
      <c r="Y31" s="14">
        <v>0.2</v>
      </c>
      <c r="Z31" s="14">
        <v>0.12</v>
      </c>
      <c r="AA31" s="14">
        <v>0.08</v>
      </c>
      <c r="AB31" s="14">
        <v>0.06</v>
      </c>
      <c r="AC31" s="14">
        <v>0.13</v>
      </c>
      <c r="AD31" s="14">
        <v>0.11</v>
      </c>
      <c r="AE31" s="14">
        <v>0.11</v>
      </c>
      <c r="AF31" s="14">
        <v>0.22</v>
      </c>
    </row>
    <row r="32" spans="1:32" ht="23.25" x14ac:dyDescent="0.25">
      <c r="A32" s="19"/>
      <c r="B32" s="11" t="s">
        <v>264</v>
      </c>
      <c r="C32" s="12">
        <v>3514</v>
      </c>
      <c r="D32" s="12">
        <v>188</v>
      </c>
      <c r="E32" s="12">
        <v>76</v>
      </c>
      <c r="F32" s="12">
        <v>132</v>
      </c>
      <c r="G32" s="12">
        <v>205</v>
      </c>
      <c r="H32" s="12">
        <v>166</v>
      </c>
      <c r="I32" s="12">
        <v>232</v>
      </c>
      <c r="J32" s="12">
        <v>66</v>
      </c>
      <c r="K32" s="12">
        <v>59</v>
      </c>
      <c r="L32" s="12">
        <v>102</v>
      </c>
      <c r="M32" s="12">
        <v>68</v>
      </c>
      <c r="N32" s="12">
        <v>80</v>
      </c>
      <c r="O32" s="12">
        <v>175</v>
      </c>
      <c r="P32" s="12">
        <v>109</v>
      </c>
      <c r="Q32" s="12">
        <v>156</v>
      </c>
      <c r="R32" s="12">
        <v>43</v>
      </c>
      <c r="S32" s="12">
        <v>58</v>
      </c>
      <c r="T32" s="12">
        <v>64</v>
      </c>
      <c r="U32" s="12">
        <v>73</v>
      </c>
      <c r="V32" s="12">
        <v>100</v>
      </c>
      <c r="W32" s="12">
        <v>55</v>
      </c>
      <c r="X32" s="12">
        <v>155</v>
      </c>
      <c r="Y32" s="12">
        <v>97</v>
      </c>
      <c r="Z32" s="12">
        <v>113</v>
      </c>
      <c r="AA32" s="12">
        <v>85</v>
      </c>
      <c r="AB32" s="12">
        <v>83</v>
      </c>
      <c r="AC32" s="12">
        <v>101</v>
      </c>
      <c r="AD32" s="12">
        <v>67</v>
      </c>
      <c r="AE32" s="12">
        <v>151</v>
      </c>
      <c r="AF32" s="12">
        <v>246</v>
      </c>
    </row>
    <row r="33" spans="1:32" ht="23.25" x14ac:dyDescent="0.25">
      <c r="A33" s="19"/>
      <c r="B33" s="13" t="s">
        <v>265</v>
      </c>
      <c r="C33" s="14">
        <v>0.14000000000000001</v>
      </c>
      <c r="D33" s="14">
        <v>0.19</v>
      </c>
      <c r="E33" s="14">
        <v>0.08</v>
      </c>
      <c r="F33" s="14">
        <v>0.13</v>
      </c>
      <c r="G33" s="14">
        <v>0.22</v>
      </c>
      <c r="H33" s="14">
        <v>0.14000000000000001</v>
      </c>
      <c r="I33" s="14">
        <v>0.16</v>
      </c>
      <c r="J33" s="14">
        <v>0.24</v>
      </c>
      <c r="K33" s="14">
        <v>0.06</v>
      </c>
      <c r="L33" s="14">
        <v>0.1</v>
      </c>
      <c r="M33" s="14">
        <v>7.0000000000000007E-2</v>
      </c>
      <c r="N33" s="14">
        <v>0.08</v>
      </c>
      <c r="O33" s="14">
        <v>0.19</v>
      </c>
      <c r="P33" s="14">
        <v>0.11</v>
      </c>
      <c r="Q33" s="14">
        <v>0.16</v>
      </c>
      <c r="R33" s="14">
        <v>0.09</v>
      </c>
      <c r="S33" s="14">
        <v>0.06</v>
      </c>
      <c r="T33" s="14">
        <v>0.06</v>
      </c>
      <c r="U33" s="14">
        <v>0.15</v>
      </c>
      <c r="V33" s="14">
        <v>0.1</v>
      </c>
      <c r="W33" s="14">
        <v>0.12</v>
      </c>
      <c r="X33" s="14">
        <v>0.16</v>
      </c>
      <c r="Y33" s="14">
        <v>0.1</v>
      </c>
      <c r="Z33" s="14">
        <v>0.12</v>
      </c>
      <c r="AA33" s="14">
        <v>0.08</v>
      </c>
      <c r="AB33" s="14">
        <v>0.08</v>
      </c>
      <c r="AC33" s="14">
        <v>0.1</v>
      </c>
      <c r="AD33" s="14">
        <v>7.0000000000000007E-2</v>
      </c>
      <c r="AE33" s="14">
        <v>0.16</v>
      </c>
      <c r="AF33" s="14">
        <v>0.26</v>
      </c>
    </row>
    <row r="34" spans="1:32" ht="23.25" x14ac:dyDescent="0.25">
      <c r="A34" s="19"/>
      <c r="B34" s="11" t="s">
        <v>266</v>
      </c>
      <c r="C34" s="12">
        <v>4238</v>
      </c>
      <c r="D34" s="12">
        <v>158</v>
      </c>
      <c r="E34" s="12">
        <v>133</v>
      </c>
      <c r="F34" s="12">
        <v>132</v>
      </c>
      <c r="G34" s="12">
        <v>244</v>
      </c>
      <c r="H34" s="12">
        <v>324</v>
      </c>
      <c r="I34" s="12">
        <v>382</v>
      </c>
      <c r="J34" s="12">
        <v>58</v>
      </c>
      <c r="K34" s="12">
        <v>91</v>
      </c>
      <c r="L34" s="12">
        <v>90</v>
      </c>
      <c r="M34" s="12">
        <v>207</v>
      </c>
      <c r="N34" s="12">
        <v>112</v>
      </c>
      <c r="O34" s="12">
        <v>93</v>
      </c>
      <c r="P34" s="12">
        <v>101</v>
      </c>
      <c r="Q34" s="12">
        <v>144</v>
      </c>
      <c r="R34" s="12">
        <v>82</v>
      </c>
      <c r="S34" s="12">
        <v>125</v>
      </c>
      <c r="T34" s="12">
        <v>90</v>
      </c>
      <c r="U34" s="12">
        <v>68</v>
      </c>
      <c r="V34" s="12">
        <v>159</v>
      </c>
      <c r="W34" s="12">
        <v>73</v>
      </c>
      <c r="X34" s="12">
        <v>209</v>
      </c>
      <c r="Y34" s="12">
        <v>189</v>
      </c>
      <c r="Z34" s="12">
        <v>130</v>
      </c>
      <c r="AA34" s="12">
        <v>81</v>
      </c>
      <c r="AB34" s="12">
        <v>171</v>
      </c>
      <c r="AC34" s="12">
        <v>94</v>
      </c>
      <c r="AD34" s="12">
        <v>134</v>
      </c>
      <c r="AE34" s="12">
        <v>254</v>
      </c>
      <c r="AF34" s="12">
        <v>365</v>
      </c>
    </row>
    <row r="35" spans="1:32" ht="23.25" x14ac:dyDescent="0.25">
      <c r="A35" s="19"/>
      <c r="B35" s="13" t="s">
        <v>267</v>
      </c>
      <c r="C35" s="14">
        <v>0.17</v>
      </c>
      <c r="D35" s="14">
        <v>0.16</v>
      </c>
      <c r="E35" s="14">
        <v>0.14000000000000001</v>
      </c>
      <c r="F35" s="14">
        <v>0.13</v>
      </c>
      <c r="G35" s="14">
        <v>0.26</v>
      </c>
      <c r="H35" s="14">
        <v>0.31</v>
      </c>
      <c r="I35" s="14">
        <v>0.28999999999999998</v>
      </c>
      <c r="J35" s="14">
        <v>0.22</v>
      </c>
      <c r="K35" s="14">
        <v>0.09</v>
      </c>
      <c r="L35" s="14">
        <v>0.09</v>
      </c>
      <c r="M35" s="14">
        <v>0.22</v>
      </c>
      <c r="N35" s="14">
        <v>0.12</v>
      </c>
      <c r="O35" s="14">
        <v>0.1</v>
      </c>
      <c r="P35" s="14">
        <v>0.11</v>
      </c>
      <c r="Q35" s="14">
        <v>0.15</v>
      </c>
      <c r="R35" s="14">
        <v>0.18</v>
      </c>
      <c r="S35" s="14">
        <v>0.13</v>
      </c>
      <c r="T35" s="14">
        <v>0.09</v>
      </c>
      <c r="U35" s="14">
        <v>0.14000000000000001</v>
      </c>
      <c r="V35" s="14">
        <v>0.17</v>
      </c>
      <c r="W35" s="14">
        <v>0.16</v>
      </c>
      <c r="X35" s="14">
        <v>0.23</v>
      </c>
      <c r="Y35" s="14">
        <v>0.21</v>
      </c>
      <c r="Z35" s="14">
        <v>0.14000000000000001</v>
      </c>
      <c r="AA35" s="14">
        <v>0.08</v>
      </c>
      <c r="AB35" s="14">
        <v>0.18</v>
      </c>
      <c r="AC35" s="14">
        <v>0.1</v>
      </c>
      <c r="AD35" s="14">
        <v>0.15</v>
      </c>
      <c r="AE35" s="14">
        <v>0.28000000000000003</v>
      </c>
      <c r="AF35" s="14">
        <v>0.41</v>
      </c>
    </row>
    <row r="36" spans="1:32" ht="23.25" x14ac:dyDescent="0.25">
      <c r="A36" s="19"/>
      <c r="B36" s="11" t="s">
        <v>268</v>
      </c>
      <c r="C36" s="12">
        <v>5388</v>
      </c>
      <c r="D36" s="12">
        <v>242</v>
      </c>
      <c r="E36" s="12">
        <v>146</v>
      </c>
      <c r="F36" s="12">
        <v>271</v>
      </c>
      <c r="G36" s="12">
        <v>333</v>
      </c>
      <c r="H36" s="12">
        <v>340</v>
      </c>
      <c r="I36" s="12">
        <v>411</v>
      </c>
      <c r="J36" s="12">
        <v>71</v>
      </c>
      <c r="K36" s="12">
        <v>252</v>
      </c>
      <c r="L36" s="12">
        <v>131</v>
      </c>
      <c r="M36" s="12">
        <v>130</v>
      </c>
      <c r="N36" s="12">
        <v>97</v>
      </c>
      <c r="O36" s="12">
        <v>171</v>
      </c>
      <c r="P36" s="12">
        <v>152</v>
      </c>
      <c r="Q36" s="12">
        <v>186</v>
      </c>
      <c r="R36" s="12">
        <v>129</v>
      </c>
      <c r="S36" s="12">
        <v>186</v>
      </c>
      <c r="T36" s="12">
        <v>238</v>
      </c>
      <c r="U36" s="12">
        <v>124</v>
      </c>
      <c r="V36" s="12">
        <v>157</v>
      </c>
      <c r="W36" s="12">
        <v>68</v>
      </c>
      <c r="X36" s="12">
        <v>357</v>
      </c>
      <c r="Y36" s="12">
        <v>220</v>
      </c>
      <c r="Z36" s="12">
        <v>224</v>
      </c>
      <c r="AA36" s="12">
        <v>165</v>
      </c>
      <c r="AB36" s="12">
        <v>188</v>
      </c>
      <c r="AC36" s="12">
        <v>156</v>
      </c>
      <c r="AD36" s="12">
        <v>219</v>
      </c>
      <c r="AE36" s="12">
        <v>321</v>
      </c>
      <c r="AF36" s="12">
        <v>286</v>
      </c>
    </row>
    <row r="37" spans="1:32" x14ac:dyDescent="0.25">
      <c r="A37" s="19"/>
      <c r="B37" s="13" t="s">
        <v>269</v>
      </c>
      <c r="C37" s="14">
        <v>0.24</v>
      </c>
      <c r="D37" s="14">
        <v>0.28000000000000003</v>
      </c>
      <c r="E37" s="14">
        <v>0.15</v>
      </c>
      <c r="F37" s="14">
        <v>0.32</v>
      </c>
      <c r="G37" s="14">
        <v>0.44</v>
      </c>
      <c r="H37" s="14">
        <v>0.35</v>
      </c>
      <c r="I37" s="14">
        <v>0.33</v>
      </c>
      <c r="J37" s="14">
        <v>0.27</v>
      </c>
      <c r="K37" s="14">
        <v>0.33</v>
      </c>
      <c r="L37" s="14">
        <v>0.14000000000000001</v>
      </c>
      <c r="M37" s="14">
        <v>0.14000000000000001</v>
      </c>
      <c r="N37" s="14">
        <v>0.1</v>
      </c>
      <c r="O37" s="14">
        <v>0.19</v>
      </c>
      <c r="P37" s="14">
        <v>0.17</v>
      </c>
      <c r="Q37" s="14">
        <v>0.21</v>
      </c>
      <c r="R37" s="14">
        <v>0.3</v>
      </c>
      <c r="S37" s="14">
        <v>0.24</v>
      </c>
      <c r="T37" s="14">
        <v>0.32</v>
      </c>
      <c r="U37" s="14">
        <v>0.28999999999999998</v>
      </c>
      <c r="V37" s="14">
        <v>0.17</v>
      </c>
      <c r="W37" s="14">
        <v>0.15</v>
      </c>
      <c r="X37" s="14">
        <v>0.46</v>
      </c>
      <c r="Y37" s="14">
        <v>0.24</v>
      </c>
      <c r="Z37" s="14">
        <v>0.28999999999999998</v>
      </c>
      <c r="AA37" s="14">
        <v>0.17</v>
      </c>
      <c r="AB37" s="14">
        <v>0.2</v>
      </c>
      <c r="AC37" s="14">
        <v>0.17</v>
      </c>
      <c r="AD37" s="14">
        <v>0.25</v>
      </c>
      <c r="AE37" s="14">
        <v>0.42</v>
      </c>
      <c r="AF37" s="14">
        <v>0.33</v>
      </c>
    </row>
    <row r="38" spans="1:32" ht="23.25" x14ac:dyDescent="0.25">
      <c r="A38" s="19"/>
      <c r="B38" s="11" t="s">
        <v>270</v>
      </c>
      <c r="C38" s="12">
        <v>3602</v>
      </c>
      <c r="D38" s="12">
        <v>114</v>
      </c>
      <c r="E38" s="12">
        <v>164</v>
      </c>
      <c r="F38" s="12">
        <v>165</v>
      </c>
      <c r="G38" s="12">
        <v>109</v>
      </c>
      <c r="H38" s="12">
        <v>132</v>
      </c>
      <c r="I38" s="12">
        <v>173</v>
      </c>
      <c r="J38" s="12">
        <v>41</v>
      </c>
      <c r="K38" s="12">
        <v>162</v>
      </c>
      <c r="L38" s="12">
        <v>97</v>
      </c>
      <c r="M38" s="12">
        <v>171</v>
      </c>
      <c r="N38" s="12">
        <v>107</v>
      </c>
      <c r="O38" s="12">
        <v>128</v>
      </c>
      <c r="P38" s="12">
        <v>204</v>
      </c>
      <c r="Q38" s="12">
        <v>127</v>
      </c>
      <c r="R38" s="12">
        <v>15</v>
      </c>
      <c r="S38" s="12">
        <v>116</v>
      </c>
      <c r="T38" s="12">
        <v>106</v>
      </c>
      <c r="U38" s="12">
        <v>68</v>
      </c>
      <c r="V38" s="12">
        <v>216</v>
      </c>
      <c r="W38" s="12">
        <v>66</v>
      </c>
      <c r="X38" s="12">
        <v>144</v>
      </c>
      <c r="Y38" s="12">
        <v>149</v>
      </c>
      <c r="Z38" s="12">
        <v>166</v>
      </c>
      <c r="AA38" s="12">
        <v>136</v>
      </c>
      <c r="AB38" s="12">
        <v>182</v>
      </c>
      <c r="AC38" s="12">
        <v>251</v>
      </c>
      <c r="AD38" s="12">
        <v>313</v>
      </c>
      <c r="AE38" s="12">
        <v>214</v>
      </c>
      <c r="AF38" s="12">
        <v>187</v>
      </c>
    </row>
    <row r="39" spans="1:32" ht="23.25" x14ac:dyDescent="0.25">
      <c r="A39" s="19"/>
      <c r="B39" s="13" t="s">
        <v>271</v>
      </c>
      <c r="C39" s="14">
        <v>0.14000000000000001</v>
      </c>
      <c r="D39" s="14">
        <v>0.11</v>
      </c>
      <c r="E39" s="14">
        <v>0.17</v>
      </c>
      <c r="F39" s="14">
        <v>0.17</v>
      </c>
      <c r="G39" s="14">
        <v>0.11</v>
      </c>
      <c r="H39" s="14">
        <v>0.11</v>
      </c>
      <c r="I39" s="14">
        <v>0.12</v>
      </c>
      <c r="J39" s="14">
        <v>0.15</v>
      </c>
      <c r="K39" s="14">
        <v>0.17</v>
      </c>
      <c r="L39" s="14">
        <v>0.1</v>
      </c>
      <c r="M39" s="14">
        <v>0.18</v>
      </c>
      <c r="N39" s="14">
        <v>0.11</v>
      </c>
      <c r="O39" s="14">
        <v>0.13</v>
      </c>
      <c r="P39" s="14">
        <v>0.22</v>
      </c>
      <c r="Q39" s="14">
        <v>0.13</v>
      </c>
      <c r="R39" s="14">
        <v>0.03</v>
      </c>
      <c r="S39" s="14">
        <v>0.12</v>
      </c>
      <c r="T39" s="14">
        <v>0.11</v>
      </c>
      <c r="U39" s="14">
        <v>0.14000000000000001</v>
      </c>
      <c r="V39" s="14">
        <v>0.23</v>
      </c>
      <c r="W39" s="14">
        <v>0.14000000000000001</v>
      </c>
      <c r="X39" s="14">
        <v>0.15</v>
      </c>
      <c r="Y39" s="14">
        <v>0.16</v>
      </c>
      <c r="Z39" s="14">
        <v>0.18</v>
      </c>
      <c r="AA39" s="14">
        <v>0.14000000000000001</v>
      </c>
      <c r="AB39" s="14">
        <v>0.19</v>
      </c>
      <c r="AC39" s="14">
        <v>0.28999999999999998</v>
      </c>
      <c r="AD39" s="14">
        <v>0.34</v>
      </c>
      <c r="AE39" s="14">
        <v>0.23</v>
      </c>
      <c r="AF39" s="14">
        <v>0.19</v>
      </c>
    </row>
    <row r="40" spans="1:32" ht="23.25" x14ac:dyDescent="0.25">
      <c r="A40" s="19"/>
      <c r="B40" s="11" t="s">
        <v>272</v>
      </c>
      <c r="C40" s="12">
        <v>2053</v>
      </c>
      <c r="D40" s="12">
        <v>55</v>
      </c>
      <c r="E40" s="12">
        <v>58</v>
      </c>
      <c r="F40" s="12">
        <v>59</v>
      </c>
      <c r="G40" s="12">
        <v>105</v>
      </c>
      <c r="H40" s="12">
        <v>68</v>
      </c>
      <c r="I40" s="12">
        <v>87</v>
      </c>
      <c r="J40" s="12">
        <v>19</v>
      </c>
      <c r="K40" s="12">
        <v>36</v>
      </c>
      <c r="L40" s="12">
        <v>69</v>
      </c>
      <c r="M40" s="12">
        <v>44</v>
      </c>
      <c r="N40" s="12">
        <v>69</v>
      </c>
      <c r="O40" s="12">
        <v>97</v>
      </c>
      <c r="P40" s="12">
        <v>105</v>
      </c>
      <c r="Q40" s="12">
        <v>89</v>
      </c>
      <c r="R40" s="12">
        <v>17</v>
      </c>
      <c r="S40" s="12">
        <v>50</v>
      </c>
      <c r="T40" s="12">
        <v>33</v>
      </c>
      <c r="U40" s="12">
        <v>48</v>
      </c>
      <c r="V40" s="12">
        <v>93</v>
      </c>
      <c r="W40" s="12">
        <v>42</v>
      </c>
      <c r="X40" s="12">
        <v>51</v>
      </c>
      <c r="Y40" s="12">
        <v>145</v>
      </c>
      <c r="Z40" s="12">
        <v>82</v>
      </c>
      <c r="AA40" s="12">
        <v>93</v>
      </c>
      <c r="AB40" s="12">
        <v>67</v>
      </c>
      <c r="AC40" s="12">
        <v>42</v>
      </c>
      <c r="AD40" s="12">
        <v>32</v>
      </c>
      <c r="AE40" s="12">
        <v>120</v>
      </c>
      <c r="AF40" s="12">
        <v>208</v>
      </c>
    </row>
    <row r="41" spans="1:32" ht="23.25" x14ac:dyDescent="0.25">
      <c r="A41" s="19"/>
      <c r="B41" s="13" t="s">
        <v>273</v>
      </c>
      <c r="C41" s="14">
        <v>0.08</v>
      </c>
      <c r="D41" s="14">
        <v>0.05</v>
      </c>
      <c r="E41" s="14">
        <v>0.06</v>
      </c>
      <c r="F41" s="14">
        <v>0.06</v>
      </c>
      <c r="G41" s="14">
        <v>0.11</v>
      </c>
      <c r="H41" s="14">
        <v>0.06</v>
      </c>
      <c r="I41" s="14">
        <v>0.06</v>
      </c>
      <c r="J41" s="14">
        <v>7.0000000000000007E-2</v>
      </c>
      <c r="K41" s="14">
        <v>0.04</v>
      </c>
      <c r="L41" s="14">
        <v>7.0000000000000007E-2</v>
      </c>
      <c r="M41" s="14">
        <v>0.04</v>
      </c>
      <c r="N41" s="14">
        <v>7.0000000000000007E-2</v>
      </c>
      <c r="O41" s="14">
        <v>0.1</v>
      </c>
      <c r="P41" s="14">
        <v>0.11</v>
      </c>
      <c r="Q41" s="14">
        <v>0.09</v>
      </c>
      <c r="R41" s="14">
        <v>0.03</v>
      </c>
      <c r="S41" s="14">
        <v>0.05</v>
      </c>
      <c r="T41" s="14">
        <v>0.03</v>
      </c>
      <c r="U41" s="14">
        <v>0.1</v>
      </c>
      <c r="V41" s="14">
        <v>0.09</v>
      </c>
      <c r="W41" s="14">
        <v>0.09</v>
      </c>
      <c r="X41" s="14">
        <v>0.05</v>
      </c>
      <c r="Y41" s="14">
        <v>0.15</v>
      </c>
      <c r="Z41" s="14">
        <v>0.08</v>
      </c>
      <c r="AA41" s="14">
        <v>0.09</v>
      </c>
      <c r="AB41" s="14">
        <v>7.0000000000000007E-2</v>
      </c>
      <c r="AC41" s="14">
        <v>0.04</v>
      </c>
      <c r="AD41" s="14">
        <v>0.03</v>
      </c>
      <c r="AE41" s="14">
        <v>0.12</v>
      </c>
      <c r="AF41" s="14">
        <v>0.21</v>
      </c>
    </row>
    <row r="42" spans="1:32" x14ac:dyDescent="0.25">
      <c r="A42" s="19"/>
      <c r="B42" s="11" t="s">
        <v>274</v>
      </c>
      <c r="C42" s="12">
        <v>59</v>
      </c>
      <c r="D42" s="12">
        <v>1</v>
      </c>
      <c r="E42" s="12">
        <v>1</v>
      </c>
      <c r="F42" s="12">
        <v>1</v>
      </c>
      <c r="G42" s="12">
        <v>1</v>
      </c>
      <c r="H42" s="12">
        <v>6</v>
      </c>
      <c r="I42" s="12">
        <v>6</v>
      </c>
      <c r="J42" s="12">
        <v>0</v>
      </c>
      <c r="K42" s="12">
        <v>15</v>
      </c>
      <c r="L42" s="12">
        <v>13</v>
      </c>
      <c r="M42" s="12">
        <v>4</v>
      </c>
      <c r="N42" s="12">
        <v>3</v>
      </c>
      <c r="O42" s="12">
        <v>2</v>
      </c>
      <c r="P42" s="12">
        <v>1</v>
      </c>
      <c r="Q42" s="12">
        <v>0</v>
      </c>
      <c r="R42" s="12">
        <v>1</v>
      </c>
      <c r="S42" s="12">
        <v>9</v>
      </c>
      <c r="T42" s="12">
        <v>1</v>
      </c>
      <c r="U42" s="12">
        <v>7</v>
      </c>
      <c r="V42" s="12">
        <v>0</v>
      </c>
      <c r="W42" s="12">
        <v>2</v>
      </c>
      <c r="X42" s="12">
        <v>0</v>
      </c>
      <c r="Y42" s="12">
        <v>16</v>
      </c>
      <c r="Z42" s="12">
        <v>0</v>
      </c>
      <c r="AA42" s="12">
        <v>1</v>
      </c>
      <c r="AB42" s="12">
        <v>0</v>
      </c>
      <c r="AC42" s="12">
        <v>3</v>
      </c>
      <c r="AD42" s="12">
        <v>2</v>
      </c>
      <c r="AE42" s="12">
        <v>2</v>
      </c>
      <c r="AF42" s="12">
        <v>2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4">
        <v>0.01</v>
      </c>
      <c r="L43" s="14">
        <v>0.01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4">
        <v>0.01</v>
      </c>
      <c r="V43" s="15" t="s">
        <v>213</v>
      </c>
      <c r="W43" s="15" t="s">
        <v>213</v>
      </c>
      <c r="X43" s="15" t="s">
        <v>213</v>
      </c>
      <c r="Y43" s="14">
        <v>0.02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95</v>
      </c>
      <c r="D44" s="12">
        <v>0</v>
      </c>
      <c r="E44" s="12">
        <v>2</v>
      </c>
      <c r="F44" s="12">
        <v>2</v>
      </c>
      <c r="G44" s="12">
        <v>4</v>
      </c>
      <c r="H44" s="12">
        <v>8</v>
      </c>
      <c r="I44" s="12">
        <v>8</v>
      </c>
      <c r="J44" s="12">
        <v>0</v>
      </c>
      <c r="K44" s="12">
        <v>7</v>
      </c>
      <c r="L44" s="12">
        <v>2</v>
      </c>
      <c r="M44" s="12">
        <v>0</v>
      </c>
      <c r="N44" s="12">
        <v>8</v>
      </c>
      <c r="O44" s="12">
        <v>7</v>
      </c>
      <c r="P44" s="12">
        <v>0</v>
      </c>
      <c r="Q44" s="12">
        <v>1</v>
      </c>
      <c r="R44" s="12">
        <v>2</v>
      </c>
      <c r="S44" s="12">
        <v>5</v>
      </c>
      <c r="T44" s="12">
        <v>0</v>
      </c>
      <c r="U44" s="12">
        <v>0</v>
      </c>
      <c r="V44" s="12">
        <v>0</v>
      </c>
      <c r="W44" s="12">
        <v>3</v>
      </c>
      <c r="X44" s="12">
        <v>0</v>
      </c>
      <c r="Y44" s="12">
        <v>2</v>
      </c>
      <c r="Z44" s="12">
        <v>0</v>
      </c>
      <c r="AA44" s="12">
        <v>0</v>
      </c>
      <c r="AB44" s="12">
        <v>1</v>
      </c>
      <c r="AC44" s="12">
        <v>3</v>
      </c>
      <c r="AD44" s="12">
        <v>0</v>
      </c>
      <c r="AE44" s="12">
        <v>7</v>
      </c>
      <c r="AF44" s="12">
        <v>4</v>
      </c>
    </row>
    <row r="45" spans="1:32" x14ac:dyDescent="0.25">
      <c r="A45" s="19"/>
      <c r="B45" s="13" t="s">
        <v>277</v>
      </c>
      <c r="C45" s="15" t="s">
        <v>213</v>
      </c>
      <c r="D45" s="15" t="s">
        <v>213</v>
      </c>
      <c r="E45" s="15" t="s">
        <v>213</v>
      </c>
      <c r="F45" s="15" t="s">
        <v>213</v>
      </c>
      <c r="G45" s="15" t="s">
        <v>213</v>
      </c>
      <c r="H45" s="14">
        <v>0.01</v>
      </c>
      <c r="I45" s="14">
        <v>0.01</v>
      </c>
      <c r="J45" s="15" t="s">
        <v>213</v>
      </c>
      <c r="K45" s="14">
        <v>0.01</v>
      </c>
      <c r="L45" s="15" t="s">
        <v>213</v>
      </c>
      <c r="M45" s="15" t="s">
        <v>213</v>
      </c>
      <c r="N45" s="14">
        <v>0.01</v>
      </c>
      <c r="O45" s="14">
        <v>0.01</v>
      </c>
      <c r="P45" s="15" t="s">
        <v>213</v>
      </c>
      <c r="Q45" s="15" t="s">
        <v>213</v>
      </c>
      <c r="R45" s="15" t="s">
        <v>213</v>
      </c>
      <c r="S45" s="15" t="s">
        <v>213</v>
      </c>
      <c r="T45" s="15" t="s">
        <v>213</v>
      </c>
      <c r="U45" s="15" t="s">
        <v>213</v>
      </c>
      <c r="V45" s="15" t="s">
        <v>213</v>
      </c>
      <c r="W45" s="14">
        <v>0.01</v>
      </c>
      <c r="X45" s="15" t="s">
        <v>213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4">
        <v>0.01</v>
      </c>
      <c r="AF45" s="15" t="s">
        <v>213</v>
      </c>
    </row>
    <row r="46" spans="1:32" x14ac:dyDescent="0.25">
      <c r="A46" s="19"/>
      <c r="B46" s="11" t="s">
        <v>224</v>
      </c>
      <c r="C46" s="12">
        <v>46</v>
      </c>
      <c r="D46" s="12">
        <v>0</v>
      </c>
      <c r="E46" s="12">
        <v>2</v>
      </c>
      <c r="F46" s="12">
        <v>3</v>
      </c>
      <c r="G46" s="12">
        <v>8</v>
      </c>
      <c r="H46" s="12">
        <v>1</v>
      </c>
      <c r="I46" s="12">
        <v>1</v>
      </c>
      <c r="J46" s="12">
        <v>0</v>
      </c>
      <c r="K46" s="12">
        <v>6</v>
      </c>
      <c r="L46" s="12">
        <v>4</v>
      </c>
      <c r="M46" s="12">
        <v>1</v>
      </c>
      <c r="N46" s="12">
        <v>1</v>
      </c>
      <c r="O46" s="12">
        <v>5</v>
      </c>
      <c r="P46" s="12">
        <v>4</v>
      </c>
      <c r="Q46" s="12">
        <v>0</v>
      </c>
      <c r="R46" s="12">
        <v>1</v>
      </c>
      <c r="S46" s="12">
        <v>9</v>
      </c>
      <c r="T46" s="12">
        <v>5</v>
      </c>
      <c r="U46" s="12">
        <v>2</v>
      </c>
      <c r="V46" s="12">
        <v>0</v>
      </c>
      <c r="W46" s="12">
        <v>2</v>
      </c>
      <c r="X46" s="12">
        <v>0</v>
      </c>
      <c r="Y46" s="12">
        <v>2</v>
      </c>
      <c r="Z46" s="12">
        <v>0</v>
      </c>
      <c r="AA46" s="12">
        <v>3</v>
      </c>
      <c r="AB46" s="12">
        <v>0</v>
      </c>
      <c r="AC46" s="12">
        <v>1</v>
      </c>
      <c r="AD46" s="12">
        <v>2</v>
      </c>
      <c r="AE46" s="12">
        <v>11</v>
      </c>
      <c r="AF46" s="12">
        <v>4</v>
      </c>
    </row>
    <row r="47" spans="1:32" x14ac:dyDescent="0.25">
      <c r="A47" s="19"/>
      <c r="B47" s="13" t="s">
        <v>237</v>
      </c>
      <c r="C47" s="15" t="s">
        <v>213</v>
      </c>
      <c r="D47" s="15" t="s">
        <v>213</v>
      </c>
      <c r="E47" s="15" t="s">
        <v>213</v>
      </c>
      <c r="F47" s="15" t="s">
        <v>213</v>
      </c>
      <c r="G47" s="14">
        <v>0.01</v>
      </c>
      <c r="H47" s="15" t="s">
        <v>213</v>
      </c>
      <c r="I47" s="15" t="s">
        <v>213</v>
      </c>
      <c r="J47" s="15" t="s">
        <v>213</v>
      </c>
      <c r="K47" s="14">
        <v>0.01</v>
      </c>
      <c r="L47" s="15" t="s">
        <v>213</v>
      </c>
      <c r="M47" s="15" t="s">
        <v>213</v>
      </c>
      <c r="N47" s="15" t="s">
        <v>213</v>
      </c>
      <c r="O47" s="14">
        <v>0.01</v>
      </c>
      <c r="P47" s="15" t="s">
        <v>213</v>
      </c>
      <c r="Q47" s="15" t="s">
        <v>213</v>
      </c>
      <c r="R47" s="15" t="s">
        <v>213</v>
      </c>
      <c r="S47" s="14">
        <v>0.01</v>
      </c>
      <c r="T47" s="14">
        <v>0.01</v>
      </c>
      <c r="U47" s="15" t="s">
        <v>213</v>
      </c>
      <c r="V47" s="15" t="s">
        <v>213</v>
      </c>
      <c r="W47" s="15" t="s">
        <v>213</v>
      </c>
      <c r="X47" s="15" t="s">
        <v>213</v>
      </c>
      <c r="Y47" s="15" t="s">
        <v>213</v>
      </c>
      <c r="Z47" s="15" t="s">
        <v>213</v>
      </c>
      <c r="AA47" s="15" t="s">
        <v>213</v>
      </c>
      <c r="AB47" s="15" t="s">
        <v>213</v>
      </c>
      <c r="AC47" s="15" t="s">
        <v>213</v>
      </c>
      <c r="AD47" s="15" t="s">
        <v>213</v>
      </c>
      <c r="AE47" s="14">
        <v>0.01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23</v>
      </c>
      <c r="C3" s="18"/>
      <c r="D3" s="18"/>
      <c r="E3" s="18"/>
      <c r="F3" s="18"/>
      <c r="H3" s="18" t="s">
        <v>24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244</v>
      </c>
      <c r="C12" s="12">
        <v>8388</v>
      </c>
      <c r="D12" s="12">
        <v>272</v>
      </c>
      <c r="E12" s="12">
        <v>299</v>
      </c>
      <c r="F12" s="12">
        <v>220</v>
      </c>
      <c r="G12" s="12">
        <v>245</v>
      </c>
      <c r="H12" s="12">
        <v>133</v>
      </c>
      <c r="I12" s="12">
        <v>188</v>
      </c>
      <c r="J12" s="12">
        <v>55</v>
      </c>
      <c r="K12" s="12">
        <v>300</v>
      </c>
      <c r="L12" s="12">
        <v>494</v>
      </c>
      <c r="M12" s="12">
        <v>542</v>
      </c>
      <c r="N12" s="12">
        <v>567</v>
      </c>
      <c r="O12" s="12">
        <v>364</v>
      </c>
      <c r="P12" s="12">
        <v>256</v>
      </c>
      <c r="Q12" s="12">
        <v>376</v>
      </c>
      <c r="R12" s="12">
        <v>195</v>
      </c>
      <c r="S12" s="12">
        <v>449</v>
      </c>
      <c r="T12" s="12">
        <v>444</v>
      </c>
      <c r="U12" s="12">
        <v>152</v>
      </c>
      <c r="V12" s="12">
        <v>359</v>
      </c>
      <c r="W12" s="12">
        <v>193</v>
      </c>
      <c r="X12" s="12">
        <v>170</v>
      </c>
      <c r="Y12" s="12">
        <v>218</v>
      </c>
      <c r="Z12" s="12">
        <v>292</v>
      </c>
      <c r="AA12" s="12">
        <v>708</v>
      </c>
      <c r="AB12" s="12">
        <v>305</v>
      </c>
      <c r="AC12" s="12">
        <v>475</v>
      </c>
      <c r="AD12" s="12">
        <v>333</v>
      </c>
      <c r="AE12" s="12">
        <v>133</v>
      </c>
      <c r="AF12" s="12">
        <v>175</v>
      </c>
    </row>
    <row r="13" spans="1:32" x14ac:dyDescent="0.25">
      <c r="A13" s="19"/>
      <c r="B13" s="13" t="s">
        <v>245</v>
      </c>
      <c r="C13" s="14">
        <v>0.32</v>
      </c>
      <c r="D13" s="14">
        <v>0.27</v>
      </c>
      <c r="E13" s="14">
        <v>0.28999999999999998</v>
      </c>
      <c r="F13" s="14">
        <v>0.21</v>
      </c>
      <c r="G13" s="14">
        <v>0.24</v>
      </c>
      <c r="H13" s="14">
        <v>0.11</v>
      </c>
      <c r="I13" s="14">
        <v>0.12</v>
      </c>
      <c r="J13" s="14">
        <v>0.18</v>
      </c>
      <c r="K13" s="14">
        <v>0.3</v>
      </c>
      <c r="L13" s="14">
        <v>0.49</v>
      </c>
      <c r="M13" s="14">
        <v>0.54</v>
      </c>
      <c r="N13" s="14">
        <v>0.56000000000000005</v>
      </c>
      <c r="O13" s="14">
        <v>0.36</v>
      </c>
      <c r="P13" s="14">
        <v>0.26</v>
      </c>
      <c r="Q13" s="14">
        <v>0.37</v>
      </c>
      <c r="R13" s="14">
        <v>0.39</v>
      </c>
      <c r="S13" s="14">
        <v>0.45</v>
      </c>
      <c r="T13" s="14">
        <v>0.43</v>
      </c>
      <c r="U13" s="14">
        <v>0.3</v>
      </c>
      <c r="V13" s="14">
        <v>0.35</v>
      </c>
      <c r="W13" s="14">
        <v>0.38</v>
      </c>
      <c r="X13" s="14">
        <v>0.17</v>
      </c>
      <c r="Y13" s="14">
        <v>0.22</v>
      </c>
      <c r="Z13" s="14">
        <v>0.28999999999999998</v>
      </c>
      <c r="AA13" s="14">
        <v>0.68</v>
      </c>
      <c r="AB13" s="14">
        <v>0.28999999999999998</v>
      </c>
      <c r="AC13" s="14">
        <v>0.47</v>
      </c>
      <c r="AD13" s="14">
        <v>0.33</v>
      </c>
      <c r="AE13" s="14">
        <v>0.13</v>
      </c>
      <c r="AF13" s="14">
        <v>0.17</v>
      </c>
    </row>
    <row r="14" spans="1:32" ht="23.25" x14ac:dyDescent="0.25">
      <c r="A14" s="19"/>
      <c r="B14" s="11" t="s">
        <v>246</v>
      </c>
      <c r="C14" s="12">
        <v>6797</v>
      </c>
      <c r="D14" s="12">
        <v>254</v>
      </c>
      <c r="E14" s="12">
        <v>136</v>
      </c>
      <c r="F14" s="12">
        <v>147</v>
      </c>
      <c r="G14" s="12">
        <v>499</v>
      </c>
      <c r="H14" s="12">
        <v>392</v>
      </c>
      <c r="I14" s="12">
        <v>468</v>
      </c>
      <c r="J14" s="12">
        <v>76</v>
      </c>
      <c r="K14" s="12">
        <v>108</v>
      </c>
      <c r="L14" s="12">
        <v>218</v>
      </c>
      <c r="M14" s="12">
        <v>147</v>
      </c>
      <c r="N14" s="12">
        <v>202</v>
      </c>
      <c r="O14" s="12">
        <v>302</v>
      </c>
      <c r="P14" s="12">
        <v>186</v>
      </c>
      <c r="Q14" s="12">
        <v>260</v>
      </c>
      <c r="R14" s="12">
        <v>66</v>
      </c>
      <c r="S14" s="12">
        <v>109</v>
      </c>
      <c r="T14" s="12">
        <v>104</v>
      </c>
      <c r="U14" s="12">
        <v>116</v>
      </c>
      <c r="V14" s="12">
        <v>229</v>
      </c>
      <c r="W14" s="12">
        <v>169</v>
      </c>
      <c r="X14" s="12">
        <v>465</v>
      </c>
      <c r="Y14" s="12">
        <v>260</v>
      </c>
      <c r="Z14" s="12">
        <v>142</v>
      </c>
      <c r="AA14" s="12">
        <v>164</v>
      </c>
      <c r="AB14" s="12">
        <v>146</v>
      </c>
      <c r="AC14" s="12">
        <v>180</v>
      </c>
      <c r="AD14" s="12">
        <v>176</v>
      </c>
      <c r="AE14" s="12">
        <v>423</v>
      </c>
      <c r="AF14" s="12">
        <v>606</v>
      </c>
    </row>
    <row r="15" spans="1:32" ht="23.25" x14ac:dyDescent="0.25">
      <c r="A15" s="19"/>
      <c r="B15" s="13" t="s">
        <v>247</v>
      </c>
      <c r="C15" s="14">
        <v>0.26</v>
      </c>
      <c r="D15" s="14">
        <v>0.25</v>
      </c>
      <c r="E15" s="14">
        <v>0.13</v>
      </c>
      <c r="F15" s="14">
        <v>0.14000000000000001</v>
      </c>
      <c r="G15" s="14">
        <v>0.49</v>
      </c>
      <c r="H15" s="14">
        <v>0.32</v>
      </c>
      <c r="I15" s="14">
        <v>0.31</v>
      </c>
      <c r="J15" s="14">
        <v>0.26</v>
      </c>
      <c r="K15" s="14">
        <v>0.11</v>
      </c>
      <c r="L15" s="14">
        <v>0.22</v>
      </c>
      <c r="M15" s="14">
        <v>0.15</v>
      </c>
      <c r="N15" s="14">
        <v>0.2</v>
      </c>
      <c r="O15" s="14">
        <v>0.3</v>
      </c>
      <c r="P15" s="14">
        <v>0.19</v>
      </c>
      <c r="Q15" s="14">
        <v>0.25</v>
      </c>
      <c r="R15" s="14">
        <v>0.13</v>
      </c>
      <c r="S15" s="14">
        <v>0.11</v>
      </c>
      <c r="T15" s="14">
        <v>0.1</v>
      </c>
      <c r="U15" s="14">
        <v>0.23</v>
      </c>
      <c r="V15" s="14">
        <v>0.22</v>
      </c>
      <c r="W15" s="14">
        <v>0.34</v>
      </c>
      <c r="X15" s="14">
        <v>0.46</v>
      </c>
      <c r="Y15" s="14">
        <v>0.26</v>
      </c>
      <c r="Z15" s="14">
        <v>0.14000000000000001</v>
      </c>
      <c r="AA15" s="14">
        <v>0.16</v>
      </c>
      <c r="AB15" s="14">
        <v>0.14000000000000001</v>
      </c>
      <c r="AC15" s="14">
        <v>0.18</v>
      </c>
      <c r="AD15" s="14">
        <v>0.18</v>
      </c>
      <c r="AE15" s="14">
        <v>0.42</v>
      </c>
      <c r="AF15" s="14">
        <v>0.59</v>
      </c>
    </row>
    <row r="16" spans="1:32" ht="23.25" x14ac:dyDescent="0.25">
      <c r="A16" s="19"/>
      <c r="B16" s="11" t="s">
        <v>248</v>
      </c>
      <c r="C16" s="12">
        <v>7398</v>
      </c>
      <c r="D16" s="12">
        <v>320</v>
      </c>
      <c r="E16" s="12">
        <v>430</v>
      </c>
      <c r="F16" s="12">
        <v>184</v>
      </c>
      <c r="G16" s="12">
        <v>195</v>
      </c>
      <c r="H16" s="12">
        <v>316</v>
      </c>
      <c r="I16" s="12">
        <v>385</v>
      </c>
      <c r="J16" s="12">
        <v>69</v>
      </c>
      <c r="K16" s="12">
        <v>216</v>
      </c>
      <c r="L16" s="12">
        <v>239</v>
      </c>
      <c r="M16" s="12">
        <v>461</v>
      </c>
      <c r="N16" s="12">
        <v>303</v>
      </c>
      <c r="O16" s="12">
        <v>385</v>
      </c>
      <c r="P16" s="12">
        <v>332</v>
      </c>
      <c r="Q16" s="12">
        <v>216</v>
      </c>
      <c r="R16" s="12">
        <v>175</v>
      </c>
      <c r="S16" s="12">
        <v>276</v>
      </c>
      <c r="T16" s="12">
        <v>424</v>
      </c>
      <c r="U16" s="12">
        <v>166</v>
      </c>
      <c r="V16" s="12">
        <v>257</v>
      </c>
      <c r="W16" s="12">
        <v>126</v>
      </c>
      <c r="X16" s="12">
        <v>241</v>
      </c>
      <c r="Y16" s="12">
        <v>289</v>
      </c>
      <c r="Z16" s="12">
        <v>173</v>
      </c>
      <c r="AA16" s="12">
        <v>430</v>
      </c>
      <c r="AB16" s="12">
        <v>307</v>
      </c>
      <c r="AC16" s="12">
        <v>263</v>
      </c>
      <c r="AD16" s="12">
        <v>286</v>
      </c>
      <c r="AE16" s="12">
        <v>305</v>
      </c>
      <c r="AF16" s="12">
        <v>273</v>
      </c>
    </row>
    <row r="17" spans="1:32" ht="23.25" x14ac:dyDescent="0.25">
      <c r="A17" s="19"/>
      <c r="B17" s="13" t="s">
        <v>249</v>
      </c>
      <c r="C17" s="14">
        <v>0.28000000000000003</v>
      </c>
      <c r="D17" s="14">
        <v>0.31</v>
      </c>
      <c r="E17" s="14">
        <v>0.41</v>
      </c>
      <c r="F17" s="14">
        <v>0.17</v>
      </c>
      <c r="G17" s="14">
        <v>0.19</v>
      </c>
      <c r="H17" s="14">
        <v>0.26</v>
      </c>
      <c r="I17" s="14">
        <v>0.25</v>
      </c>
      <c r="J17" s="14">
        <v>0.23</v>
      </c>
      <c r="K17" s="14">
        <v>0.22</v>
      </c>
      <c r="L17" s="14">
        <v>0.24</v>
      </c>
      <c r="M17" s="14">
        <v>0.46</v>
      </c>
      <c r="N17" s="14">
        <v>0.3</v>
      </c>
      <c r="O17" s="14">
        <v>0.38</v>
      </c>
      <c r="P17" s="14">
        <v>0.33</v>
      </c>
      <c r="Q17" s="14">
        <v>0.21</v>
      </c>
      <c r="R17" s="14">
        <v>0.35</v>
      </c>
      <c r="S17" s="14">
        <v>0.28000000000000003</v>
      </c>
      <c r="T17" s="14">
        <v>0.41</v>
      </c>
      <c r="U17" s="14">
        <v>0.33</v>
      </c>
      <c r="V17" s="14">
        <v>0.25</v>
      </c>
      <c r="W17" s="14">
        <v>0.25</v>
      </c>
      <c r="X17" s="14">
        <v>0.24</v>
      </c>
      <c r="Y17" s="14">
        <v>0.28999999999999998</v>
      </c>
      <c r="Z17" s="14">
        <v>0.17</v>
      </c>
      <c r="AA17" s="14">
        <v>0.41</v>
      </c>
      <c r="AB17" s="14">
        <v>0.3</v>
      </c>
      <c r="AC17" s="14">
        <v>0.26</v>
      </c>
      <c r="AD17" s="14">
        <v>0.28000000000000003</v>
      </c>
      <c r="AE17" s="14">
        <v>0.3</v>
      </c>
      <c r="AF17" s="14">
        <v>0.27</v>
      </c>
    </row>
    <row r="18" spans="1:32" ht="23.25" x14ac:dyDescent="0.25">
      <c r="A18" s="19"/>
      <c r="B18" s="11" t="s">
        <v>250</v>
      </c>
      <c r="C18" s="12">
        <v>9237</v>
      </c>
      <c r="D18" s="12">
        <v>301</v>
      </c>
      <c r="E18" s="12">
        <v>492</v>
      </c>
      <c r="F18" s="12">
        <v>302</v>
      </c>
      <c r="G18" s="12">
        <v>262</v>
      </c>
      <c r="H18" s="12">
        <v>374</v>
      </c>
      <c r="I18" s="12">
        <v>481</v>
      </c>
      <c r="J18" s="12">
        <v>107</v>
      </c>
      <c r="K18" s="12">
        <v>474</v>
      </c>
      <c r="L18" s="12">
        <v>324</v>
      </c>
      <c r="M18" s="12">
        <v>601</v>
      </c>
      <c r="N18" s="12">
        <v>505</v>
      </c>
      <c r="O18" s="12">
        <v>228</v>
      </c>
      <c r="P18" s="12">
        <v>433</v>
      </c>
      <c r="Q18" s="12">
        <v>428</v>
      </c>
      <c r="R18" s="12">
        <v>216</v>
      </c>
      <c r="S18" s="12">
        <v>486</v>
      </c>
      <c r="T18" s="12">
        <v>459</v>
      </c>
      <c r="U18" s="12">
        <v>155</v>
      </c>
      <c r="V18" s="12">
        <v>449</v>
      </c>
      <c r="W18" s="12">
        <v>119</v>
      </c>
      <c r="X18" s="12">
        <v>212</v>
      </c>
      <c r="Y18" s="12">
        <v>394</v>
      </c>
      <c r="Z18" s="12">
        <v>258</v>
      </c>
      <c r="AA18" s="12">
        <v>462</v>
      </c>
      <c r="AB18" s="12">
        <v>397</v>
      </c>
      <c r="AC18" s="12">
        <v>386</v>
      </c>
      <c r="AD18" s="12">
        <v>411</v>
      </c>
      <c r="AE18" s="12">
        <v>440</v>
      </c>
      <c r="AF18" s="12">
        <v>296</v>
      </c>
    </row>
    <row r="19" spans="1:32" x14ac:dyDescent="0.25">
      <c r="A19" s="19"/>
      <c r="B19" s="13" t="s">
        <v>251</v>
      </c>
      <c r="C19" s="14">
        <v>0.35</v>
      </c>
      <c r="D19" s="14">
        <v>0.3</v>
      </c>
      <c r="E19" s="14">
        <v>0.47</v>
      </c>
      <c r="F19" s="14">
        <v>0.28000000000000003</v>
      </c>
      <c r="G19" s="14">
        <v>0.26</v>
      </c>
      <c r="H19" s="14">
        <v>0.3</v>
      </c>
      <c r="I19" s="14">
        <v>0.31</v>
      </c>
      <c r="J19" s="14">
        <v>0.36</v>
      </c>
      <c r="K19" s="14">
        <v>0.47</v>
      </c>
      <c r="L19" s="14">
        <v>0.32</v>
      </c>
      <c r="M19" s="14">
        <v>0.6</v>
      </c>
      <c r="N19" s="14">
        <v>0.5</v>
      </c>
      <c r="O19" s="14">
        <v>0.23</v>
      </c>
      <c r="P19" s="14">
        <v>0.43</v>
      </c>
      <c r="Q19" s="14">
        <v>0.41</v>
      </c>
      <c r="R19" s="14">
        <v>0.43</v>
      </c>
      <c r="S19" s="14">
        <v>0.48</v>
      </c>
      <c r="T19" s="14">
        <v>0.45</v>
      </c>
      <c r="U19" s="14">
        <v>0.31</v>
      </c>
      <c r="V19" s="14">
        <v>0.44</v>
      </c>
      <c r="W19" s="14">
        <v>0.24</v>
      </c>
      <c r="X19" s="14">
        <v>0.21</v>
      </c>
      <c r="Y19" s="14">
        <v>0.39</v>
      </c>
      <c r="Z19" s="14">
        <v>0.25</v>
      </c>
      <c r="AA19" s="14">
        <v>0.45</v>
      </c>
      <c r="AB19" s="14">
        <v>0.38</v>
      </c>
      <c r="AC19" s="14">
        <v>0.38</v>
      </c>
      <c r="AD19" s="14">
        <v>0.41</v>
      </c>
      <c r="AE19" s="14">
        <v>0.44</v>
      </c>
      <c r="AF19" s="14">
        <v>0.28999999999999998</v>
      </c>
    </row>
    <row r="20" spans="1:32" ht="23.25" x14ac:dyDescent="0.25">
      <c r="A20" s="19"/>
      <c r="B20" s="11" t="s">
        <v>252</v>
      </c>
      <c r="C20" s="12">
        <v>10951</v>
      </c>
      <c r="D20" s="12">
        <v>438</v>
      </c>
      <c r="E20" s="12">
        <v>612</v>
      </c>
      <c r="F20" s="12">
        <v>479</v>
      </c>
      <c r="G20" s="12">
        <v>275</v>
      </c>
      <c r="H20" s="12">
        <v>426</v>
      </c>
      <c r="I20" s="12">
        <v>562</v>
      </c>
      <c r="J20" s="12">
        <v>136</v>
      </c>
      <c r="K20" s="12">
        <v>526</v>
      </c>
      <c r="L20" s="12">
        <v>525</v>
      </c>
      <c r="M20" s="12">
        <v>534</v>
      </c>
      <c r="N20" s="12">
        <v>427</v>
      </c>
      <c r="O20" s="12">
        <v>496</v>
      </c>
      <c r="P20" s="12">
        <v>571</v>
      </c>
      <c r="Q20" s="12">
        <v>418</v>
      </c>
      <c r="R20" s="12">
        <v>169</v>
      </c>
      <c r="S20" s="12">
        <v>412</v>
      </c>
      <c r="T20" s="12">
        <v>359</v>
      </c>
      <c r="U20" s="12">
        <v>203</v>
      </c>
      <c r="V20" s="12">
        <v>461</v>
      </c>
      <c r="W20" s="12">
        <v>203</v>
      </c>
      <c r="X20" s="12">
        <v>295</v>
      </c>
      <c r="Y20" s="12">
        <v>486</v>
      </c>
      <c r="Z20" s="12">
        <v>377</v>
      </c>
      <c r="AA20" s="12">
        <v>604</v>
      </c>
      <c r="AB20" s="12">
        <v>416</v>
      </c>
      <c r="AC20" s="12">
        <v>345</v>
      </c>
      <c r="AD20" s="12">
        <v>608</v>
      </c>
      <c r="AE20" s="12">
        <v>189</v>
      </c>
      <c r="AF20" s="12">
        <v>144</v>
      </c>
    </row>
    <row r="21" spans="1:32" ht="23.25" x14ac:dyDescent="0.25">
      <c r="A21" s="19"/>
      <c r="B21" s="13" t="s">
        <v>253</v>
      </c>
      <c r="C21" s="14">
        <v>0.41</v>
      </c>
      <c r="D21" s="14">
        <v>0.43</v>
      </c>
      <c r="E21" s="14">
        <v>0.59</v>
      </c>
      <c r="F21" s="14">
        <v>0.45</v>
      </c>
      <c r="G21" s="14">
        <v>0.27</v>
      </c>
      <c r="H21" s="14">
        <v>0.35</v>
      </c>
      <c r="I21" s="14">
        <v>0.37</v>
      </c>
      <c r="J21" s="14">
        <v>0.46</v>
      </c>
      <c r="K21" s="14">
        <v>0.52</v>
      </c>
      <c r="L21" s="14">
        <v>0.52</v>
      </c>
      <c r="M21" s="14">
        <v>0.53</v>
      </c>
      <c r="N21" s="14">
        <v>0.42</v>
      </c>
      <c r="O21" s="14">
        <v>0.49</v>
      </c>
      <c r="P21" s="14">
        <v>0.57000000000000006</v>
      </c>
      <c r="Q21" s="14">
        <v>0.4</v>
      </c>
      <c r="R21" s="14">
        <v>0.34</v>
      </c>
      <c r="S21" s="14">
        <v>0.41</v>
      </c>
      <c r="T21" s="14">
        <v>0.35</v>
      </c>
      <c r="U21" s="14">
        <v>0.4</v>
      </c>
      <c r="V21" s="14">
        <v>0.45</v>
      </c>
      <c r="W21" s="14">
        <v>0.4</v>
      </c>
      <c r="X21" s="14">
        <v>0.28999999999999998</v>
      </c>
      <c r="Y21" s="14">
        <v>0.48</v>
      </c>
      <c r="Z21" s="14">
        <v>0.37</v>
      </c>
      <c r="AA21" s="14">
        <v>0.57999999999999996</v>
      </c>
      <c r="AB21" s="14">
        <v>0.4</v>
      </c>
      <c r="AC21" s="14">
        <v>0.34</v>
      </c>
      <c r="AD21" s="14">
        <v>0.61</v>
      </c>
      <c r="AE21" s="14">
        <v>0.19</v>
      </c>
      <c r="AF21" s="14">
        <v>0.14000000000000001</v>
      </c>
    </row>
    <row r="22" spans="1:32" ht="34.5" x14ac:dyDescent="0.25">
      <c r="A22" s="19"/>
      <c r="B22" s="11" t="s">
        <v>254</v>
      </c>
      <c r="C22" s="12">
        <v>2347</v>
      </c>
      <c r="D22" s="12">
        <v>69</v>
      </c>
      <c r="E22" s="12">
        <v>84</v>
      </c>
      <c r="F22" s="12">
        <v>93</v>
      </c>
      <c r="G22" s="12">
        <v>79</v>
      </c>
      <c r="H22" s="12">
        <v>152</v>
      </c>
      <c r="I22" s="12">
        <v>184</v>
      </c>
      <c r="J22" s="12">
        <v>33</v>
      </c>
      <c r="K22" s="12">
        <v>87</v>
      </c>
      <c r="L22" s="12">
        <v>56</v>
      </c>
      <c r="M22" s="12">
        <v>57</v>
      </c>
      <c r="N22" s="12">
        <v>29</v>
      </c>
      <c r="O22" s="12">
        <v>42</v>
      </c>
      <c r="P22" s="12">
        <v>93</v>
      </c>
      <c r="Q22" s="12">
        <v>147</v>
      </c>
      <c r="R22" s="12">
        <v>19</v>
      </c>
      <c r="S22" s="12">
        <v>56</v>
      </c>
      <c r="T22" s="12">
        <v>105</v>
      </c>
      <c r="U22" s="12">
        <v>47</v>
      </c>
      <c r="V22" s="12">
        <v>127</v>
      </c>
      <c r="W22" s="12">
        <v>39</v>
      </c>
      <c r="X22" s="12">
        <v>128</v>
      </c>
      <c r="Y22" s="12">
        <v>97</v>
      </c>
      <c r="Z22" s="12">
        <v>101</v>
      </c>
      <c r="AA22" s="12">
        <v>65</v>
      </c>
      <c r="AB22" s="12">
        <v>118</v>
      </c>
      <c r="AC22" s="12">
        <v>76</v>
      </c>
      <c r="AD22" s="12">
        <v>87</v>
      </c>
      <c r="AE22" s="12">
        <v>55</v>
      </c>
      <c r="AF22" s="12">
        <v>55</v>
      </c>
    </row>
    <row r="23" spans="1:32" ht="34.5" x14ac:dyDescent="0.25">
      <c r="A23" s="19"/>
      <c r="B23" s="13" t="s">
        <v>255</v>
      </c>
      <c r="C23" s="14">
        <v>0.09</v>
      </c>
      <c r="D23" s="14">
        <v>7.0000000000000007E-2</v>
      </c>
      <c r="E23" s="14">
        <v>0.08</v>
      </c>
      <c r="F23" s="14">
        <v>0.09</v>
      </c>
      <c r="G23" s="14">
        <v>0.08</v>
      </c>
      <c r="H23" s="14">
        <v>0.12</v>
      </c>
      <c r="I23" s="14">
        <v>0.12</v>
      </c>
      <c r="J23" s="14">
        <v>0.11</v>
      </c>
      <c r="K23" s="14">
        <v>0.09</v>
      </c>
      <c r="L23" s="14">
        <v>0.06</v>
      </c>
      <c r="M23" s="14">
        <v>0.06</v>
      </c>
      <c r="N23" s="14">
        <v>0.03</v>
      </c>
      <c r="O23" s="14">
        <v>0.04</v>
      </c>
      <c r="P23" s="14">
        <v>0.09</v>
      </c>
      <c r="Q23" s="14">
        <v>0.14000000000000001</v>
      </c>
      <c r="R23" s="14">
        <v>0.04</v>
      </c>
      <c r="S23" s="14">
        <v>0.06</v>
      </c>
      <c r="T23" s="14">
        <v>0.1</v>
      </c>
      <c r="U23" s="14">
        <v>0.09</v>
      </c>
      <c r="V23" s="14">
        <v>0.12</v>
      </c>
      <c r="W23" s="14">
        <v>0.08</v>
      </c>
      <c r="X23" s="14">
        <v>0.13</v>
      </c>
      <c r="Y23" s="14">
        <v>0.1</v>
      </c>
      <c r="Z23" s="14">
        <v>0.1</v>
      </c>
      <c r="AA23" s="14">
        <v>0.06</v>
      </c>
      <c r="AB23" s="14">
        <v>0.11</v>
      </c>
      <c r="AC23" s="14">
        <v>0.08</v>
      </c>
      <c r="AD23" s="14">
        <v>0.09</v>
      </c>
      <c r="AE23" s="14">
        <v>0.06</v>
      </c>
      <c r="AF23" s="14">
        <v>0.05</v>
      </c>
    </row>
    <row r="24" spans="1:32" ht="23.25" x14ac:dyDescent="0.25">
      <c r="A24" s="19"/>
      <c r="B24" s="11" t="s">
        <v>256</v>
      </c>
      <c r="C24" s="12">
        <v>2809</v>
      </c>
      <c r="D24" s="12">
        <v>100</v>
      </c>
      <c r="E24" s="12">
        <v>118</v>
      </c>
      <c r="F24" s="12">
        <v>69</v>
      </c>
      <c r="G24" s="12">
        <v>109</v>
      </c>
      <c r="H24" s="12">
        <v>97</v>
      </c>
      <c r="I24" s="12">
        <v>119</v>
      </c>
      <c r="J24" s="12">
        <v>22</v>
      </c>
      <c r="K24" s="12">
        <v>83</v>
      </c>
      <c r="L24" s="12">
        <v>83</v>
      </c>
      <c r="M24" s="12">
        <v>148</v>
      </c>
      <c r="N24" s="12">
        <v>137</v>
      </c>
      <c r="O24" s="12">
        <v>120</v>
      </c>
      <c r="P24" s="12">
        <v>95</v>
      </c>
      <c r="Q24" s="12">
        <v>133</v>
      </c>
      <c r="R24" s="12">
        <v>89</v>
      </c>
      <c r="S24" s="12">
        <v>73</v>
      </c>
      <c r="T24" s="12">
        <v>47</v>
      </c>
      <c r="U24" s="12">
        <v>55</v>
      </c>
      <c r="V24" s="12">
        <v>71</v>
      </c>
      <c r="W24" s="12">
        <v>53</v>
      </c>
      <c r="X24" s="12">
        <v>105</v>
      </c>
      <c r="Y24" s="12">
        <v>69</v>
      </c>
      <c r="Z24" s="12">
        <v>95</v>
      </c>
      <c r="AA24" s="12">
        <v>121</v>
      </c>
      <c r="AB24" s="12">
        <v>138</v>
      </c>
      <c r="AC24" s="12">
        <v>86</v>
      </c>
      <c r="AD24" s="12">
        <v>67</v>
      </c>
      <c r="AE24" s="12">
        <v>76</v>
      </c>
      <c r="AF24" s="12">
        <v>122</v>
      </c>
    </row>
    <row r="25" spans="1:32" ht="23.25" x14ac:dyDescent="0.25">
      <c r="A25" s="19"/>
      <c r="B25" s="13" t="s">
        <v>257</v>
      </c>
      <c r="C25" s="14">
        <v>0.11</v>
      </c>
      <c r="D25" s="14">
        <v>0.1</v>
      </c>
      <c r="E25" s="14">
        <v>0.11</v>
      </c>
      <c r="F25" s="14">
        <v>0.06</v>
      </c>
      <c r="G25" s="14">
        <v>0.11</v>
      </c>
      <c r="H25" s="14">
        <v>0.08</v>
      </c>
      <c r="I25" s="14">
        <v>0.08</v>
      </c>
      <c r="J25" s="14">
        <v>7.0000000000000007E-2</v>
      </c>
      <c r="K25" s="14">
        <v>0.08</v>
      </c>
      <c r="L25" s="14">
        <v>0.08</v>
      </c>
      <c r="M25" s="14">
        <v>0.15</v>
      </c>
      <c r="N25" s="14">
        <v>0.14000000000000001</v>
      </c>
      <c r="O25" s="14">
        <v>0.12</v>
      </c>
      <c r="P25" s="14">
        <v>0.09</v>
      </c>
      <c r="Q25" s="14">
        <v>0.13</v>
      </c>
      <c r="R25" s="14">
        <v>0.18</v>
      </c>
      <c r="S25" s="14">
        <v>7.0000000000000007E-2</v>
      </c>
      <c r="T25" s="14">
        <v>0.05</v>
      </c>
      <c r="U25" s="14">
        <v>0.11</v>
      </c>
      <c r="V25" s="14">
        <v>7.0000000000000007E-2</v>
      </c>
      <c r="W25" s="14">
        <v>0.1</v>
      </c>
      <c r="X25" s="14">
        <v>0.1</v>
      </c>
      <c r="Y25" s="14">
        <v>7.0000000000000007E-2</v>
      </c>
      <c r="Z25" s="14">
        <v>0.09</v>
      </c>
      <c r="AA25" s="14">
        <v>0.12</v>
      </c>
      <c r="AB25" s="14">
        <v>0.13</v>
      </c>
      <c r="AC25" s="14">
        <v>0.09</v>
      </c>
      <c r="AD25" s="14">
        <v>7.0000000000000007E-2</v>
      </c>
      <c r="AE25" s="14">
        <v>0.08</v>
      </c>
      <c r="AF25" s="14">
        <v>0.12</v>
      </c>
    </row>
    <row r="26" spans="1:32" ht="34.5" x14ac:dyDescent="0.25">
      <c r="A26" s="19"/>
      <c r="B26" s="11" t="s">
        <v>258</v>
      </c>
      <c r="C26" s="12">
        <v>3401</v>
      </c>
      <c r="D26" s="12">
        <v>158</v>
      </c>
      <c r="E26" s="12">
        <v>124</v>
      </c>
      <c r="F26" s="12">
        <v>354</v>
      </c>
      <c r="G26" s="12">
        <v>198</v>
      </c>
      <c r="H26" s="12">
        <v>122</v>
      </c>
      <c r="I26" s="12">
        <v>158</v>
      </c>
      <c r="J26" s="12">
        <v>36</v>
      </c>
      <c r="K26" s="12">
        <v>221</v>
      </c>
      <c r="L26" s="12">
        <v>82</v>
      </c>
      <c r="M26" s="12">
        <v>124</v>
      </c>
      <c r="N26" s="12">
        <v>61</v>
      </c>
      <c r="O26" s="12">
        <v>118</v>
      </c>
      <c r="P26" s="12">
        <v>119</v>
      </c>
      <c r="Q26" s="12">
        <v>172</v>
      </c>
      <c r="R26" s="12">
        <v>12</v>
      </c>
      <c r="S26" s="12">
        <v>96</v>
      </c>
      <c r="T26" s="12">
        <v>98</v>
      </c>
      <c r="U26" s="12">
        <v>80</v>
      </c>
      <c r="V26" s="12">
        <v>148</v>
      </c>
      <c r="W26" s="12">
        <v>42</v>
      </c>
      <c r="X26" s="12">
        <v>194</v>
      </c>
      <c r="Y26" s="12">
        <v>171</v>
      </c>
      <c r="Z26" s="12">
        <v>103</v>
      </c>
      <c r="AA26" s="12">
        <v>161</v>
      </c>
      <c r="AB26" s="12">
        <v>189</v>
      </c>
      <c r="AC26" s="12">
        <v>106</v>
      </c>
      <c r="AD26" s="12">
        <v>103</v>
      </c>
      <c r="AE26" s="12">
        <v>114</v>
      </c>
      <c r="AF26" s="12">
        <v>116</v>
      </c>
    </row>
    <row r="27" spans="1:32" ht="23.25" x14ac:dyDescent="0.25">
      <c r="A27" s="19"/>
      <c r="B27" s="13" t="s">
        <v>259</v>
      </c>
      <c r="C27" s="14">
        <v>0.13</v>
      </c>
      <c r="D27" s="14">
        <v>0.16</v>
      </c>
      <c r="E27" s="14">
        <v>0.12</v>
      </c>
      <c r="F27" s="14">
        <v>0.33</v>
      </c>
      <c r="G27" s="14">
        <v>0.19</v>
      </c>
      <c r="H27" s="14">
        <v>0.1</v>
      </c>
      <c r="I27" s="14">
        <v>0.1</v>
      </c>
      <c r="J27" s="14">
        <v>0.12</v>
      </c>
      <c r="K27" s="14">
        <v>0.22</v>
      </c>
      <c r="L27" s="14">
        <v>0.08</v>
      </c>
      <c r="M27" s="14">
        <v>0.12</v>
      </c>
      <c r="N27" s="14">
        <v>0.06</v>
      </c>
      <c r="O27" s="14">
        <v>0.12</v>
      </c>
      <c r="P27" s="14">
        <v>0.12</v>
      </c>
      <c r="Q27" s="14">
        <v>0.17</v>
      </c>
      <c r="R27" s="14">
        <v>0.02</v>
      </c>
      <c r="S27" s="14">
        <v>0.1</v>
      </c>
      <c r="T27" s="14">
        <v>0.1</v>
      </c>
      <c r="U27" s="14">
        <v>0.16</v>
      </c>
      <c r="V27" s="14">
        <v>0.14000000000000001</v>
      </c>
      <c r="W27" s="14">
        <v>0.08</v>
      </c>
      <c r="X27" s="14">
        <v>0.19</v>
      </c>
      <c r="Y27" s="14">
        <v>0.17</v>
      </c>
      <c r="Z27" s="14">
        <v>0.1</v>
      </c>
      <c r="AA27" s="14">
        <v>0.16</v>
      </c>
      <c r="AB27" s="14">
        <v>0.18</v>
      </c>
      <c r="AC27" s="14">
        <v>0.11</v>
      </c>
      <c r="AD27" s="14">
        <v>0.1</v>
      </c>
      <c r="AE27" s="14">
        <v>0.11</v>
      </c>
      <c r="AF27" s="14">
        <v>0.11</v>
      </c>
    </row>
    <row r="28" spans="1:32" ht="23.25" x14ac:dyDescent="0.25">
      <c r="A28" s="19"/>
      <c r="B28" s="11" t="s">
        <v>260</v>
      </c>
      <c r="C28" s="12">
        <v>2836</v>
      </c>
      <c r="D28" s="12">
        <v>114</v>
      </c>
      <c r="E28" s="12">
        <v>213</v>
      </c>
      <c r="F28" s="12">
        <v>73</v>
      </c>
      <c r="G28" s="12">
        <v>120</v>
      </c>
      <c r="H28" s="12">
        <v>79</v>
      </c>
      <c r="I28" s="12">
        <v>110</v>
      </c>
      <c r="J28" s="12">
        <v>31</v>
      </c>
      <c r="K28" s="12">
        <v>95</v>
      </c>
      <c r="L28" s="12">
        <v>90</v>
      </c>
      <c r="M28" s="12">
        <v>181</v>
      </c>
      <c r="N28" s="12">
        <v>75</v>
      </c>
      <c r="O28" s="12">
        <v>116</v>
      </c>
      <c r="P28" s="12">
        <v>145</v>
      </c>
      <c r="Q28" s="12">
        <v>195</v>
      </c>
      <c r="R28" s="12">
        <v>64</v>
      </c>
      <c r="S28" s="12">
        <v>85</v>
      </c>
      <c r="T28" s="12">
        <v>61</v>
      </c>
      <c r="U28" s="12">
        <v>77</v>
      </c>
      <c r="V28" s="12">
        <v>96</v>
      </c>
      <c r="W28" s="12">
        <v>81</v>
      </c>
      <c r="X28" s="12">
        <v>64</v>
      </c>
      <c r="Y28" s="12">
        <v>197</v>
      </c>
      <c r="Z28" s="12">
        <v>83</v>
      </c>
      <c r="AA28" s="12">
        <v>65</v>
      </c>
      <c r="AB28" s="12">
        <v>134</v>
      </c>
      <c r="AC28" s="12">
        <v>73</v>
      </c>
      <c r="AD28" s="12">
        <v>117</v>
      </c>
      <c r="AE28" s="12">
        <v>46</v>
      </c>
      <c r="AF28" s="12">
        <v>66</v>
      </c>
    </row>
    <row r="29" spans="1:32" x14ac:dyDescent="0.25">
      <c r="A29" s="19"/>
      <c r="B29" s="13" t="s">
        <v>261</v>
      </c>
      <c r="C29" s="14">
        <v>0.11</v>
      </c>
      <c r="D29" s="14">
        <v>0.11</v>
      </c>
      <c r="E29" s="14">
        <v>0.2</v>
      </c>
      <c r="F29" s="14">
        <v>7.0000000000000007E-2</v>
      </c>
      <c r="G29" s="14">
        <v>0.12</v>
      </c>
      <c r="H29" s="14">
        <v>0.06</v>
      </c>
      <c r="I29" s="14">
        <v>7.0000000000000007E-2</v>
      </c>
      <c r="J29" s="14">
        <v>0.1</v>
      </c>
      <c r="K29" s="14">
        <v>0.09</v>
      </c>
      <c r="L29" s="14">
        <v>0.09</v>
      </c>
      <c r="M29" s="14">
        <v>0.18</v>
      </c>
      <c r="N29" s="14">
        <v>7.0000000000000007E-2</v>
      </c>
      <c r="O29" s="14">
        <v>0.12</v>
      </c>
      <c r="P29" s="14">
        <v>0.14000000000000001</v>
      </c>
      <c r="Q29" s="14">
        <v>0.19</v>
      </c>
      <c r="R29" s="14">
        <v>0.13</v>
      </c>
      <c r="S29" s="14">
        <v>0.09</v>
      </c>
      <c r="T29" s="14">
        <v>0.06</v>
      </c>
      <c r="U29" s="14">
        <v>0.15</v>
      </c>
      <c r="V29" s="14">
        <v>0.09</v>
      </c>
      <c r="W29" s="14">
        <v>0.16</v>
      </c>
      <c r="X29" s="14">
        <v>0.06</v>
      </c>
      <c r="Y29" s="14">
        <v>0.2</v>
      </c>
      <c r="Z29" s="14">
        <v>0.08</v>
      </c>
      <c r="AA29" s="14">
        <v>0.06</v>
      </c>
      <c r="AB29" s="14">
        <v>0.13</v>
      </c>
      <c r="AC29" s="14">
        <v>7.0000000000000007E-2</v>
      </c>
      <c r="AD29" s="14">
        <v>0.12</v>
      </c>
      <c r="AE29" s="14">
        <v>0.05</v>
      </c>
      <c r="AF29" s="14">
        <v>0.06</v>
      </c>
    </row>
    <row r="30" spans="1:32" x14ac:dyDescent="0.25">
      <c r="A30" s="19"/>
      <c r="B30" s="11" t="s">
        <v>262</v>
      </c>
      <c r="C30" s="12">
        <v>6328</v>
      </c>
      <c r="D30" s="12">
        <v>331</v>
      </c>
      <c r="E30" s="12">
        <v>95</v>
      </c>
      <c r="F30" s="12">
        <v>340</v>
      </c>
      <c r="G30" s="12">
        <v>256</v>
      </c>
      <c r="H30" s="12">
        <v>467</v>
      </c>
      <c r="I30" s="12">
        <v>582</v>
      </c>
      <c r="J30" s="12">
        <v>115</v>
      </c>
      <c r="K30" s="12">
        <v>126</v>
      </c>
      <c r="L30" s="12">
        <v>451</v>
      </c>
      <c r="M30" s="12">
        <v>184</v>
      </c>
      <c r="N30" s="12">
        <v>212</v>
      </c>
      <c r="O30" s="12">
        <v>200</v>
      </c>
      <c r="P30" s="12">
        <v>158</v>
      </c>
      <c r="Q30" s="12">
        <v>172</v>
      </c>
      <c r="R30" s="12">
        <v>194</v>
      </c>
      <c r="S30" s="12">
        <v>116</v>
      </c>
      <c r="T30" s="12">
        <v>212</v>
      </c>
      <c r="U30" s="12">
        <v>114</v>
      </c>
      <c r="V30" s="12">
        <v>187</v>
      </c>
      <c r="W30" s="12">
        <v>163</v>
      </c>
      <c r="X30" s="12">
        <v>411</v>
      </c>
      <c r="Y30" s="12">
        <v>291</v>
      </c>
      <c r="Z30" s="12">
        <v>188</v>
      </c>
      <c r="AA30" s="12">
        <v>116</v>
      </c>
      <c r="AB30" s="12">
        <v>93</v>
      </c>
      <c r="AC30" s="12">
        <v>216</v>
      </c>
      <c r="AD30" s="12">
        <v>146</v>
      </c>
      <c r="AE30" s="12">
        <v>142</v>
      </c>
      <c r="AF30" s="12">
        <v>259</v>
      </c>
    </row>
    <row r="31" spans="1:32" x14ac:dyDescent="0.25">
      <c r="A31" s="19"/>
      <c r="B31" s="13" t="s">
        <v>263</v>
      </c>
      <c r="C31" s="14">
        <v>0.24</v>
      </c>
      <c r="D31" s="14">
        <v>0.32</v>
      </c>
      <c r="E31" s="14">
        <v>0.09</v>
      </c>
      <c r="F31" s="14">
        <v>0.32</v>
      </c>
      <c r="G31" s="14">
        <v>0.25</v>
      </c>
      <c r="H31" s="14">
        <v>0.38</v>
      </c>
      <c r="I31" s="14">
        <v>0.38</v>
      </c>
      <c r="J31" s="14">
        <v>0.39</v>
      </c>
      <c r="K31" s="14">
        <v>0.13</v>
      </c>
      <c r="L31" s="14">
        <v>0.45</v>
      </c>
      <c r="M31" s="14">
        <v>0.18</v>
      </c>
      <c r="N31" s="14">
        <v>0.21</v>
      </c>
      <c r="O31" s="14">
        <v>0.2</v>
      </c>
      <c r="P31" s="14">
        <v>0.16</v>
      </c>
      <c r="Q31" s="14">
        <v>0.17</v>
      </c>
      <c r="R31" s="14">
        <v>0.39</v>
      </c>
      <c r="S31" s="14">
        <v>0.12</v>
      </c>
      <c r="T31" s="14">
        <v>0.21</v>
      </c>
      <c r="U31" s="14">
        <v>0.22</v>
      </c>
      <c r="V31" s="14">
        <v>0.18</v>
      </c>
      <c r="W31" s="14">
        <v>0.33</v>
      </c>
      <c r="X31" s="14">
        <v>0.41</v>
      </c>
      <c r="Y31" s="14">
        <v>0.28999999999999998</v>
      </c>
      <c r="Z31" s="14">
        <v>0.18</v>
      </c>
      <c r="AA31" s="14">
        <v>0.11</v>
      </c>
      <c r="AB31" s="14">
        <v>0.09</v>
      </c>
      <c r="AC31" s="14">
        <v>0.21</v>
      </c>
      <c r="AD31" s="14">
        <v>0.15</v>
      </c>
      <c r="AE31" s="14">
        <v>0.14000000000000001</v>
      </c>
      <c r="AF31" s="14">
        <v>0.25</v>
      </c>
    </row>
    <row r="32" spans="1:32" ht="23.25" x14ac:dyDescent="0.25">
      <c r="A32" s="19"/>
      <c r="B32" s="11" t="s">
        <v>264</v>
      </c>
      <c r="C32" s="12">
        <v>4625</v>
      </c>
      <c r="D32" s="12">
        <v>234</v>
      </c>
      <c r="E32" s="12">
        <v>95</v>
      </c>
      <c r="F32" s="12">
        <v>183</v>
      </c>
      <c r="G32" s="12">
        <v>263</v>
      </c>
      <c r="H32" s="12">
        <v>196</v>
      </c>
      <c r="I32" s="12">
        <v>280</v>
      </c>
      <c r="J32" s="12">
        <v>84</v>
      </c>
      <c r="K32" s="12">
        <v>83</v>
      </c>
      <c r="L32" s="12">
        <v>136</v>
      </c>
      <c r="M32" s="12">
        <v>84</v>
      </c>
      <c r="N32" s="12">
        <v>98</v>
      </c>
      <c r="O32" s="12">
        <v>230</v>
      </c>
      <c r="P32" s="12">
        <v>151</v>
      </c>
      <c r="Q32" s="12">
        <v>228</v>
      </c>
      <c r="R32" s="12">
        <v>56</v>
      </c>
      <c r="S32" s="12">
        <v>72</v>
      </c>
      <c r="T32" s="12">
        <v>75</v>
      </c>
      <c r="U32" s="12">
        <v>96</v>
      </c>
      <c r="V32" s="12">
        <v>130</v>
      </c>
      <c r="W32" s="12">
        <v>76</v>
      </c>
      <c r="X32" s="12">
        <v>185</v>
      </c>
      <c r="Y32" s="12">
        <v>138</v>
      </c>
      <c r="Z32" s="12">
        <v>167</v>
      </c>
      <c r="AA32" s="12">
        <v>115</v>
      </c>
      <c r="AB32" s="12">
        <v>122</v>
      </c>
      <c r="AC32" s="12">
        <v>132</v>
      </c>
      <c r="AD32" s="12">
        <v>89</v>
      </c>
      <c r="AE32" s="12">
        <v>178</v>
      </c>
      <c r="AF32" s="12">
        <v>321</v>
      </c>
    </row>
    <row r="33" spans="1:32" ht="23.25" x14ac:dyDescent="0.25">
      <c r="A33" s="19"/>
      <c r="B33" s="13" t="s">
        <v>265</v>
      </c>
      <c r="C33" s="14">
        <v>0.17</v>
      </c>
      <c r="D33" s="14">
        <v>0.23</v>
      </c>
      <c r="E33" s="14">
        <v>0.09</v>
      </c>
      <c r="F33" s="14">
        <v>0.17</v>
      </c>
      <c r="G33" s="14">
        <v>0.26</v>
      </c>
      <c r="H33" s="14">
        <v>0.16</v>
      </c>
      <c r="I33" s="14">
        <v>0.18</v>
      </c>
      <c r="J33" s="14">
        <v>0.28000000000000003</v>
      </c>
      <c r="K33" s="14">
        <v>0.08</v>
      </c>
      <c r="L33" s="14">
        <v>0.13</v>
      </c>
      <c r="M33" s="14">
        <v>0.08</v>
      </c>
      <c r="N33" s="14">
        <v>0.1</v>
      </c>
      <c r="O33" s="14">
        <v>0.23</v>
      </c>
      <c r="P33" s="14">
        <v>0.15</v>
      </c>
      <c r="Q33" s="14">
        <v>0.22</v>
      </c>
      <c r="R33" s="14">
        <v>0.11</v>
      </c>
      <c r="S33" s="14">
        <v>7.0000000000000007E-2</v>
      </c>
      <c r="T33" s="14">
        <v>7.0000000000000007E-2</v>
      </c>
      <c r="U33" s="14">
        <v>0.19</v>
      </c>
      <c r="V33" s="14">
        <v>0.13</v>
      </c>
      <c r="W33" s="14">
        <v>0.15</v>
      </c>
      <c r="X33" s="14">
        <v>0.18</v>
      </c>
      <c r="Y33" s="14">
        <v>0.14000000000000001</v>
      </c>
      <c r="Z33" s="14">
        <v>0.16</v>
      </c>
      <c r="AA33" s="14">
        <v>0.11</v>
      </c>
      <c r="AB33" s="14">
        <v>0.12</v>
      </c>
      <c r="AC33" s="14">
        <v>0.13</v>
      </c>
      <c r="AD33" s="14">
        <v>0.09</v>
      </c>
      <c r="AE33" s="14">
        <v>0.18</v>
      </c>
      <c r="AF33" s="14">
        <v>0.31</v>
      </c>
    </row>
    <row r="34" spans="1:32" ht="23.25" x14ac:dyDescent="0.25">
      <c r="A34" s="19"/>
      <c r="B34" s="11" t="s">
        <v>266</v>
      </c>
      <c r="C34" s="12">
        <v>6153</v>
      </c>
      <c r="D34" s="12">
        <v>213</v>
      </c>
      <c r="E34" s="12">
        <v>188</v>
      </c>
      <c r="F34" s="12">
        <v>195</v>
      </c>
      <c r="G34" s="12">
        <v>327</v>
      </c>
      <c r="H34" s="12">
        <v>496</v>
      </c>
      <c r="I34" s="12">
        <v>583</v>
      </c>
      <c r="J34" s="12">
        <v>87</v>
      </c>
      <c r="K34" s="12">
        <v>122</v>
      </c>
      <c r="L34" s="12">
        <v>119</v>
      </c>
      <c r="M34" s="12">
        <v>281</v>
      </c>
      <c r="N34" s="12">
        <v>163</v>
      </c>
      <c r="O34" s="12">
        <v>137</v>
      </c>
      <c r="P34" s="12">
        <v>139</v>
      </c>
      <c r="Q34" s="12">
        <v>186</v>
      </c>
      <c r="R34" s="12">
        <v>137</v>
      </c>
      <c r="S34" s="12">
        <v>179</v>
      </c>
      <c r="T34" s="12">
        <v>119</v>
      </c>
      <c r="U34" s="12">
        <v>96</v>
      </c>
      <c r="V34" s="12">
        <v>234</v>
      </c>
      <c r="W34" s="12">
        <v>107</v>
      </c>
      <c r="X34" s="12">
        <v>306</v>
      </c>
      <c r="Y34" s="12">
        <v>276</v>
      </c>
      <c r="Z34" s="12">
        <v>196</v>
      </c>
      <c r="AA34" s="12">
        <v>111</v>
      </c>
      <c r="AB34" s="12">
        <v>262</v>
      </c>
      <c r="AC34" s="12">
        <v>142</v>
      </c>
      <c r="AD34" s="12">
        <v>214</v>
      </c>
      <c r="AE34" s="12">
        <v>356</v>
      </c>
      <c r="AF34" s="12">
        <v>503</v>
      </c>
    </row>
    <row r="35" spans="1:32" ht="23.25" x14ac:dyDescent="0.25">
      <c r="A35" s="19"/>
      <c r="B35" s="13" t="s">
        <v>267</v>
      </c>
      <c r="C35" s="14">
        <v>0.23</v>
      </c>
      <c r="D35" s="14">
        <v>0.21</v>
      </c>
      <c r="E35" s="14">
        <v>0.18</v>
      </c>
      <c r="F35" s="14">
        <v>0.18</v>
      </c>
      <c r="G35" s="14">
        <v>0.32</v>
      </c>
      <c r="H35" s="14">
        <v>0.4</v>
      </c>
      <c r="I35" s="14">
        <v>0.38</v>
      </c>
      <c r="J35" s="14">
        <v>0.28999999999999998</v>
      </c>
      <c r="K35" s="14">
        <v>0.12</v>
      </c>
      <c r="L35" s="14">
        <v>0.12</v>
      </c>
      <c r="M35" s="14">
        <v>0.28000000000000003</v>
      </c>
      <c r="N35" s="14">
        <v>0.16</v>
      </c>
      <c r="O35" s="14">
        <v>0.14000000000000001</v>
      </c>
      <c r="P35" s="14">
        <v>0.14000000000000001</v>
      </c>
      <c r="Q35" s="14">
        <v>0.18</v>
      </c>
      <c r="R35" s="14">
        <v>0.27</v>
      </c>
      <c r="S35" s="14">
        <v>0.18</v>
      </c>
      <c r="T35" s="14">
        <v>0.12</v>
      </c>
      <c r="U35" s="14">
        <v>0.19</v>
      </c>
      <c r="V35" s="14">
        <v>0.23</v>
      </c>
      <c r="W35" s="14">
        <v>0.21</v>
      </c>
      <c r="X35" s="14">
        <v>0.3</v>
      </c>
      <c r="Y35" s="14">
        <v>0.28000000000000003</v>
      </c>
      <c r="Z35" s="14">
        <v>0.19</v>
      </c>
      <c r="AA35" s="14">
        <v>0.11</v>
      </c>
      <c r="AB35" s="14">
        <v>0.25</v>
      </c>
      <c r="AC35" s="14">
        <v>0.14000000000000001</v>
      </c>
      <c r="AD35" s="14">
        <v>0.21</v>
      </c>
      <c r="AE35" s="14">
        <v>0.36</v>
      </c>
      <c r="AF35" s="14">
        <v>0.49</v>
      </c>
    </row>
    <row r="36" spans="1:32" ht="23.25" x14ac:dyDescent="0.25">
      <c r="A36" s="19"/>
      <c r="B36" s="11" t="s">
        <v>268</v>
      </c>
      <c r="C36" s="12">
        <v>8982</v>
      </c>
      <c r="D36" s="12">
        <v>381</v>
      </c>
      <c r="E36" s="12">
        <v>204</v>
      </c>
      <c r="F36" s="12">
        <v>461</v>
      </c>
      <c r="G36" s="12">
        <v>584</v>
      </c>
      <c r="H36" s="12">
        <v>579</v>
      </c>
      <c r="I36" s="12">
        <v>688</v>
      </c>
      <c r="J36" s="12">
        <v>109</v>
      </c>
      <c r="K36" s="12">
        <v>479</v>
      </c>
      <c r="L36" s="12">
        <v>189</v>
      </c>
      <c r="M36" s="12">
        <v>185</v>
      </c>
      <c r="N36" s="12">
        <v>151</v>
      </c>
      <c r="O36" s="12">
        <v>282</v>
      </c>
      <c r="P36" s="12">
        <v>234</v>
      </c>
      <c r="Q36" s="12">
        <v>316</v>
      </c>
      <c r="R36" s="12">
        <v>192</v>
      </c>
      <c r="S36" s="12">
        <v>408</v>
      </c>
      <c r="T36" s="12">
        <v>507</v>
      </c>
      <c r="U36" s="12">
        <v>204</v>
      </c>
      <c r="V36" s="12">
        <v>266</v>
      </c>
      <c r="W36" s="12">
        <v>97</v>
      </c>
      <c r="X36" s="12">
        <v>581</v>
      </c>
      <c r="Y36" s="12">
        <v>301</v>
      </c>
      <c r="Z36" s="12">
        <v>451</v>
      </c>
      <c r="AA36" s="12">
        <v>229</v>
      </c>
      <c r="AB36" s="12">
        <v>282</v>
      </c>
      <c r="AC36" s="12">
        <v>236</v>
      </c>
      <c r="AD36" s="12">
        <v>344</v>
      </c>
      <c r="AE36" s="12">
        <v>560</v>
      </c>
      <c r="AF36" s="12">
        <v>439</v>
      </c>
    </row>
    <row r="37" spans="1:32" x14ac:dyDescent="0.25">
      <c r="A37" s="19"/>
      <c r="B37" s="13" t="s">
        <v>269</v>
      </c>
      <c r="C37" s="14">
        <v>0.34</v>
      </c>
      <c r="D37" s="14">
        <v>0.37</v>
      </c>
      <c r="E37" s="14">
        <v>0.19</v>
      </c>
      <c r="F37" s="14">
        <v>0.43</v>
      </c>
      <c r="G37" s="14">
        <v>0.57000000000000006</v>
      </c>
      <c r="H37" s="14">
        <v>0.47</v>
      </c>
      <c r="I37" s="14">
        <v>0.45</v>
      </c>
      <c r="J37" s="14">
        <v>0.37</v>
      </c>
      <c r="K37" s="14">
        <v>0.48</v>
      </c>
      <c r="L37" s="14">
        <v>0.19</v>
      </c>
      <c r="M37" s="14">
        <v>0.18</v>
      </c>
      <c r="N37" s="14">
        <v>0.15</v>
      </c>
      <c r="O37" s="14">
        <v>0.28000000000000003</v>
      </c>
      <c r="P37" s="14">
        <v>0.23</v>
      </c>
      <c r="Q37" s="14">
        <v>0.31</v>
      </c>
      <c r="R37" s="14">
        <v>0.38</v>
      </c>
      <c r="S37" s="14">
        <v>0.41</v>
      </c>
      <c r="T37" s="14">
        <v>0.5</v>
      </c>
      <c r="U37" s="14">
        <v>0.4</v>
      </c>
      <c r="V37" s="14">
        <v>0.26</v>
      </c>
      <c r="W37" s="14">
        <v>0.19</v>
      </c>
      <c r="X37" s="14">
        <v>0.57999999999999996</v>
      </c>
      <c r="Y37" s="14">
        <v>0.3</v>
      </c>
      <c r="Z37" s="14">
        <v>0.44</v>
      </c>
      <c r="AA37" s="14">
        <v>0.22</v>
      </c>
      <c r="AB37" s="14">
        <v>0.27</v>
      </c>
      <c r="AC37" s="14">
        <v>0.23</v>
      </c>
      <c r="AD37" s="14">
        <v>0.34</v>
      </c>
      <c r="AE37" s="14">
        <v>0.56000000000000005</v>
      </c>
      <c r="AF37" s="14">
        <v>0.43</v>
      </c>
    </row>
    <row r="38" spans="1:32" ht="23.25" x14ac:dyDescent="0.25">
      <c r="A38" s="19"/>
      <c r="B38" s="11" t="s">
        <v>270</v>
      </c>
      <c r="C38" s="12">
        <v>4759</v>
      </c>
      <c r="D38" s="12">
        <v>141</v>
      </c>
      <c r="E38" s="12">
        <v>220</v>
      </c>
      <c r="F38" s="12">
        <v>217</v>
      </c>
      <c r="G38" s="12">
        <v>152</v>
      </c>
      <c r="H38" s="12">
        <v>165</v>
      </c>
      <c r="I38" s="12">
        <v>221</v>
      </c>
      <c r="J38" s="12">
        <v>57</v>
      </c>
      <c r="K38" s="12">
        <v>211</v>
      </c>
      <c r="L38" s="12">
        <v>117</v>
      </c>
      <c r="M38" s="12">
        <v>205</v>
      </c>
      <c r="N38" s="12">
        <v>152</v>
      </c>
      <c r="O38" s="12">
        <v>168</v>
      </c>
      <c r="P38" s="12">
        <v>279</v>
      </c>
      <c r="Q38" s="12">
        <v>162</v>
      </c>
      <c r="R38" s="12">
        <v>19</v>
      </c>
      <c r="S38" s="12">
        <v>140</v>
      </c>
      <c r="T38" s="12">
        <v>138</v>
      </c>
      <c r="U38" s="12">
        <v>87</v>
      </c>
      <c r="V38" s="12">
        <v>286</v>
      </c>
      <c r="W38" s="12">
        <v>81</v>
      </c>
      <c r="X38" s="12">
        <v>173</v>
      </c>
      <c r="Y38" s="12">
        <v>191</v>
      </c>
      <c r="Z38" s="12">
        <v>241</v>
      </c>
      <c r="AA38" s="12">
        <v>179</v>
      </c>
      <c r="AB38" s="12">
        <v>252</v>
      </c>
      <c r="AC38" s="12">
        <v>396</v>
      </c>
      <c r="AD38" s="12">
        <v>398</v>
      </c>
      <c r="AE38" s="12">
        <v>293</v>
      </c>
      <c r="AF38" s="12">
        <v>239</v>
      </c>
    </row>
    <row r="39" spans="1:32" ht="23.25" x14ac:dyDescent="0.25">
      <c r="A39" s="19"/>
      <c r="B39" s="13" t="s">
        <v>271</v>
      </c>
      <c r="C39" s="14">
        <v>0.18</v>
      </c>
      <c r="D39" s="14">
        <v>0.14000000000000001</v>
      </c>
      <c r="E39" s="14">
        <v>0.21</v>
      </c>
      <c r="F39" s="14">
        <v>0.2</v>
      </c>
      <c r="G39" s="14">
        <v>0.15</v>
      </c>
      <c r="H39" s="14">
        <v>0.13</v>
      </c>
      <c r="I39" s="14">
        <v>0.14000000000000001</v>
      </c>
      <c r="J39" s="14">
        <v>0.19</v>
      </c>
      <c r="K39" s="14">
        <v>0.21</v>
      </c>
      <c r="L39" s="14">
        <v>0.12</v>
      </c>
      <c r="M39" s="14">
        <v>0.2</v>
      </c>
      <c r="N39" s="14">
        <v>0.15</v>
      </c>
      <c r="O39" s="14">
        <v>0.17</v>
      </c>
      <c r="P39" s="14">
        <v>0.28000000000000003</v>
      </c>
      <c r="Q39" s="14">
        <v>0.16</v>
      </c>
      <c r="R39" s="14">
        <v>0.04</v>
      </c>
      <c r="S39" s="14">
        <v>0.14000000000000001</v>
      </c>
      <c r="T39" s="14">
        <v>0.13</v>
      </c>
      <c r="U39" s="14">
        <v>0.17</v>
      </c>
      <c r="V39" s="14">
        <v>0.28000000000000003</v>
      </c>
      <c r="W39" s="14">
        <v>0.16</v>
      </c>
      <c r="X39" s="14">
        <v>0.17</v>
      </c>
      <c r="Y39" s="14">
        <v>0.19</v>
      </c>
      <c r="Z39" s="14">
        <v>0.24</v>
      </c>
      <c r="AA39" s="14">
        <v>0.17</v>
      </c>
      <c r="AB39" s="14">
        <v>0.24</v>
      </c>
      <c r="AC39" s="14">
        <v>0.39</v>
      </c>
      <c r="AD39" s="14">
        <v>0.4</v>
      </c>
      <c r="AE39" s="14">
        <v>0.28999999999999998</v>
      </c>
      <c r="AF39" s="14">
        <v>0.23</v>
      </c>
    </row>
    <row r="40" spans="1:32" ht="23.25" x14ac:dyDescent="0.25">
      <c r="A40" s="19"/>
      <c r="B40" s="11" t="s">
        <v>272</v>
      </c>
      <c r="C40" s="12">
        <v>2613</v>
      </c>
      <c r="D40" s="12">
        <v>66</v>
      </c>
      <c r="E40" s="12">
        <v>75</v>
      </c>
      <c r="F40" s="12">
        <v>70</v>
      </c>
      <c r="G40" s="12">
        <v>138</v>
      </c>
      <c r="H40" s="12">
        <v>85</v>
      </c>
      <c r="I40" s="12">
        <v>112</v>
      </c>
      <c r="J40" s="12">
        <v>27</v>
      </c>
      <c r="K40" s="12">
        <v>53</v>
      </c>
      <c r="L40" s="12">
        <v>90</v>
      </c>
      <c r="M40" s="12">
        <v>48</v>
      </c>
      <c r="N40" s="12">
        <v>89</v>
      </c>
      <c r="O40" s="12">
        <v>123</v>
      </c>
      <c r="P40" s="12">
        <v>124</v>
      </c>
      <c r="Q40" s="12">
        <v>112</v>
      </c>
      <c r="R40" s="12">
        <v>21</v>
      </c>
      <c r="S40" s="12">
        <v>57</v>
      </c>
      <c r="T40" s="12">
        <v>40</v>
      </c>
      <c r="U40" s="12">
        <v>56</v>
      </c>
      <c r="V40" s="12">
        <v>115</v>
      </c>
      <c r="W40" s="12">
        <v>53</v>
      </c>
      <c r="X40" s="12">
        <v>63</v>
      </c>
      <c r="Y40" s="12">
        <v>181</v>
      </c>
      <c r="Z40" s="12">
        <v>112</v>
      </c>
      <c r="AA40" s="12">
        <v>122</v>
      </c>
      <c r="AB40" s="12">
        <v>89</v>
      </c>
      <c r="AC40" s="12">
        <v>53</v>
      </c>
      <c r="AD40" s="12">
        <v>45</v>
      </c>
      <c r="AE40" s="12">
        <v>137</v>
      </c>
      <c r="AF40" s="12">
        <v>262</v>
      </c>
    </row>
    <row r="41" spans="1:32" ht="23.25" x14ac:dyDescent="0.25">
      <c r="A41" s="19"/>
      <c r="B41" s="13" t="s">
        <v>273</v>
      </c>
      <c r="C41" s="14">
        <v>0.1</v>
      </c>
      <c r="D41" s="14">
        <v>0.06</v>
      </c>
      <c r="E41" s="14">
        <v>7.0000000000000007E-2</v>
      </c>
      <c r="F41" s="14">
        <v>7.0000000000000007E-2</v>
      </c>
      <c r="G41" s="14">
        <v>0.14000000000000001</v>
      </c>
      <c r="H41" s="14">
        <v>7.0000000000000007E-2</v>
      </c>
      <c r="I41" s="14">
        <v>7.0000000000000007E-2</v>
      </c>
      <c r="J41" s="14">
        <v>0.09</v>
      </c>
      <c r="K41" s="14">
        <v>0.05</v>
      </c>
      <c r="L41" s="14">
        <v>0.09</v>
      </c>
      <c r="M41" s="14">
        <v>0.05</v>
      </c>
      <c r="N41" s="14">
        <v>0.09</v>
      </c>
      <c r="O41" s="14">
        <v>0.12</v>
      </c>
      <c r="P41" s="14">
        <v>0.12</v>
      </c>
      <c r="Q41" s="14">
        <v>0.11</v>
      </c>
      <c r="R41" s="14">
        <v>0.04</v>
      </c>
      <c r="S41" s="14">
        <v>0.06</v>
      </c>
      <c r="T41" s="14">
        <v>0.04</v>
      </c>
      <c r="U41" s="14">
        <v>0.11</v>
      </c>
      <c r="V41" s="14">
        <v>0.11</v>
      </c>
      <c r="W41" s="14">
        <v>0.1</v>
      </c>
      <c r="X41" s="14">
        <v>0.06</v>
      </c>
      <c r="Y41" s="14">
        <v>0.18</v>
      </c>
      <c r="Z41" s="14">
        <v>0.11</v>
      </c>
      <c r="AA41" s="14">
        <v>0.12</v>
      </c>
      <c r="AB41" s="14">
        <v>0.09</v>
      </c>
      <c r="AC41" s="14">
        <v>0.05</v>
      </c>
      <c r="AD41" s="14">
        <v>0.05</v>
      </c>
      <c r="AE41" s="14">
        <v>0.14000000000000001</v>
      </c>
      <c r="AF41" s="14">
        <v>0.25</v>
      </c>
    </row>
    <row r="42" spans="1:32" x14ac:dyDescent="0.25">
      <c r="A42" s="19"/>
      <c r="B42" s="11" t="s">
        <v>274</v>
      </c>
      <c r="C42" s="12">
        <v>141</v>
      </c>
      <c r="D42" s="12">
        <v>1</v>
      </c>
      <c r="E42" s="12">
        <v>3</v>
      </c>
      <c r="F42" s="12">
        <v>4</v>
      </c>
      <c r="G42" s="12">
        <v>2</v>
      </c>
      <c r="H42" s="12">
        <v>19</v>
      </c>
      <c r="I42" s="12">
        <v>19</v>
      </c>
      <c r="J42" s="12">
        <v>0</v>
      </c>
      <c r="K42" s="12">
        <v>22</v>
      </c>
      <c r="L42" s="12">
        <v>14</v>
      </c>
      <c r="M42" s="12">
        <v>5</v>
      </c>
      <c r="N42" s="12">
        <v>6</v>
      </c>
      <c r="O42" s="12">
        <v>5</v>
      </c>
      <c r="P42" s="12">
        <v>4</v>
      </c>
      <c r="Q42" s="12">
        <v>2</v>
      </c>
      <c r="R42" s="12">
        <v>4</v>
      </c>
      <c r="S42" s="12">
        <v>13</v>
      </c>
      <c r="T42" s="12">
        <v>2</v>
      </c>
      <c r="U42" s="12">
        <v>8</v>
      </c>
      <c r="V42" s="12">
        <v>0</v>
      </c>
      <c r="W42" s="12">
        <v>2</v>
      </c>
      <c r="X42" s="12">
        <v>1</v>
      </c>
      <c r="Y42" s="12">
        <v>21</v>
      </c>
      <c r="Z42" s="12">
        <v>0</v>
      </c>
      <c r="AA42" s="12">
        <v>4</v>
      </c>
      <c r="AB42" s="12">
        <v>0</v>
      </c>
      <c r="AC42" s="12">
        <v>3</v>
      </c>
      <c r="AD42" s="12">
        <v>2</v>
      </c>
      <c r="AE42" s="12">
        <v>3</v>
      </c>
      <c r="AF42" s="12">
        <v>4</v>
      </c>
    </row>
    <row r="43" spans="1:32" x14ac:dyDescent="0.25">
      <c r="A43" s="19"/>
      <c r="B43" s="13" t="s">
        <v>275</v>
      </c>
      <c r="C43" s="14">
        <v>0.01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4">
        <v>0.02</v>
      </c>
      <c r="I43" s="14">
        <v>0.01</v>
      </c>
      <c r="J43" s="15" t="s">
        <v>213</v>
      </c>
      <c r="K43" s="14">
        <v>0.02</v>
      </c>
      <c r="L43" s="14">
        <v>0.01</v>
      </c>
      <c r="M43" s="14">
        <v>0.01</v>
      </c>
      <c r="N43" s="14">
        <v>0.01</v>
      </c>
      <c r="O43" s="15" t="s">
        <v>213</v>
      </c>
      <c r="P43" s="15" t="s">
        <v>213</v>
      </c>
      <c r="Q43" s="15" t="s">
        <v>213</v>
      </c>
      <c r="R43" s="14">
        <v>0.01</v>
      </c>
      <c r="S43" s="14">
        <v>0.01</v>
      </c>
      <c r="T43" s="15" t="s">
        <v>213</v>
      </c>
      <c r="U43" s="14">
        <v>0.02</v>
      </c>
      <c r="V43" s="15" t="s">
        <v>213</v>
      </c>
      <c r="W43" s="15" t="s">
        <v>213</v>
      </c>
      <c r="X43" s="15" t="s">
        <v>213</v>
      </c>
      <c r="Y43" s="14">
        <v>0.02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104</v>
      </c>
      <c r="D44" s="12">
        <v>3</v>
      </c>
      <c r="E44" s="12">
        <v>9</v>
      </c>
      <c r="F44" s="12">
        <v>10</v>
      </c>
      <c r="G44" s="12">
        <v>2</v>
      </c>
      <c r="H44" s="12">
        <v>7</v>
      </c>
      <c r="I44" s="12">
        <v>7</v>
      </c>
      <c r="J44" s="12">
        <v>0</v>
      </c>
      <c r="K44" s="12">
        <v>6</v>
      </c>
      <c r="L44" s="12">
        <v>2</v>
      </c>
      <c r="M44" s="12">
        <v>0</v>
      </c>
      <c r="N44" s="12">
        <v>3</v>
      </c>
      <c r="O44" s="12">
        <v>6</v>
      </c>
      <c r="P44" s="12">
        <v>1</v>
      </c>
      <c r="Q44" s="12">
        <v>3</v>
      </c>
      <c r="R44" s="12">
        <v>1</v>
      </c>
      <c r="S44" s="12">
        <v>3</v>
      </c>
      <c r="T44" s="12">
        <v>5</v>
      </c>
      <c r="U44" s="12">
        <v>0</v>
      </c>
      <c r="V44" s="12">
        <v>0</v>
      </c>
      <c r="W44" s="12">
        <v>2</v>
      </c>
      <c r="X44" s="12">
        <v>10</v>
      </c>
      <c r="Y44" s="12">
        <v>5</v>
      </c>
      <c r="Z44" s="12">
        <v>2</v>
      </c>
      <c r="AA44" s="12">
        <v>0</v>
      </c>
      <c r="AB44" s="12">
        <v>4</v>
      </c>
      <c r="AC44" s="12">
        <v>4</v>
      </c>
      <c r="AD44" s="12">
        <v>0</v>
      </c>
      <c r="AE44" s="12">
        <v>3</v>
      </c>
      <c r="AF44" s="12">
        <v>3</v>
      </c>
    </row>
    <row r="45" spans="1:32" x14ac:dyDescent="0.25">
      <c r="A45" s="19"/>
      <c r="B45" s="13" t="s">
        <v>277</v>
      </c>
      <c r="C45" s="15" t="s">
        <v>213</v>
      </c>
      <c r="D45" s="15" t="s">
        <v>213</v>
      </c>
      <c r="E45" s="14">
        <v>0.01</v>
      </c>
      <c r="F45" s="14">
        <v>0.01</v>
      </c>
      <c r="G45" s="15" t="s">
        <v>213</v>
      </c>
      <c r="H45" s="14">
        <v>0.01</v>
      </c>
      <c r="I45" s="15" t="s">
        <v>213</v>
      </c>
      <c r="J45" s="15" t="s">
        <v>213</v>
      </c>
      <c r="K45" s="14">
        <v>0.01</v>
      </c>
      <c r="L45" s="15" t="s">
        <v>213</v>
      </c>
      <c r="M45" s="15" t="s">
        <v>213</v>
      </c>
      <c r="N45" s="15" t="s">
        <v>213</v>
      </c>
      <c r="O45" s="14">
        <v>0.01</v>
      </c>
      <c r="P45" s="15" t="s">
        <v>213</v>
      </c>
      <c r="Q45" s="15" t="s">
        <v>213</v>
      </c>
      <c r="R45" s="15" t="s">
        <v>213</v>
      </c>
      <c r="S45" s="15" t="s">
        <v>213</v>
      </c>
      <c r="T45" s="14">
        <v>0.01</v>
      </c>
      <c r="U45" s="15" t="s">
        <v>213</v>
      </c>
      <c r="V45" s="15" t="s">
        <v>213</v>
      </c>
      <c r="W45" s="15" t="s">
        <v>213</v>
      </c>
      <c r="X45" s="14">
        <v>0.01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5" t="s">
        <v>213</v>
      </c>
      <c r="AF45" s="15" t="s">
        <v>213</v>
      </c>
    </row>
    <row r="46" spans="1:32" x14ac:dyDescent="0.25">
      <c r="A46" s="19"/>
      <c r="B46" s="11" t="s">
        <v>224</v>
      </c>
      <c r="C46" s="12">
        <v>106</v>
      </c>
      <c r="D46" s="12">
        <v>1</v>
      </c>
      <c r="E46" s="12">
        <v>14</v>
      </c>
      <c r="F46" s="12">
        <v>11</v>
      </c>
      <c r="G46" s="12">
        <v>8</v>
      </c>
      <c r="H46" s="12">
        <v>5</v>
      </c>
      <c r="I46" s="12">
        <v>5</v>
      </c>
      <c r="J46" s="12">
        <v>0</v>
      </c>
      <c r="K46" s="12">
        <v>6</v>
      </c>
      <c r="L46" s="12">
        <v>3</v>
      </c>
      <c r="M46" s="12">
        <v>1</v>
      </c>
      <c r="N46" s="12">
        <v>3</v>
      </c>
      <c r="O46" s="12">
        <v>6</v>
      </c>
      <c r="P46" s="12">
        <v>4</v>
      </c>
      <c r="Q46" s="12">
        <v>5</v>
      </c>
      <c r="R46" s="12">
        <v>2</v>
      </c>
      <c r="S46" s="12">
        <v>14</v>
      </c>
      <c r="T46" s="12">
        <v>8</v>
      </c>
      <c r="U46" s="12">
        <v>1</v>
      </c>
      <c r="V46" s="12">
        <v>3</v>
      </c>
      <c r="W46" s="12">
        <v>3</v>
      </c>
      <c r="X46" s="12">
        <v>0</v>
      </c>
      <c r="Y46" s="12">
        <v>1</v>
      </c>
      <c r="Z46" s="12">
        <v>2</v>
      </c>
      <c r="AA46" s="12">
        <v>4</v>
      </c>
      <c r="AB46" s="12">
        <v>11</v>
      </c>
      <c r="AC46" s="12">
        <v>1</v>
      </c>
      <c r="AD46" s="12">
        <v>0</v>
      </c>
      <c r="AE46" s="12">
        <v>1</v>
      </c>
      <c r="AF46" s="12">
        <v>0</v>
      </c>
    </row>
    <row r="47" spans="1:32" x14ac:dyDescent="0.25">
      <c r="A47" s="19"/>
      <c r="B47" s="13" t="s">
        <v>237</v>
      </c>
      <c r="C47" s="15" t="s">
        <v>213</v>
      </c>
      <c r="D47" s="15" t="s">
        <v>213</v>
      </c>
      <c r="E47" s="14">
        <v>0.01</v>
      </c>
      <c r="F47" s="14">
        <v>0.01</v>
      </c>
      <c r="G47" s="14">
        <v>0.01</v>
      </c>
      <c r="H47" s="15" t="s">
        <v>213</v>
      </c>
      <c r="I47" s="15" t="s">
        <v>213</v>
      </c>
      <c r="J47" s="15" t="s">
        <v>213</v>
      </c>
      <c r="K47" s="14">
        <v>0.01</v>
      </c>
      <c r="L47" s="15" t="s">
        <v>213</v>
      </c>
      <c r="M47" s="15" t="s">
        <v>213</v>
      </c>
      <c r="N47" s="15" t="s">
        <v>213</v>
      </c>
      <c r="O47" s="14">
        <v>0.01</v>
      </c>
      <c r="P47" s="15" t="s">
        <v>213</v>
      </c>
      <c r="Q47" s="14">
        <v>0.01</v>
      </c>
      <c r="R47" s="15" t="s">
        <v>213</v>
      </c>
      <c r="S47" s="14">
        <v>0.01</v>
      </c>
      <c r="T47" s="14">
        <v>0.01</v>
      </c>
      <c r="U47" s="15" t="s">
        <v>213</v>
      </c>
      <c r="V47" s="15" t="s">
        <v>213</v>
      </c>
      <c r="W47" s="14">
        <v>0.01</v>
      </c>
      <c r="X47" s="15" t="s">
        <v>213</v>
      </c>
      <c r="Y47" s="15" t="s">
        <v>213</v>
      </c>
      <c r="Z47" s="15" t="s">
        <v>213</v>
      </c>
      <c r="AA47" s="15" t="s">
        <v>213</v>
      </c>
      <c r="AB47" s="14">
        <v>0.01</v>
      </c>
      <c r="AC47" s="15" t="s">
        <v>213</v>
      </c>
      <c r="AD47" s="15" t="s">
        <v>213</v>
      </c>
      <c r="AE47" s="15" t="s">
        <v>213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25</v>
      </c>
      <c r="C3" s="18"/>
      <c r="D3" s="18"/>
      <c r="E3" s="18"/>
      <c r="F3" s="18"/>
      <c r="H3" s="18" t="s">
        <v>26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280</v>
      </c>
      <c r="C12" s="12">
        <v>1075</v>
      </c>
      <c r="D12" s="12">
        <v>71</v>
      </c>
      <c r="E12" s="12">
        <v>15</v>
      </c>
      <c r="F12" s="12">
        <v>27</v>
      </c>
      <c r="G12" s="12">
        <v>21</v>
      </c>
      <c r="H12" s="12">
        <v>10</v>
      </c>
      <c r="I12" s="12">
        <v>19</v>
      </c>
      <c r="J12" s="12">
        <v>8</v>
      </c>
      <c r="K12" s="12">
        <v>32</v>
      </c>
      <c r="L12" s="12">
        <v>55</v>
      </c>
      <c r="M12" s="12">
        <v>16</v>
      </c>
      <c r="N12" s="12">
        <v>75</v>
      </c>
      <c r="O12" s="12">
        <v>57</v>
      </c>
      <c r="P12" s="12">
        <v>40</v>
      </c>
      <c r="Q12" s="12">
        <v>48</v>
      </c>
      <c r="R12" s="12">
        <v>16</v>
      </c>
      <c r="S12" s="12">
        <v>17</v>
      </c>
      <c r="T12" s="12">
        <v>25</v>
      </c>
      <c r="U12" s="12">
        <v>17</v>
      </c>
      <c r="V12" s="12">
        <v>30</v>
      </c>
      <c r="W12" s="12">
        <v>24</v>
      </c>
      <c r="X12" s="12">
        <v>51</v>
      </c>
      <c r="Y12" s="12">
        <v>48</v>
      </c>
      <c r="Z12" s="12">
        <v>37</v>
      </c>
      <c r="AA12" s="12">
        <v>59</v>
      </c>
      <c r="AB12" s="12">
        <v>37</v>
      </c>
      <c r="AC12" s="12">
        <v>20</v>
      </c>
      <c r="AD12" s="12">
        <v>18</v>
      </c>
      <c r="AE12" s="12">
        <v>36</v>
      </c>
      <c r="AF12" s="12">
        <v>30</v>
      </c>
    </row>
    <row r="13" spans="1:32" ht="23.25" x14ac:dyDescent="0.25">
      <c r="A13" s="19"/>
      <c r="B13" s="13" t="s">
        <v>281</v>
      </c>
      <c r="C13" s="14">
        <v>0.04</v>
      </c>
      <c r="D13" s="14">
        <v>7.0000000000000007E-2</v>
      </c>
      <c r="E13" s="14">
        <v>0.01</v>
      </c>
      <c r="F13" s="14">
        <v>0.02</v>
      </c>
      <c r="G13" s="14">
        <v>0.02</v>
      </c>
      <c r="H13" s="14">
        <v>0.01</v>
      </c>
      <c r="I13" s="14">
        <v>0.01</v>
      </c>
      <c r="J13" s="14">
        <v>0.03</v>
      </c>
      <c r="K13" s="14">
        <v>0.03</v>
      </c>
      <c r="L13" s="14">
        <v>0.06</v>
      </c>
      <c r="M13" s="14">
        <v>0.02</v>
      </c>
      <c r="N13" s="14">
        <v>7.0000000000000007E-2</v>
      </c>
      <c r="O13" s="14">
        <v>0.06</v>
      </c>
      <c r="P13" s="14">
        <v>0.04</v>
      </c>
      <c r="Q13" s="14">
        <v>0.05</v>
      </c>
      <c r="R13" s="14">
        <v>0.03</v>
      </c>
      <c r="S13" s="14">
        <v>0.02</v>
      </c>
      <c r="T13" s="14">
        <v>0.03</v>
      </c>
      <c r="U13" s="14">
        <v>0.03</v>
      </c>
      <c r="V13" s="14">
        <v>0.03</v>
      </c>
      <c r="W13" s="14">
        <v>0.05</v>
      </c>
      <c r="X13" s="14">
        <v>0.05</v>
      </c>
      <c r="Y13" s="14">
        <v>0.05</v>
      </c>
      <c r="Z13" s="14">
        <v>0.04</v>
      </c>
      <c r="AA13" s="14">
        <v>0.06</v>
      </c>
      <c r="AB13" s="14">
        <v>0.04</v>
      </c>
      <c r="AC13" s="14">
        <v>0.02</v>
      </c>
      <c r="AD13" s="14">
        <v>0.02</v>
      </c>
      <c r="AE13" s="14">
        <v>0.04</v>
      </c>
      <c r="AF13" s="14">
        <v>0.03</v>
      </c>
    </row>
    <row r="14" spans="1:32" ht="34.5" x14ac:dyDescent="0.25">
      <c r="A14" s="19"/>
      <c r="B14" s="11" t="s">
        <v>282</v>
      </c>
      <c r="C14" s="12">
        <v>809</v>
      </c>
      <c r="D14" s="12">
        <v>35</v>
      </c>
      <c r="E14" s="12">
        <v>38</v>
      </c>
      <c r="F14" s="12">
        <v>8</v>
      </c>
      <c r="G14" s="12">
        <v>7</v>
      </c>
      <c r="H14" s="12">
        <v>24</v>
      </c>
      <c r="I14" s="12">
        <v>30</v>
      </c>
      <c r="J14" s="12">
        <v>6</v>
      </c>
      <c r="K14" s="12">
        <v>27</v>
      </c>
      <c r="L14" s="12">
        <v>31</v>
      </c>
      <c r="M14" s="12">
        <v>26</v>
      </c>
      <c r="N14" s="12">
        <v>32</v>
      </c>
      <c r="O14" s="12">
        <v>45</v>
      </c>
      <c r="P14" s="12">
        <v>33</v>
      </c>
      <c r="Q14" s="12">
        <v>36</v>
      </c>
      <c r="R14" s="12">
        <v>11</v>
      </c>
      <c r="S14" s="12">
        <v>20</v>
      </c>
      <c r="T14" s="12">
        <v>18</v>
      </c>
      <c r="U14" s="12">
        <v>19</v>
      </c>
      <c r="V14" s="12">
        <v>41</v>
      </c>
      <c r="W14" s="12">
        <v>23</v>
      </c>
      <c r="X14" s="12">
        <v>21</v>
      </c>
      <c r="Y14" s="12">
        <v>19</v>
      </c>
      <c r="Z14" s="12">
        <v>38</v>
      </c>
      <c r="AA14" s="12">
        <v>40</v>
      </c>
      <c r="AB14" s="12">
        <v>49</v>
      </c>
      <c r="AC14" s="12">
        <v>6</v>
      </c>
      <c r="AD14" s="12">
        <v>16</v>
      </c>
      <c r="AE14" s="12">
        <v>20</v>
      </c>
      <c r="AF14" s="12">
        <v>15</v>
      </c>
    </row>
    <row r="15" spans="1:32" ht="34.5" x14ac:dyDescent="0.25">
      <c r="A15" s="19"/>
      <c r="B15" s="13" t="s">
        <v>283</v>
      </c>
      <c r="C15" s="14">
        <v>0.03</v>
      </c>
      <c r="D15" s="14">
        <v>0.03</v>
      </c>
      <c r="E15" s="14">
        <v>0.04</v>
      </c>
      <c r="F15" s="14">
        <v>0.01</v>
      </c>
      <c r="G15" s="14">
        <v>0.01</v>
      </c>
      <c r="H15" s="14">
        <v>0.02</v>
      </c>
      <c r="I15" s="14">
        <v>0.02</v>
      </c>
      <c r="J15" s="14">
        <v>0.02</v>
      </c>
      <c r="K15" s="14">
        <v>0.03</v>
      </c>
      <c r="L15" s="14">
        <v>0.03</v>
      </c>
      <c r="M15" s="14">
        <v>0.03</v>
      </c>
      <c r="N15" s="14">
        <v>0.03</v>
      </c>
      <c r="O15" s="14">
        <v>0.05</v>
      </c>
      <c r="P15" s="14">
        <v>0.03</v>
      </c>
      <c r="Q15" s="14">
        <v>0.03</v>
      </c>
      <c r="R15" s="14">
        <v>0.02</v>
      </c>
      <c r="S15" s="14">
        <v>0.02</v>
      </c>
      <c r="T15" s="14">
        <v>0.02</v>
      </c>
      <c r="U15" s="14">
        <v>0.04</v>
      </c>
      <c r="V15" s="14">
        <v>0.04</v>
      </c>
      <c r="W15" s="14">
        <v>0.05</v>
      </c>
      <c r="X15" s="14">
        <v>0.02</v>
      </c>
      <c r="Y15" s="14">
        <v>0.02</v>
      </c>
      <c r="Z15" s="14">
        <v>0.04</v>
      </c>
      <c r="AA15" s="14">
        <v>0.04</v>
      </c>
      <c r="AB15" s="14">
        <v>0.05</v>
      </c>
      <c r="AC15" s="14">
        <v>0.01</v>
      </c>
      <c r="AD15" s="14">
        <v>0.01</v>
      </c>
      <c r="AE15" s="14">
        <v>0.02</v>
      </c>
      <c r="AF15" s="14">
        <v>0.01</v>
      </c>
    </row>
    <row r="16" spans="1:32" ht="34.5" x14ac:dyDescent="0.25">
      <c r="A16" s="19"/>
      <c r="B16" s="11" t="s">
        <v>284</v>
      </c>
      <c r="C16" s="12">
        <v>1058</v>
      </c>
      <c r="D16" s="12">
        <v>46</v>
      </c>
      <c r="E16" s="12">
        <v>33</v>
      </c>
      <c r="F16" s="12">
        <v>17</v>
      </c>
      <c r="G16" s="12">
        <v>25</v>
      </c>
      <c r="H16" s="12">
        <v>49</v>
      </c>
      <c r="I16" s="12">
        <v>58</v>
      </c>
      <c r="J16" s="12">
        <v>9</v>
      </c>
      <c r="K16" s="12">
        <v>41</v>
      </c>
      <c r="L16" s="12">
        <v>44</v>
      </c>
      <c r="M16" s="12">
        <v>17</v>
      </c>
      <c r="N16" s="12">
        <v>58</v>
      </c>
      <c r="O16" s="12">
        <v>53</v>
      </c>
      <c r="P16" s="12">
        <v>41</v>
      </c>
      <c r="Q16" s="12">
        <v>37</v>
      </c>
      <c r="R16" s="12">
        <v>8</v>
      </c>
      <c r="S16" s="12">
        <v>15</v>
      </c>
      <c r="T16" s="12">
        <v>33</v>
      </c>
      <c r="U16" s="12">
        <v>33</v>
      </c>
      <c r="V16" s="12">
        <v>41</v>
      </c>
      <c r="W16" s="12">
        <v>27</v>
      </c>
      <c r="X16" s="12">
        <v>42</v>
      </c>
      <c r="Y16" s="12">
        <v>28</v>
      </c>
      <c r="Z16" s="12">
        <v>34</v>
      </c>
      <c r="AA16" s="12">
        <v>29</v>
      </c>
      <c r="AB16" s="12">
        <v>33</v>
      </c>
      <c r="AC16" s="12">
        <v>71</v>
      </c>
      <c r="AD16" s="12">
        <v>41</v>
      </c>
      <c r="AE16" s="12">
        <v>28</v>
      </c>
      <c r="AF16" s="12">
        <v>33</v>
      </c>
    </row>
    <row r="17" spans="1:32" ht="23.25" x14ac:dyDescent="0.25">
      <c r="A17" s="19"/>
      <c r="B17" s="13" t="s">
        <v>285</v>
      </c>
      <c r="C17" s="14">
        <v>0.04</v>
      </c>
      <c r="D17" s="14">
        <v>0.04</v>
      </c>
      <c r="E17" s="14">
        <v>0.03</v>
      </c>
      <c r="F17" s="14">
        <v>0.02</v>
      </c>
      <c r="G17" s="14">
        <v>0.02</v>
      </c>
      <c r="H17" s="14">
        <v>0.04</v>
      </c>
      <c r="I17" s="14">
        <v>0.04</v>
      </c>
      <c r="J17" s="14">
        <v>0.03</v>
      </c>
      <c r="K17" s="14">
        <v>0.04</v>
      </c>
      <c r="L17" s="14">
        <v>0.04</v>
      </c>
      <c r="M17" s="14">
        <v>0.02</v>
      </c>
      <c r="N17" s="14">
        <v>0.06</v>
      </c>
      <c r="O17" s="14">
        <v>0.05</v>
      </c>
      <c r="P17" s="14">
        <v>0.04</v>
      </c>
      <c r="Q17" s="14">
        <v>0.04</v>
      </c>
      <c r="R17" s="14">
        <v>0.02</v>
      </c>
      <c r="S17" s="14">
        <v>0.01</v>
      </c>
      <c r="T17" s="14">
        <v>0.03</v>
      </c>
      <c r="U17" s="14">
        <v>0.06</v>
      </c>
      <c r="V17" s="14">
        <v>0.04</v>
      </c>
      <c r="W17" s="14">
        <v>0.05</v>
      </c>
      <c r="X17" s="14">
        <v>0.04</v>
      </c>
      <c r="Y17" s="14">
        <v>0.03</v>
      </c>
      <c r="Z17" s="14">
        <v>0.03</v>
      </c>
      <c r="AA17" s="14">
        <v>0.03</v>
      </c>
      <c r="AB17" s="14">
        <v>0.03</v>
      </c>
      <c r="AC17" s="14">
        <v>7.0000000000000007E-2</v>
      </c>
      <c r="AD17" s="14">
        <v>0.04</v>
      </c>
      <c r="AE17" s="14">
        <v>0.03</v>
      </c>
      <c r="AF17" s="14">
        <v>0.03</v>
      </c>
    </row>
    <row r="18" spans="1:32" ht="34.5" x14ac:dyDescent="0.25">
      <c r="A18" s="19"/>
      <c r="B18" s="11" t="s">
        <v>286</v>
      </c>
      <c r="C18" s="12">
        <v>1520</v>
      </c>
      <c r="D18" s="12">
        <v>71</v>
      </c>
      <c r="E18" s="12">
        <v>64</v>
      </c>
      <c r="F18" s="12">
        <v>65</v>
      </c>
      <c r="G18" s="12">
        <v>53</v>
      </c>
      <c r="H18" s="12">
        <v>59</v>
      </c>
      <c r="I18" s="12">
        <v>73</v>
      </c>
      <c r="J18" s="12">
        <v>14</v>
      </c>
      <c r="K18" s="12">
        <v>33</v>
      </c>
      <c r="L18" s="12">
        <v>47</v>
      </c>
      <c r="M18" s="12">
        <v>87</v>
      </c>
      <c r="N18" s="12">
        <v>49</v>
      </c>
      <c r="O18" s="12">
        <v>53</v>
      </c>
      <c r="P18" s="12">
        <v>54</v>
      </c>
      <c r="Q18" s="12">
        <v>69</v>
      </c>
      <c r="R18" s="12">
        <v>36</v>
      </c>
      <c r="S18" s="12">
        <v>37</v>
      </c>
      <c r="T18" s="12">
        <v>52</v>
      </c>
      <c r="U18" s="12">
        <v>27</v>
      </c>
      <c r="V18" s="12">
        <v>58</v>
      </c>
      <c r="W18" s="12">
        <v>21</v>
      </c>
      <c r="X18" s="12">
        <v>69</v>
      </c>
      <c r="Y18" s="12">
        <v>38</v>
      </c>
      <c r="Z18" s="12">
        <v>61</v>
      </c>
      <c r="AA18" s="12">
        <v>110</v>
      </c>
      <c r="AB18" s="12">
        <v>68</v>
      </c>
      <c r="AC18" s="12">
        <v>52</v>
      </c>
      <c r="AD18" s="12">
        <v>79</v>
      </c>
      <c r="AE18" s="12">
        <v>42</v>
      </c>
      <c r="AF18" s="12">
        <v>46</v>
      </c>
    </row>
    <row r="19" spans="1:32" ht="34.5" x14ac:dyDescent="0.25">
      <c r="A19" s="19"/>
      <c r="B19" s="13" t="s">
        <v>287</v>
      </c>
      <c r="C19" s="14">
        <v>0.06</v>
      </c>
      <c r="D19" s="14">
        <v>7.0000000000000007E-2</v>
      </c>
      <c r="E19" s="14">
        <v>0.06</v>
      </c>
      <c r="F19" s="14">
        <v>0.06</v>
      </c>
      <c r="G19" s="14">
        <v>0.05</v>
      </c>
      <c r="H19" s="14">
        <v>0.05</v>
      </c>
      <c r="I19" s="14">
        <v>0.05</v>
      </c>
      <c r="J19" s="14">
        <v>0.05</v>
      </c>
      <c r="K19" s="14">
        <v>0.03</v>
      </c>
      <c r="L19" s="14">
        <v>0.05</v>
      </c>
      <c r="M19" s="14">
        <v>0.09</v>
      </c>
      <c r="N19" s="14">
        <v>0.05</v>
      </c>
      <c r="O19" s="14">
        <v>0.05</v>
      </c>
      <c r="P19" s="14">
        <v>0.05</v>
      </c>
      <c r="Q19" s="14">
        <v>7.0000000000000007E-2</v>
      </c>
      <c r="R19" s="14">
        <v>7.0000000000000007E-2</v>
      </c>
      <c r="S19" s="14">
        <v>0.04</v>
      </c>
      <c r="T19" s="14">
        <v>0.05</v>
      </c>
      <c r="U19" s="14">
        <v>0.05</v>
      </c>
      <c r="V19" s="14">
        <v>0.06</v>
      </c>
      <c r="W19" s="14">
        <v>0.04</v>
      </c>
      <c r="X19" s="14">
        <v>7.0000000000000007E-2</v>
      </c>
      <c r="Y19" s="14">
        <v>0.04</v>
      </c>
      <c r="Z19" s="14">
        <v>0.06</v>
      </c>
      <c r="AA19" s="14">
        <v>0.11</v>
      </c>
      <c r="AB19" s="14">
        <v>7.0000000000000007E-2</v>
      </c>
      <c r="AC19" s="14">
        <v>0.05</v>
      </c>
      <c r="AD19" s="14">
        <v>0.08</v>
      </c>
      <c r="AE19" s="14">
        <v>0.04</v>
      </c>
      <c r="AF19" s="14">
        <v>0.04</v>
      </c>
    </row>
    <row r="20" spans="1:32" ht="34.5" x14ac:dyDescent="0.25">
      <c r="A20" s="19"/>
      <c r="B20" s="11" t="s">
        <v>288</v>
      </c>
      <c r="C20" s="12">
        <v>799</v>
      </c>
      <c r="D20" s="12">
        <v>30</v>
      </c>
      <c r="E20" s="12">
        <v>34</v>
      </c>
      <c r="F20" s="12">
        <v>27</v>
      </c>
      <c r="G20" s="12">
        <v>17</v>
      </c>
      <c r="H20" s="12">
        <v>20</v>
      </c>
      <c r="I20" s="12">
        <v>21</v>
      </c>
      <c r="J20" s="12">
        <v>2</v>
      </c>
      <c r="K20" s="12">
        <v>19</v>
      </c>
      <c r="L20" s="12">
        <v>40</v>
      </c>
      <c r="M20" s="12">
        <v>34</v>
      </c>
      <c r="N20" s="12">
        <v>37</v>
      </c>
      <c r="O20" s="12">
        <v>20</v>
      </c>
      <c r="P20" s="12">
        <v>65</v>
      </c>
      <c r="Q20" s="12">
        <v>43</v>
      </c>
      <c r="R20" s="12">
        <v>24</v>
      </c>
      <c r="S20" s="12">
        <v>17</v>
      </c>
      <c r="T20" s="12">
        <v>18</v>
      </c>
      <c r="U20" s="12">
        <v>12</v>
      </c>
      <c r="V20" s="12">
        <v>23</v>
      </c>
      <c r="W20" s="12">
        <v>16</v>
      </c>
      <c r="X20" s="12">
        <v>28</v>
      </c>
      <c r="Y20" s="12">
        <v>26</v>
      </c>
      <c r="Z20" s="12">
        <v>52</v>
      </c>
      <c r="AA20" s="12">
        <v>36</v>
      </c>
      <c r="AB20" s="12">
        <v>62</v>
      </c>
      <c r="AC20" s="12">
        <v>26</v>
      </c>
      <c r="AD20" s="12">
        <v>29</v>
      </c>
      <c r="AE20" s="12">
        <v>13</v>
      </c>
      <c r="AF20" s="12">
        <v>21</v>
      </c>
    </row>
    <row r="21" spans="1:32" ht="34.5" x14ac:dyDescent="0.25">
      <c r="A21" s="19"/>
      <c r="B21" s="13" t="s">
        <v>289</v>
      </c>
      <c r="C21" s="14">
        <v>0.03</v>
      </c>
      <c r="D21" s="14">
        <v>0.03</v>
      </c>
      <c r="E21" s="14">
        <v>0.03</v>
      </c>
      <c r="F21" s="14">
        <v>0.02</v>
      </c>
      <c r="G21" s="14">
        <v>0.02</v>
      </c>
      <c r="H21" s="14">
        <v>0.02</v>
      </c>
      <c r="I21" s="14">
        <v>0.01</v>
      </c>
      <c r="J21" s="15" t="s">
        <v>213</v>
      </c>
      <c r="K21" s="14">
        <v>0.02</v>
      </c>
      <c r="L21" s="14">
        <v>0.04</v>
      </c>
      <c r="M21" s="14">
        <v>0.03</v>
      </c>
      <c r="N21" s="14">
        <v>0.04</v>
      </c>
      <c r="O21" s="14">
        <v>0.02</v>
      </c>
      <c r="P21" s="14">
        <v>7.0000000000000007E-2</v>
      </c>
      <c r="Q21" s="14">
        <v>0.04</v>
      </c>
      <c r="R21" s="14">
        <v>0.05</v>
      </c>
      <c r="S21" s="14">
        <v>0.02</v>
      </c>
      <c r="T21" s="14">
        <v>0.02</v>
      </c>
      <c r="U21" s="14">
        <v>0.02</v>
      </c>
      <c r="V21" s="14">
        <v>0.02</v>
      </c>
      <c r="W21" s="14">
        <v>0.03</v>
      </c>
      <c r="X21" s="14">
        <v>0.03</v>
      </c>
      <c r="Y21" s="14">
        <v>0.03</v>
      </c>
      <c r="Z21" s="14">
        <v>0.05</v>
      </c>
      <c r="AA21" s="14">
        <v>0.03</v>
      </c>
      <c r="AB21" s="14">
        <v>0.06</v>
      </c>
      <c r="AC21" s="14">
        <v>0.03</v>
      </c>
      <c r="AD21" s="14">
        <v>0.03</v>
      </c>
      <c r="AE21" s="14">
        <v>0.01</v>
      </c>
      <c r="AF21" s="14">
        <v>0.02</v>
      </c>
    </row>
    <row r="22" spans="1:32" ht="34.5" x14ac:dyDescent="0.25">
      <c r="A22" s="19"/>
      <c r="B22" s="11" t="s">
        <v>290</v>
      </c>
      <c r="C22" s="12">
        <v>2034</v>
      </c>
      <c r="D22" s="12">
        <v>86</v>
      </c>
      <c r="E22" s="12">
        <v>59</v>
      </c>
      <c r="F22" s="12">
        <v>79</v>
      </c>
      <c r="G22" s="12">
        <v>103</v>
      </c>
      <c r="H22" s="12">
        <v>92</v>
      </c>
      <c r="I22" s="12">
        <v>113</v>
      </c>
      <c r="J22" s="12">
        <v>21</v>
      </c>
      <c r="K22" s="12">
        <v>73</v>
      </c>
      <c r="L22" s="12">
        <v>82</v>
      </c>
      <c r="M22" s="12">
        <v>92</v>
      </c>
      <c r="N22" s="12">
        <v>89</v>
      </c>
      <c r="O22" s="12">
        <v>68</v>
      </c>
      <c r="P22" s="12">
        <v>61</v>
      </c>
      <c r="Q22" s="12">
        <v>76</v>
      </c>
      <c r="R22" s="12">
        <v>57</v>
      </c>
      <c r="S22" s="12">
        <v>93</v>
      </c>
      <c r="T22" s="12">
        <v>87</v>
      </c>
      <c r="U22" s="12">
        <v>33</v>
      </c>
      <c r="V22" s="12">
        <v>78</v>
      </c>
      <c r="W22" s="12">
        <v>38</v>
      </c>
      <c r="X22" s="12">
        <v>99</v>
      </c>
      <c r="Y22" s="12">
        <v>81</v>
      </c>
      <c r="Z22" s="12">
        <v>50</v>
      </c>
      <c r="AA22" s="12">
        <v>76</v>
      </c>
      <c r="AB22" s="12">
        <v>85</v>
      </c>
      <c r="AC22" s="12">
        <v>77</v>
      </c>
      <c r="AD22" s="12">
        <v>87</v>
      </c>
      <c r="AE22" s="12">
        <v>89</v>
      </c>
      <c r="AF22" s="12">
        <v>153</v>
      </c>
    </row>
    <row r="23" spans="1:32" ht="34.5" x14ac:dyDescent="0.25">
      <c r="A23" s="19"/>
      <c r="B23" s="13" t="s">
        <v>291</v>
      </c>
      <c r="C23" s="14">
        <v>0.08</v>
      </c>
      <c r="D23" s="14">
        <v>0.08</v>
      </c>
      <c r="E23" s="14">
        <v>0.06</v>
      </c>
      <c r="F23" s="14">
        <v>7.0000000000000007E-2</v>
      </c>
      <c r="G23" s="14">
        <v>0.1</v>
      </c>
      <c r="H23" s="14">
        <v>7.0000000000000007E-2</v>
      </c>
      <c r="I23" s="14">
        <v>7.0000000000000007E-2</v>
      </c>
      <c r="J23" s="14">
        <v>7.0000000000000007E-2</v>
      </c>
      <c r="K23" s="14">
        <v>7.0000000000000007E-2</v>
      </c>
      <c r="L23" s="14">
        <v>0.08</v>
      </c>
      <c r="M23" s="14">
        <v>0.09</v>
      </c>
      <c r="N23" s="14">
        <v>0.09</v>
      </c>
      <c r="O23" s="14">
        <v>7.0000000000000007E-2</v>
      </c>
      <c r="P23" s="14">
        <v>0.06</v>
      </c>
      <c r="Q23" s="14">
        <v>7.0000000000000007E-2</v>
      </c>
      <c r="R23" s="14">
        <v>0.12</v>
      </c>
      <c r="S23" s="14">
        <v>0.09</v>
      </c>
      <c r="T23" s="14">
        <v>0.09</v>
      </c>
      <c r="U23" s="14">
        <v>0.06</v>
      </c>
      <c r="V23" s="14">
        <v>0.08</v>
      </c>
      <c r="W23" s="14">
        <v>0.08</v>
      </c>
      <c r="X23" s="14">
        <v>0.1</v>
      </c>
      <c r="Y23" s="14">
        <v>0.08</v>
      </c>
      <c r="Z23" s="14">
        <v>0.05</v>
      </c>
      <c r="AA23" s="14">
        <v>7.0000000000000007E-2</v>
      </c>
      <c r="AB23" s="14">
        <v>0.08</v>
      </c>
      <c r="AC23" s="14">
        <v>0.08</v>
      </c>
      <c r="AD23" s="14">
        <v>0.09</v>
      </c>
      <c r="AE23" s="14">
        <v>0.09</v>
      </c>
      <c r="AF23" s="14">
        <v>0.15</v>
      </c>
    </row>
    <row r="24" spans="1:32" ht="23.25" x14ac:dyDescent="0.25">
      <c r="A24" s="19"/>
      <c r="B24" s="11" t="s">
        <v>292</v>
      </c>
      <c r="C24" s="12">
        <v>356</v>
      </c>
      <c r="D24" s="12">
        <v>15</v>
      </c>
      <c r="E24" s="12">
        <v>19</v>
      </c>
      <c r="F24" s="12">
        <v>7</v>
      </c>
      <c r="G24" s="12">
        <v>11</v>
      </c>
      <c r="H24" s="12">
        <v>5</v>
      </c>
      <c r="I24" s="12">
        <v>5</v>
      </c>
      <c r="J24" s="12">
        <v>0</v>
      </c>
      <c r="K24" s="12">
        <v>22</v>
      </c>
      <c r="L24" s="12">
        <v>32</v>
      </c>
      <c r="M24" s="12">
        <v>8</v>
      </c>
      <c r="N24" s="12">
        <v>7</v>
      </c>
      <c r="O24" s="12">
        <v>25</v>
      </c>
      <c r="P24" s="12">
        <v>24</v>
      </c>
      <c r="Q24" s="12">
        <v>12</v>
      </c>
      <c r="R24" s="12">
        <v>22</v>
      </c>
      <c r="S24" s="12">
        <v>12</v>
      </c>
      <c r="T24" s="12">
        <v>15</v>
      </c>
      <c r="U24" s="12">
        <v>5</v>
      </c>
      <c r="V24" s="12">
        <v>20</v>
      </c>
      <c r="W24" s="12">
        <v>13</v>
      </c>
      <c r="X24" s="12">
        <v>11</v>
      </c>
      <c r="Y24" s="12">
        <v>12</v>
      </c>
      <c r="Z24" s="12">
        <v>17</v>
      </c>
      <c r="AA24" s="12">
        <v>6</v>
      </c>
      <c r="AB24" s="12">
        <v>44</v>
      </c>
      <c r="AC24" s="12">
        <v>15</v>
      </c>
      <c r="AD24" s="12">
        <v>12</v>
      </c>
      <c r="AE24" s="12">
        <v>11</v>
      </c>
      <c r="AF24" s="12">
        <v>6</v>
      </c>
    </row>
    <row r="25" spans="1:32" ht="23.25" x14ac:dyDescent="0.25">
      <c r="A25" s="19"/>
      <c r="B25" s="13" t="s">
        <v>293</v>
      </c>
      <c r="C25" s="14">
        <v>0.01</v>
      </c>
      <c r="D25" s="14">
        <v>0.01</v>
      </c>
      <c r="E25" s="14">
        <v>0.02</v>
      </c>
      <c r="F25" s="14">
        <v>0.01</v>
      </c>
      <c r="G25" s="14">
        <v>0.01</v>
      </c>
      <c r="H25" s="15" t="s">
        <v>213</v>
      </c>
      <c r="I25" s="15" t="s">
        <v>213</v>
      </c>
      <c r="J25" s="15" t="s">
        <v>213</v>
      </c>
      <c r="K25" s="14">
        <v>0.02</v>
      </c>
      <c r="L25" s="14">
        <v>0.03</v>
      </c>
      <c r="M25" s="14">
        <v>0.01</v>
      </c>
      <c r="N25" s="14">
        <v>0.01</v>
      </c>
      <c r="O25" s="14">
        <v>0.02</v>
      </c>
      <c r="P25" s="14">
        <v>0.02</v>
      </c>
      <c r="Q25" s="14">
        <v>0.01</v>
      </c>
      <c r="R25" s="14">
        <v>0.04</v>
      </c>
      <c r="S25" s="14">
        <v>0.01</v>
      </c>
      <c r="T25" s="14">
        <v>0.02</v>
      </c>
      <c r="U25" s="14">
        <v>0.01</v>
      </c>
      <c r="V25" s="14">
        <v>0.02</v>
      </c>
      <c r="W25" s="14">
        <v>0.03</v>
      </c>
      <c r="X25" s="14">
        <v>0.01</v>
      </c>
      <c r="Y25" s="14">
        <v>0.01</v>
      </c>
      <c r="Z25" s="14">
        <v>0.02</v>
      </c>
      <c r="AA25" s="15" t="s">
        <v>213</v>
      </c>
      <c r="AB25" s="14">
        <v>0.04</v>
      </c>
      <c r="AC25" s="14">
        <v>0.01</v>
      </c>
      <c r="AD25" s="14">
        <v>0.01</v>
      </c>
      <c r="AE25" s="14">
        <v>0.01</v>
      </c>
      <c r="AF25" s="14">
        <v>0.01</v>
      </c>
    </row>
    <row r="26" spans="1:32" x14ac:dyDescent="0.25">
      <c r="A26" s="19"/>
      <c r="B26" s="11" t="s">
        <v>294</v>
      </c>
      <c r="C26" s="12">
        <v>988</v>
      </c>
      <c r="D26" s="12">
        <v>28</v>
      </c>
      <c r="E26" s="12">
        <v>108</v>
      </c>
      <c r="F26" s="12">
        <v>53</v>
      </c>
      <c r="G26" s="12">
        <v>44</v>
      </c>
      <c r="H26" s="12">
        <v>18</v>
      </c>
      <c r="I26" s="12">
        <v>27</v>
      </c>
      <c r="J26" s="12">
        <v>8</v>
      </c>
      <c r="K26" s="12">
        <v>77</v>
      </c>
      <c r="L26" s="12">
        <v>75</v>
      </c>
      <c r="M26" s="12">
        <v>24</v>
      </c>
      <c r="N26" s="12">
        <v>27</v>
      </c>
      <c r="O26" s="12">
        <v>24</v>
      </c>
      <c r="P26" s="12">
        <v>57</v>
      </c>
      <c r="Q26" s="12">
        <v>47</v>
      </c>
      <c r="R26" s="12">
        <v>9</v>
      </c>
      <c r="S26" s="12">
        <v>26</v>
      </c>
      <c r="T26" s="12">
        <v>53</v>
      </c>
      <c r="U26" s="12">
        <v>23</v>
      </c>
      <c r="V26" s="12">
        <v>73</v>
      </c>
      <c r="W26" s="12">
        <v>21</v>
      </c>
      <c r="X26" s="12">
        <v>21</v>
      </c>
      <c r="Y26" s="12">
        <v>36</v>
      </c>
      <c r="Z26" s="12">
        <v>77</v>
      </c>
      <c r="AA26" s="12">
        <v>19</v>
      </c>
      <c r="AB26" s="12">
        <v>78</v>
      </c>
      <c r="AC26" s="12">
        <v>30</v>
      </c>
      <c r="AD26" s="12">
        <v>56</v>
      </c>
      <c r="AE26" s="12">
        <v>22</v>
      </c>
      <c r="AF26" s="12">
        <v>34</v>
      </c>
    </row>
    <row r="27" spans="1:32" x14ac:dyDescent="0.25">
      <c r="A27" s="19"/>
      <c r="B27" s="13" t="s">
        <v>295</v>
      </c>
      <c r="C27" s="14">
        <v>0.04</v>
      </c>
      <c r="D27" s="14">
        <v>0.03</v>
      </c>
      <c r="E27" s="14">
        <v>0.1</v>
      </c>
      <c r="F27" s="14">
        <v>0.05</v>
      </c>
      <c r="G27" s="14">
        <v>0.04</v>
      </c>
      <c r="H27" s="14">
        <v>0.01</v>
      </c>
      <c r="I27" s="14">
        <v>0.02</v>
      </c>
      <c r="J27" s="14">
        <v>0.03</v>
      </c>
      <c r="K27" s="14">
        <v>0.08</v>
      </c>
      <c r="L27" s="14">
        <v>7.0000000000000007E-2</v>
      </c>
      <c r="M27" s="14">
        <v>0.02</v>
      </c>
      <c r="N27" s="14">
        <v>0.03</v>
      </c>
      <c r="O27" s="14">
        <v>0.02</v>
      </c>
      <c r="P27" s="14">
        <v>0.06</v>
      </c>
      <c r="Q27" s="14">
        <v>0.05</v>
      </c>
      <c r="R27" s="14">
        <v>0.02</v>
      </c>
      <c r="S27" s="14">
        <v>0.03</v>
      </c>
      <c r="T27" s="14">
        <v>0.05</v>
      </c>
      <c r="U27" s="14">
        <v>0.05</v>
      </c>
      <c r="V27" s="14">
        <v>7.0000000000000007E-2</v>
      </c>
      <c r="W27" s="14">
        <v>0.04</v>
      </c>
      <c r="X27" s="14">
        <v>0.02</v>
      </c>
      <c r="Y27" s="14">
        <v>0.04</v>
      </c>
      <c r="Z27" s="14">
        <v>0.08</v>
      </c>
      <c r="AA27" s="14">
        <v>0.02</v>
      </c>
      <c r="AB27" s="14">
        <v>7.0000000000000007E-2</v>
      </c>
      <c r="AC27" s="14">
        <v>0.03</v>
      </c>
      <c r="AD27" s="14">
        <v>0.06</v>
      </c>
      <c r="AE27" s="14">
        <v>0.02</v>
      </c>
      <c r="AF27" s="14">
        <v>0.03</v>
      </c>
    </row>
    <row r="28" spans="1:32" ht="23.25" x14ac:dyDescent="0.25">
      <c r="A28" s="19"/>
      <c r="B28" s="11" t="s">
        <v>296</v>
      </c>
      <c r="C28" s="12">
        <v>1800</v>
      </c>
      <c r="D28" s="12">
        <v>87</v>
      </c>
      <c r="E28" s="12">
        <v>48</v>
      </c>
      <c r="F28" s="12">
        <v>81</v>
      </c>
      <c r="G28" s="12">
        <v>67</v>
      </c>
      <c r="H28" s="12">
        <v>106</v>
      </c>
      <c r="I28" s="12">
        <v>118</v>
      </c>
      <c r="J28" s="12">
        <v>12</v>
      </c>
      <c r="K28" s="12">
        <v>64</v>
      </c>
      <c r="L28" s="12">
        <v>84</v>
      </c>
      <c r="M28" s="12">
        <v>71</v>
      </c>
      <c r="N28" s="12">
        <v>74</v>
      </c>
      <c r="O28" s="12">
        <v>73</v>
      </c>
      <c r="P28" s="12">
        <v>74</v>
      </c>
      <c r="Q28" s="12">
        <v>66</v>
      </c>
      <c r="R28" s="12">
        <v>24</v>
      </c>
      <c r="S28" s="12">
        <v>109</v>
      </c>
      <c r="T28" s="12">
        <v>66</v>
      </c>
      <c r="U28" s="12">
        <v>30</v>
      </c>
      <c r="V28" s="12">
        <v>62</v>
      </c>
      <c r="W28" s="12">
        <v>22</v>
      </c>
      <c r="X28" s="12">
        <v>56</v>
      </c>
      <c r="Y28" s="12">
        <v>83</v>
      </c>
      <c r="Z28" s="12">
        <v>42</v>
      </c>
      <c r="AA28" s="12">
        <v>39</v>
      </c>
      <c r="AB28" s="12">
        <v>78</v>
      </c>
      <c r="AC28" s="12">
        <v>69</v>
      </c>
      <c r="AD28" s="12">
        <v>61</v>
      </c>
      <c r="AE28" s="12">
        <v>57</v>
      </c>
      <c r="AF28" s="12">
        <v>81</v>
      </c>
    </row>
    <row r="29" spans="1:32" ht="23.25" x14ac:dyDescent="0.25">
      <c r="A29" s="19"/>
      <c r="B29" s="13" t="s">
        <v>297</v>
      </c>
      <c r="C29" s="14">
        <v>7.0000000000000007E-2</v>
      </c>
      <c r="D29" s="14">
        <v>0.08</v>
      </c>
      <c r="E29" s="14">
        <v>0.05</v>
      </c>
      <c r="F29" s="14">
        <v>0.08</v>
      </c>
      <c r="G29" s="14">
        <v>7.0000000000000007E-2</v>
      </c>
      <c r="H29" s="14">
        <v>0.09</v>
      </c>
      <c r="I29" s="14">
        <v>0.08</v>
      </c>
      <c r="J29" s="14">
        <v>0.04</v>
      </c>
      <c r="K29" s="14">
        <v>0.06</v>
      </c>
      <c r="L29" s="14">
        <v>0.08</v>
      </c>
      <c r="M29" s="14">
        <v>7.0000000000000007E-2</v>
      </c>
      <c r="N29" s="14">
        <v>7.0000000000000007E-2</v>
      </c>
      <c r="O29" s="14">
        <v>7.0000000000000007E-2</v>
      </c>
      <c r="P29" s="14">
        <v>7.0000000000000007E-2</v>
      </c>
      <c r="Q29" s="14">
        <v>0.06</v>
      </c>
      <c r="R29" s="14">
        <v>0.05</v>
      </c>
      <c r="S29" s="14">
        <v>0.11</v>
      </c>
      <c r="T29" s="14">
        <v>0.06</v>
      </c>
      <c r="U29" s="14">
        <v>0.06</v>
      </c>
      <c r="V29" s="14">
        <v>0.06</v>
      </c>
      <c r="W29" s="14">
        <v>0.04</v>
      </c>
      <c r="X29" s="14">
        <v>0.06</v>
      </c>
      <c r="Y29" s="14">
        <v>0.08</v>
      </c>
      <c r="Z29" s="14">
        <v>0.04</v>
      </c>
      <c r="AA29" s="14">
        <v>0.04</v>
      </c>
      <c r="AB29" s="14">
        <v>7.0000000000000007E-2</v>
      </c>
      <c r="AC29" s="14">
        <v>7.0000000000000007E-2</v>
      </c>
      <c r="AD29" s="14">
        <v>0.06</v>
      </c>
      <c r="AE29" s="14">
        <v>0.06</v>
      </c>
      <c r="AF29" s="14">
        <v>0.08</v>
      </c>
    </row>
    <row r="30" spans="1:32" ht="45.75" x14ac:dyDescent="0.25">
      <c r="A30" s="19"/>
      <c r="B30" s="11" t="s">
        <v>298</v>
      </c>
      <c r="C30" s="12">
        <v>1197</v>
      </c>
      <c r="D30" s="12">
        <v>34</v>
      </c>
      <c r="E30" s="12">
        <v>40</v>
      </c>
      <c r="F30" s="12">
        <v>50</v>
      </c>
      <c r="G30" s="12">
        <v>62</v>
      </c>
      <c r="H30" s="12">
        <v>31</v>
      </c>
      <c r="I30" s="12">
        <v>48</v>
      </c>
      <c r="J30" s="12">
        <v>17</v>
      </c>
      <c r="K30" s="12">
        <v>24</v>
      </c>
      <c r="L30" s="12">
        <v>39</v>
      </c>
      <c r="M30" s="12">
        <v>40</v>
      </c>
      <c r="N30" s="12">
        <v>63</v>
      </c>
      <c r="O30" s="12">
        <v>57</v>
      </c>
      <c r="P30" s="12">
        <v>60</v>
      </c>
      <c r="Q30" s="12">
        <v>49</v>
      </c>
      <c r="R30" s="12">
        <v>31</v>
      </c>
      <c r="S30" s="12">
        <v>31</v>
      </c>
      <c r="T30" s="12">
        <v>24</v>
      </c>
      <c r="U30" s="12">
        <v>13</v>
      </c>
      <c r="V30" s="12">
        <v>40</v>
      </c>
      <c r="W30" s="12">
        <v>29</v>
      </c>
      <c r="X30" s="12">
        <v>27</v>
      </c>
      <c r="Y30" s="12">
        <v>27</v>
      </c>
      <c r="Z30" s="12">
        <v>42</v>
      </c>
      <c r="AA30" s="12">
        <v>56</v>
      </c>
      <c r="AB30" s="12">
        <v>44</v>
      </c>
      <c r="AC30" s="12">
        <v>53</v>
      </c>
      <c r="AD30" s="12">
        <v>49</v>
      </c>
      <c r="AE30" s="12">
        <v>64</v>
      </c>
      <c r="AF30" s="12">
        <v>64</v>
      </c>
    </row>
    <row r="31" spans="1:32" ht="45.75" x14ac:dyDescent="0.25">
      <c r="A31" s="19"/>
      <c r="B31" s="13" t="s">
        <v>299</v>
      </c>
      <c r="C31" s="14">
        <v>0.05</v>
      </c>
      <c r="D31" s="14">
        <v>0.03</v>
      </c>
      <c r="E31" s="14">
        <v>0.04</v>
      </c>
      <c r="F31" s="14">
        <v>0.05</v>
      </c>
      <c r="G31" s="14">
        <v>0.06</v>
      </c>
      <c r="H31" s="14">
        <v>0.03</v>
      </c>
      <c r="I31" s="14">
        <v>0.03</v>
      </c>
      <c r="J31" s="14">
        <v>0.06</v>
      </c>
      <c r="K31" s="14">
        <v>0.02</v>
      </c>
      <c r="L31" s="14">
        <v>0.04</v>
      </c>
      <c r="M31" s="14">
        <v>0.04</v>
      </c>
      <c r="N31" s="14">
        <v>0.06</v>
      </c>
      <c r="O31" s="14">
        <v>0.06</v>
      </c>
      <c r="P31" s="14">
        <v>0.06</v>
      </c>
      <c r="Q31" s="14">
        <v>0.05</v>
      </c>
      <c r="R31" s="14">
        <v>0.06</v>
      </c>
      <c r="S31" s="14">
        <v>0.03</v>
      </c>
      <c r="T31" s="14">
        <v>0.02</v>
      </c>
      <c r="U31" s="14">
        <v>0.03</v>
      </c>
      <c r="V31" s="14">
        <v>0.04</v>
      </c>
      <c r="W31" s="14">
        <v>0.06</v>
      </c>
      <c r="X31" s="14">
        <v>0.03</v>
      </c>
      <c r="Y31" s="14">
        <v>0.03</v>
      </c>
      <c r="Z31" s="14">
        <v>0.04</v>
      </c>
      <c r="AA31" s="14">
        <v>0.05</v>
      </c>
      <c r="AB31" s="14">
        <v>0.04</v>
      </c>
      <c r="AC31" s="14">
        <v>0.05</v>
      </c>
      <c r="AD31" s="14">
        <v>0.05</v>
      </c>
      <c r="AE31" s="14">
        <v>0.06</v>
      </c>
      <c r="AF31" s="14">
        <v>0.06</v>
      </c>
    </row>
    <row r="32" spans="1:32" x14ac:dyDescent="0.25">
      <c r="A32" s="19"/>
      <c r="B32" s="11" t="s">
        <v>300</v>
      </c>
      <c r="C32" s="12">
        <v>3507</v>
      </c>
      <c r="D32" s="12">
        <v>128</v>
      </c>
      <c r="E32" s="12">
        <v>80</v>
      </c>
      <c r="F32" s="12">
        <v>107</v>
      </c>
      <c r="G32" s="12">
        <v>220</v>
      </c>
      <c r="H32" s="12">
        <v>250</v>
      </c>
      <c r="I32" s="12">
        <v>289</v>
      </c>
      <c r="J32" s="12">
        <v>39</v>
      </c>
      <c r="K32" s="12">
        <v>38</v>
      </c>
      <c r="L32" s="12">
        <v>95</v>
      </c>
      <c r="M32" s="12">
        <v>114</v>
      </c>
      <c r="N32" s="12">
        <v>148</v>
      </c>
      <c r="O32" s="12">
        <v>106</v>
      </c>
      <c r="P32" s="12">
        <v>46</v>
      </c>
      <c r="Q32" s="12">
        <v>112</v>
      </c>
      <c r="R32" s="12">
        <v>60</v>
      </c>
      <c r="S32" s="12">
        <v>78</v>
      </c>
      <c r="T32" s="12">
        <v>73</v>
      </c>
      <c r="U32" s="12">
        <v>70</v>
      </c>
      <c r="V32" s="12">
        <v>118</v>
      </c>
      <c r="W32" s="12">
        <v>43</v>
      </c>
      <c r="X32" s="12">
        <v>172</v>
      </c>
      <c r="Y32" s="12">
        <v>134</v>
      </c>
      <c r="Z32" s="12">
        <v>99</v>
      </c>
      <c r="AA32" s="12">
        <v>87</v>
      </c>
      <c r="AB32" s="12">
        <v>104</v>
      </c>
      <c r="AC32" s="12">
        <v>62</v>
      </c>
      <c r="AD32" s="12">
        <v>90</v>
      </c>
      <c r="AE32" s="12">
        <v>151</v>
      </c>
      <c r="AF32" s="12">
        <v>286</v>
      </c>
    </row>
    <row r="33" spans="1:32" x14ac:dyDescent="0.25">
      <c r="A33" s="19"/>
      <c r="B33" s="13" t="s">
        <v>301</v>
      </c>
      <c r="C33" s="14">
        <v>0.13</v>
      </c>
      <c r="D33" s="14">
        <v>0.13</v>
      </c>
      <c r="E33" s="14">
        <v>0.08</v>
      </c>
      <c r="F33" s="14">
        <v>0.1</v>
      </c>
      <c r="G33" s="14">
        <v>0.22</v>
      </c>
      <c r="H33" s="14">
        <v>0.2</v>
      </c>
      <c r="I33" s="14">
        <v>0.19</v>
      </c>
      <c r="J33" s="14">
        <v>0.13</v>
      </c>
      <c r="K33" s="14">
        <v>0.04</v>
      </c>
      <c r="L33" s="14">
        <v>0.1</v>
      </c>
      <c r="M33" s="14">
        <v>0.11</v>
      </c>
      <c r="N33" s="14">
        <v>0.15</v>
      </c>
      <c r="O33" s="14">
        <v>0.11</v>
      </c>
      <c r="P33" s="14">
        <v>0.05</v>
      </c>
      <c r="Q33" s="14">
        <v>0.11</v>
      </c>
      <c r="R33" s="14">
        <v>0.12</v>
      </c>
      <c r="S33" s="14">
        <v>0.08</v>
      </c>
      <c r="T33" s="14">
        <v>7.0000000000000007E-2</v>
      </c>
      <c r="U33" s="14">
        <v>0.14000000000000001</v>
      </c>
      <c r="V33" s="14">
        <v>0.12</v>
      </c>
      <c r="W33" s="14">
        <v>0.09</v>
      </c>
      <c r="X33" s="14">
        <v>0.17</v>
      </c>
      <c r="Y33" s="14">
        <v>0.13</v>
      </c>
      <c r="Z33" s="14">
        <v>0.1</v>
      </c>
      <c r="AA33" s="14">
        <v>0.08</v>
      </c>
      <c r="AB33" s="14">
        <v>0.1</v>
      </c>
      <c r="AC33" s="14">
        <v>0.06</v>
      </c>
      <c r="AD33" s="14">
        <v>0.09</v>
      </c>
      <c r="AE33" s="14">
        <v>0.15</v>
      </c>
      <c r="AF33" s="14">
        <v>0.28000000000000003</v>
      </c>
    </row>
    <row r="34" spans="1:32" x14ac:dyDescent="0.25">
      <c r="A34" s="19"/>
      <c r="B34" s="11" t="s">
        <v>302</v>
      </c>
      <c r="C34" s="12">
        <v>1762</v>
      </c>
      <c r="D34" s="12">
        <v>68</v>
      </c>
      <c r="E34" s="12">
        <v>68</v>
      </c>
      <c r="F34" s="12">
        <v>51</v>
      </c>
      <c r="G34" s="12">
        <v>73</v>
      </c>
      <c r="H34" s="12">
        <v>93</v>
      </c>
      <c r="I34" s="12">
        <v>114</v>
      </c>
      <c r="J34" s="12">
        <v>21</v>
      </c>
      <c r="K34" s="12">
        <v>58</v>
      </c>
      <c r="L34" s="12">
        <v>88</v>
      </c>
      <c r="M34" s="12">
        <v>141</v>
      </c>
      <c r="N34" s="12">
        <v>83</v>
      </c>
      <c r="O34" s="12">
        <v>71</v>
      </c>
      <c r="P34" s="12">
        <v>53</v>
      </c>
      <c r="Q34" s="12">
        <v>38</v>
      </c>
      <c r="R34" s="12">
        <v>66</v>
      </c>
      <c r="S34" s="12">
        <v>87</v>
      </c>
      <c r="T34" s="12">
        <v>30</v>
      </c>
      <c r="U34" s="12">
        <v>31</v>
      </c>
      <c r="V34" s="12">
        <v>46</v>
      </c>
      <c r="W34" s="12">
        <v>65</v>
      </c>
      <c r="X34" s="12">
        <v>98</v>
      </c>
      <c r="Y34" s="12">
        <v>88</v>
      </c>
      <c r="Z34" s="12">
        <v>42</v>
      </c>
      <c r="AA34" s="12">
        <v>56</v>
      </c>
      <c r="AB34" s="12">
        <v>60</v>
      </c>
      <c r="AC34" s="12">
        <v>76</v>
      </c>
      <c r="AD34" s="12">
        <v>69</v>
      </c>
      <c r="AE34" s="12">
        <v>124</v>
      </c>
      <c r="AF34" s="12">
        <v>47</v>
      </c>
    </row>
    <row r="35" spans="1:32" x14ac:dyDescent="0.25">
      <c r="A35" s="19"/>
      <c r="B35" s="13" t="s">
        <v>303</v>
      </c>
      <c r="C35" s="14">
        <v>7.0000000000000007E-2</v>
      </c>
      <c r="D35" s="14">
        <v>7.0000000000000007E-2</v>
      </c>
      <c r="E35" s="14">
        <v>7.0000000000000007E-2</v>
      </c>
      <c r="F35" s="14">
        <v>0.05</v>
      </c>
      <c r="G35" s="14">
        <v>7.0000000000000007E-2</v>
      </c>
      <c r="H35" s="14">
        <v>0.08</v>
      </c>
      <c r="I35" s="14">
        <v>0.08</v>
      </c>
      <c r="J35" s="14">
        <v>7.0000000000000007E-2</v>
      </c>
      <c r="K35" s="14">
        <v>0.06</v>
      </c>
      <c r="L35" s="14">
        <v>0.09</v>
      </c>
      <c r="M35" s="14">
        <v>0.14000000000000001</v>
      </c>
      <c r="N35" s="14">
        <v>0.08</v>
      </c>
      <c r="O35" s="14">
        <v>7.0000000000000007E-2</v>
      </c>
      <c r="P35" s="14">
        <v>0.05</v>
      </c>
      <c r="Q35" s="14">
        <v>0.04</v>
      </c>
      <c r="R35" s="14">
        <v>0.13</v>
      </c>
      <c r="S35" s="14">
        <v>0.09</v>
      </c>
      <c r="T35" s="14">
        <v>0.03</v>
      </c>
      <c r="U35" s="14">
        <v>0.06</v>
      </c>
      <c r="V35" s="14">
        <v>0.04</v>
      </c>
      <c r="W35" s="14">
        <v>0.13</v>
      </c>
      <c r="X35" s="14">
        <v>0.1</v>
      </c>
      <c r="Y35" s="14">
        <v>0.09</v>
      </c>
      <c r="Z35" s="14">
        <v>0.04</v>
      </c>
      <c r="AA35" s="14">
        <v>0.05</v>
      </c>
      <c r="AB35" s="14">
        <v>0.06</v>
      </c>
      <c r="AC35" s="14">
        <v>0.08</v>
      </c>
      <c r="AD35" s="14">
        <v>7.0000000000000007E-2</v>
      </c>
      <c r="AE35" s="14">
        <v>0.13</v>
      </c>
      <c r="AF35" s="14">
        <v>0.05</v>
      </c>
    </row>
    <row r="36" spans="1:32" ht="45.75" x14ac:dyDescent="0.25">
      <c r="A36" s="19"/>
      <c r="B36" s="11" t="s">
        <v>304</v>
      </c>
      <c r="C36" s="12">
        <v>1376</v>
      </c>
      <c r="D36" s="12">
        <v>67</v>
      </c>
      <c r="E36" s="12">
        <v>98</v>
      </c>
      <c r="F36" s="12">
        <v>104</v>
      </c>
      <c r="G36" s="12">
        <v>57</v>
      </c>
      <c r="H36" s="12">
        <v>36</v>
      </c>
      <c r="I36" s="12">
        <v>47</v>
      </c>
      <c r="J36" s="12">
        <v>11</v>
      </c>
      <c r="K36" s="12">
        <v>104</v>
      </c>
      <c r="L36" s="12">
        <v>48</v>
      </c>
      <c r="M36" s="12">
        <v>48</v>
      </c>
      <c r="N36" s="12">
        <v>30</v>
      </c>
      <c r="O36" s="12">
        <v>54</v>
      </c>
      <c r="P36" s="12">
        <v>56</v>
      </c>
      <c r="Q36" s="12">
        <v>55</v>
      </c>
      <c r="R36" s="12">
        <v>20</v>
      </c>
      <c r="S36" s="12">
        <v>54</v>
      </c>
      <c r="T36" s="12">
        <v>59</v>
      </c>
      <c r="U36" s="12">
        <v>35</v>
      </c>
      <c r="V36" s="12">
        <v>53</v>
      </c>
      <c r="W36" s="12">
        <v>24</v>
      </c>
      <c r="X36" s="12">
        <v>65</v>
      </c>
      <c r="Y36" s="12">
        <v>33</v>
      </c>
      <c r="Z36" s="12">
        <v>72</v>
      </c>
      <c r="AA36" s="12">
        <v>99</v>
      </c>
      <c r="AB36" s="12">
        <v>89</v>
      </c>
      <c r="AC36" s="12">
        <v>64</v>
      </c>
      <c r="AD36" s="12">
        <v>68</v>
      </c>
      <c r="AE36" s="12">
        <v>34</v>
      </c>
      <c r="AF36" s="12">
        <v>33</v>
      </c>
    </row>
    <row r="37" spans="1:32" ht="45.75" x14ac:dyDescent="0.25">
      <c r="A37" s="19"/>
      <c r="B37" s="13" t="s">
        <v>305</v>
      </c>
      <c r="C37" s="14">
        <v>0.05</v>
      </c>
      <c r="D37" s="14">
        <v>7.0000000000000007E-2</v>
      </c>
      <c r="E37" s="14">
        <v>0.09</v>
      </c>
      <c r="F37" s="14">
        <v>0.1</v>
      </c>
      <c r="G37" s="14">
        <v>0.06</v>
      </c>
      <c r="H37" s="14">
        <v>0.03</v>
      </c>
      <c r="I37" s="14">
        <v>0.03</v>
      </c>
      <c r="J37" s="14">
        <v>0.04</v>
      </c>
      <c r="K37" s="14">
        <v>0.1</v>
      </c>
      <c r="L37" s="14">
        <v>0.05</v>
      </c>
      <c r="M37" s="14">
        <v>0.05</v>
      </c>
      <c r="N37" s="14">
        <v>0.03</v>
      </c>
      <c r="O37" s="14">
        <v>0.05</v>
      </c>
      <c r="P37" s="14">
        <v>0.06</v>
      </c>
      <c r="Q37" s="14">
        <v>0.05</v>
      </c>
      <c r="R37" s="14">
        <v>0.04</v>
      </c>
      <c r="S37" s="14">
        <v>0.05</v>
      </c>
      <c r="T37" s="14">
        <v>0.06</v>
      </c>
      <c r="U37" s="14">
        <v>7.0000000000000007E-2</v>
      </c>
      <c r="V37" s="14">
        <v>0.05</v>
      </c>
      <c r="W37" s="14">
        <v>0.05</v>
      </c>
      <c r="X37" s="14">
        <v>0.06</v>
      </c>
      <c r="Y37" s="14">
        <v>0.03</v>
      </c>
      <c r="Z37" s="14">
        <v>7.0000000000000007E-2</v>
      </c>
      <c r="AA37" s="14">
        <v>0.1</v>
      </c>
      <c r="AB37" s="14">
        <v>0.09</v>
      </c>
      <c r="AC37" s="14">
        <v>0.06</v>
      </c>
      <c r="AD37" s="14">
        <v>7.0000000000000007E-2</v>
      </c>
      <c r="AE37" s="14">
        <v>0.04</v>
      </c>
      <c r="AF37" s="14">
        <v>0.03</v>
      </c>
    </row>
    <row r="38" spans="1:32" ht="34.5" x14ac:dyDescent="0.25">
      <c r="A38" s="19"/>
      <c r="B38" s="11" t="s">
        <v>306</v>
      </c>
      <c r="C38" s="12">
        <v>361</v>
      </c>
      <c r="D38" s="12">
        <v>8</v>
      </c>
      <c r="E38" s="12">
        <v>12</v>
      </c>
      <c r="F38" s="12">
        <v>9</v>
      </c>
      <c r="G38" s="12">
        <v>8</v>
      </c>
      <c r="H38" s="12">
        <v>18</v>
      </c>
      <c r="I38" s="12">
        <v>21</v>
      </c>
      <c r="J38" s="12">
        <v>3</v>
      </c>
      <c r="K38" s="12">
        <v>6</v>
      </c>
      <c r="L38" s="12">
        <v>14</v>
      </c>
      <c r="M38" s="12">
        <v>2</v>
      </c>
      <c r="N38" s="12">
        <v>14</v>
      </c>
      <c r="O38" s="12">
        <v>10</v>
      </c>
      <c r="P38" s="12">
        <v>9</v>
      </c>
      <c r="Q38" s="12">
        <v>19</v>
      </c>
      <c r="R38" s="12">
        <v>2</v>
      </c>
      <c r="S38" s="12">
        <v>3</v>
      </c>
      <c r="T38" s="12">
        <v>10</v>
      </c>
      <c r="U38" s="12">
        <v>3</v>
      </c>
      <c r="V38" s="12">
        <v>25</v>
      </c>
      <c r="W38" s="12">
        <v>15</v>
      </c>
      <c r="X38" s="12">
        <v>14</v>
      </c>
      <c r="Y38" s="12">
        <v>19</v>
      </c>
      <c r="Z38" s="12">
        <v>22</v>
      </c>
      <c r="AA38" s="12">
        <v>12</v>
      </c>
      <c r="AB38" s="12">
        <v>15</v>
      </c>
      <c r="AC38" s="12">
        <v>6</v>
      </c>
      <c r="AD38" s="12">
        <v>13</v>
      </c>
      <c r="AE38" s="12">
        <v>2</v>
      </c>
      <c r="AF38" s="12">
        <v>7</v>
      </c>
    </row>
    <row r="39" spans="1:32" ht="23.25" x14ac:dyDescent="0.25">
      <c r="A39" s="19"/>
      <c r="B39" s="13" t="s">
        <v>307</v>
      </c>
      <c r="C39" s="14">
        <v>0.01</v>
      </c>
      <c r="D39" s="14">
        <v>0.01</v>
      </c>
      <c r="E39" s="14">
        <v>0.01</v>
      </c>
      <c r="F39" s="14">
        <v>0.01</v>
      </c>
      <c r="G39" s="14">
        <v>0.01</v>
      </c>
      <c r="H39" s="14">
        <v>0.01</v>
      </c>
      <c r="I39" s="14">
        <v>0.01</v>
      </c>
      <c r="J39" s="14">
        <v>0.01</v>
      </c>
      <c r="K39" s="14">
        <v>0.01</v>
      </c>
      <c r="L39" s="14">
        <v>0.01</v>
      </c>
      <c r="M39" s="15" t="s">
        <v>213</v>
      </c>
      <c r="N39" s="14">
        <v>0.01</v>
      </c>
      <c r="O39" s="14">
        <v>0.01</v>
      </c>
      <c r="P39" s="14">
        <v>0.01</v>
      </c>
      <c r="Q39" s="14">
        <v>0.02</v>
      </c>
      <c r="R39" s="15" t="s">
        <v>213</v>
      </c>
      <c r="S39" s="15" t="s">
        <v>213</v>
      </c>
      <c r="T39" s="14">
        <v>0.01</v>
      </c>
      <c r="U39" s="14">
        <v>0.01</v>
      </c>
      <c r="V39" s="14">
        <v>0.02</v>
      </c>
      <c r="W39" s="14">
        <v>0.03</v>
      </c>
      <c r="X39" s="14">
        <v>0.01</v>
      </c>
      <c r="Y39" s="14">
        <v>0.02</v>
      </c>
      <c r="Z39" s="14">
        <v>0.02</v>
      </c>
      <c r="AA39" s="14">
        <v>0.01</v>
      </c>
      <c r="AB39" s="14">
        <v>0.01</v>
      </c>
      <c r="AC39" s="14">
        <v>0.01</v>
      </c>
      <c r="AD39" s="14">
        <v>0.01</v>
      </c>
      <c r="AE39" s="15" t="s">
        <v>213</v>
      </c>
      <c r="AF39" s="14">
        <v>0.01</v>
      </c>
    </row>
    <row r="40" spans="1:32" x14ac:dyDescent="0.25">
      <c r="A40" s="19"/>
      <c r="B40" s="11" t="s">
        <v>308</v>
      </c>
      <c r="C40" s="12">
        <v>7500</v>
      </c>
      <c r="D40" s="12">
        <v>240</v>
      </c>
      <c r="E40" s="12">
        <v>305</v>
      </c>
      <c r="F40" s="12">
        <v>347</v>
      </c>
      <c r="G40" s="12">
        <v>237</v>
      </c>
      <c r="H40" s="12">
        <v>406</v>
      </c>
      <c r="I40" s="12">
        <v>533</v>
      </c>
      <c r="J40" s="12">
        <v>126</v>
      </c>
      <c r="K40" s="12">
        <v>357</v>
      </c>
      <c r="L40" s="12">
        <v>220</v>
      </c>
      <c r="M40" s="12">
        <v>284</v>
      </c>
      <c r="N40" s="12">
        <v>209</v>
      </c>
      <c r="O40" s="12">
        <v>269</v>
      </c>
      <c r="P40" s="12">
        <v>328</v>
      </c>
      <c r="Q40" s="12">
        <v>314</v>
      </c>
      <c r="R40" s="12">
        <v>113</v>
      </c>
      <c r="S40" s="12">
        <v>385</v>
      </c>
      <c r="T40" s="12">
        <v>432</v>
      </c>
      <c r="U40" s="12">
        <v>158</v>
      </c>
      <c r="V40" s="12">
        <v>317</v>
      </c>
      <c r="W40" s="12">
        <v>113</v>
      </c>
      <c r="X40" s="12">
        <v>225</v>
      </c>
      <c r="Y40" s="12">
        <v>302</v>
      </c>
      <c r="Z40" s="12">
        <v>325</v>
      </c>
      <c r="AA40" s="12">
        <v>307</v>
      </c>
      <c r="AB40" s="12">
        <v>183</v>
      </c>
      <c r="AC40" s="12">
        <v>370</v>
      </c>
      <c r="AD40" s="12">
        <v>313</v>
      </c>
      <c r="AE40" s="12">
        <v>300</v>
      </c>
      <c r="AF40" s="12">
        <v>171</v>
      </c>
    </row>
    <row r="41" spans="1:32" x14ac:dyDescent="0.25">
      <c r="A41" s="19"/>
      <c r="B41" s="13" t="s">
        <v>309</v>
      </c>
      <c r="C41" s="14">
        <v>0.28000000000000003</v>
      </c>
      <c r="D41" s="14">
        <v>0.24</v>
      </c>
      <c r="E41" s="14">
        <v>0.28999999999999998</v>
      </c>
      <c r="F41" s="14">
        <v>0.33</v>
      </c>
      <c r="G41" s="14">
        <v>0.23</v>
      </c>
      <c r="H41" s="14">
        <v>0.33</v>
      </c>
      <c r="I41" s="14">
        <v>0.35</v>
      </c>
      <c r="J41" s="14">
        <v>0.42</v>
      </c>
      <c r="K41" s="14">
        <v>0.35</v>
      </c>
      <c r="L41" s="14">
        <v>0.22</v>
      </c>
      <c r="M41" s="14">
        <v>0.28000000000000003</v>
      </c>
      <c r="N41" s="14">
        <v>0.21</v>
      </c>
      <c r="O41" s="14">
        <v>0.27</v>
      </c>
      <c r="P41" s="14">
        <v>0.33</v>
      </c>
      <c r="Q41" s="14">
        <v>0.3</v>
      </c>
      <c r="R41" s="14">
        <v>0.23</v>
      </c>
      <c r="S41" s="14">
        <v>0.38</v>
      </c>
      <c r="T41" s="14">
        <v>0.42</v>
      </c>
      <c r="U41" s="14">
        <v>0.31</v>
      </c>
      <c r="V41" s="14">
        <v>0.31</v>
      </c>
      <c r="W41" s="14">
        <v>0.22</v>
      </c>
      <c r="X41" s="14">
        <v>0.22</v>
      </c>
      <c r="Y41" s="14">
        <v>0.3</v>
      </c>
      <c r="Z41" s="14">
        <v>0.32</v>
      </c>
      <c r="AA41" s="14">
        <v>0.3</v>
      </c>
      <c r="AB41" s="14">
        <v>0.18</v>
      </c>
      <c r="AC41" s="14">
        <v>0.37</v>
      </c>
      <c r="AD41" s="14">
        <v>0.31</v>
      </c>
      <c r="AE41" s="14">
        <v>0.3</v>
      </c>
      <c r="AF41" s="14">
        <v>0.17</v>
      </c>
    </row>
    <row r="42" spans="1:32" x14ac:dyDescent="0.25">
      <c r="A42" s="19"/>
      <c r="B42" s="11" t="s">
        <v>274</v>
      </c>
      <c r="C42" s="12">
        <v>62</v>
      </c>
      <c r="D42" s="12">
        <v>1</v>
      </c>
      <c r="E42" s="12">
        <v>5</v>
      </c>
      <c r="F42" s="12">
        <v>4</v>
      </c>
      <c r="G42" s="12">
        <v>3</v>
      </c>
      <c r="H42" s="12">
        <v>2</v>
      </c>
      <c r="I42" s="12">
        <v>2</v>
      </c>
      <c r="J42" s="12">
        <v>0</v>
      </c>
      <c r="K42" s="12">
        <v>17</v>
      </c>
      <c r="L42" s="12">
        <v>5</v>
      </c>
      <c r="M42" s="12">
        <v>2</v>
      </c>
      <c r="N42" s="12">
        <v>4</v>
      </c>
      <c r="O42" s="12">
        <v>4</v>
      </c>
      <c r="P42" s="12">
        <v>1</v>
      </c>
      <c r="Q42" s="12">
        <v>1</v>
      </c>
      <c r="R42" s="12">
        <v>0</v>
      </c>
      <c r="S42" s="12">
        <v>4</v>
      </c>
      <c r="T42" s="12">
        <v>3</v>
      </c>
      <c r="U42" s="12">
        <v>0</v>
      </c>
      <c r="V42" s="12">
        <v>0</v>
      </c>
      <c r="W42" s="12">
        <v>1</v>
      </c>
      <c r="X42" s="12">
        <v>1</v>
      </c>
      <c r="Y42" s="12">
        <v>23</v>
      </c>
      <c r="Z42" s="12">
        <v>0</v>
      </c>
      <c r="AA42" s="12">
        <v>0</v>
      </c>
      <c r="AB42" s="12">
        <v>2</v>
      </c>
      <c r="AC42" s="12">
        <v>1</v>
      </c>
      <c r="AD42" s="12">
        <v>0</v>
      </c>
      <c r="AE42" s="12">
        <v>2</v>
      </c>
      <c r="AF42" s="12">
        <v>2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4">
        <v>0.02</v>
      </c>
      <c r="L43" s="15" t="s">
        <v>213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5" t="s">
        <v>213</v>
      </c>
      <c r="T43" s="15" t="s">
        <v>213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4">
        <v>0.02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112</v>
      </c>
      <c r="D44" s="12">
        <v>6</v>
      </c>
      <c r="E44" s="12">
        <v>6</v>
      </c>
      <c r="F44" s="12">
        <v>13</v>
      </c>
      <c r="G44" s="12">
        <v>1</v>
      </c>
      <c r="H44" s="12">
        <v>7</v>
      </c>
      <c r="I44" s="12">
        <v>7</v>
      </c>
      <c r="J44" s="12">
        <v>0</v>
      </c>
      <c r="K44" s="12">
        <v>6</v>
      </c>
      <c r="L44" s="12">
        <v>1</v>
      </c>
      <c r="M44" s="12">
        <v>0</v>
      </c>
      <c r="N44" s="12">
        <v>3</v>
      </c>
      <c r="O44" s="12">
        <v>8</v>
      </c>
      <c r="P44" s="12">
        <v>0</v>
      </c>
      <c r="Q44" s="12">
        <v>3</v>
      </c>
      <c r="R44" s="12">
        <v>1</v>
      </c>
      <c r="S44" s="12">
        <v>5</v>
      </c>
      <c r="T44" s="12">
        <v>10</v>
      </c>
      <c r="U44" s="12">
        <v>0</v>
      </c>
      <c r="V44" s="12">
        <v>0</v>
      </c>
      <c r="W44" s="12">
        <v>2</v>
      </c>
      <c r="X44" s="12">
        <v>10</v>
      </c>
      <c r="Y44" s="12">
        <v>4</v>
      </c>
      <c r="Z44" s="12">
        <v>3</v>
      </c>
      <c r="AA44" s="12">
        <v>0</v>
      </c>
      <c r="AB44" s="12">
        <v>1</v>
      </c>
      <c r="AC44" s="12">
        <v>2</v>
      </c>
      <c r="AD44" s="12">
        <v>1</v>
      </c>
      <c r="AE44" s="12">
        <v>2</v>
      </c>
      <c r="AF44" s="12">
        <v>3</v>
      </c>
    </row>
    <row r="45" spans="1:32" x14ac:dyDescent="0.25">
      <c r="A45" s="19"/>
      <c r="B45" s="13" t="s">
        <v>277</v>
      </c>
      <c r="C45" s="15" t="s">
        <v>213</v>
      </c>
      <c r="D45" s="14">
        <v>0.01</v>
      </c>
      <c r="E45" s="14">
        <v>0.01</v>
      </c>
      <c r="F45" s="14">
        <v>0.01</v>
      </c>
      <c r="G45" s="15" t="s">
        <v>213</v>
      </c>
      <c r="H45" s="14">
        <v>0.01</v>
      </c>
      <c r="I45" s="14">
        <v>0.01</v>
      </c>
      <c r="J45" s="15" t="s">
        <v>213</v>
      </c>
      <c r="K45" s="14">
        <v>0.01</v>
      </c>
      <c r="L45" s="15" t="s">
        <v>213</v>
      </c>
      <c r="M45" s="15" t="s">
        <v>213</v>
      </c>
      <c r="N45" s="15" t="s">
        <v>213</v>
      </c>
      <c r="O45" s="14">
        <v>0.01</v>
      </c>
      <c r="P45" s="15" t="s">
        <v>213</v>
      </c>
      <c r="Q45" s="15" t="s">
        <v>213</v>
      </c>
      <c r="R45" s="15" t="s">
        <v>213</v>
      </c>
      <c r="S45" s="14">
        <v>0.01</v>
      </c>
      <c r="T45" s="14">
        <v>0.01</v>
      </c>
      <c r="U45" s="15" t="s">
        <v>213</v>
      </c>
      <c r="V45" s="15" t="s">
        <v>213</v>
      </c>
      <c r="W45" s="15" t="s">
        <v>213</v>
      </c>
      <c r="X45" s="14">
        <v>0.01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5" t="s">
        <v>213</v>
      </c>
      <c r="AF45" s="15" t="s">
        <v>213</v>
      </c>
    </row>
    <row r="46" spans="1:32" x14ac:dyDescent="0.25">
      <c r="A46" s="19"/>
      <c r="B46" s="11" t="s">
        <v>224</v>
      </c>
      <c r="C46" s="12">
        <v>137</v>
      </c>
      <c r="D46" s="12">
        <v>0</v>
      </c>
      <c r="E46" s="12">
        <v>12</v>
      </c>
      <c r="F46" s="12">
        <v>16</v>
      </c>
      <c r="G46" s="12">
        <v>6</v>
      </c>
      <c r="H46" s="12">
        <v>2</v>
      </c>
      <c r="I46" s="12">
        <v>2</v>
      </c>
      <c r="J46" s="12">
        <v>0</v>
      </c>
      <c r="K46" s="12">
        <v>9</v>
      </c>
      <c r="L46" s="12">
        <v>7</v>
      </c>
      <c r="M46" s="12">
        <v>0</v>
      </c>
      <c r="N46" s="12">
        <v>11</v>
      </c>
      <c r="O46" s="12">
        <v>8</v>
      </c>
      <c r="P46" s="12">
        <v>2</v>
      </c>
      <c r="Q46" s="12">
        <v>6</v>
      </c>
      <c r="R46" s="12">
        <v>2</v>
      </c>
      <c r="S46" s="12">
        <v>10</v>
      </c>
      <c r="T46" s="12">
        <v>14</v>
      </c>
      <c r="U46" s="12">
        <v>0</v>
      </c>
      <c r="V46" s="12">
        <v>3</v>
      </c>
      <c r="W46" s="12">
        <v>3</v>
      </c>
      <c r="X46" s="12">
        <v>1</v>
      </c>
      <c r="Y46" s="12">
        <v>3</v>
      </c>
      <c r="Z46" s="12">
        <v>2</v>
      </c>
      <c r="AA46" s="12">
        <v>7</v>
      </c>
      <c r="AB46" s="12">
        <v>8</v>
      </c>
      <c r="AC46" s="12">
        <v>3</v>
      </c>
      <c r="AD46" s="12">
        <v>0</v>
      </c>
      <c r="AE46" s="12">
        <v>3</v>
      </c>
      <c r="AF46" s="12">
        <v>0</v>
      </c>
    </row>
    <row r="47" spans="1:32" x14ac:dyDescent="0.25">
      <c r="A47" s="19"/>
      <c r="B47" s="13" t="s">
        <v>237</v>
      </c>
      <c r="C47" s="14">
        <v>0.01</v>
      </c>
      <c r="D47" s="15" t="s">
        <v>213</v>
      </c>
      <c r="E47" s="14">
        <v>0.01</v>
      </c>
      <c r="F47" s="14">
        <v>0.01</v>
      </c>
      <c r="G47" s="14">
        <v>0.01</v>
      </c>
      <c r="H47" s="15" t="s">
        <v>213</v>
      </c>
      <c r="I47" s="15" t="s">
        <v>213</v>
      </c>
      <c r="J47" s="15" t="s">
        <v>213</v>
      </c>
      <c r="K47" s="14">
        <v>0.01</v>
      </c>
      <c r="L47" s="14">
        <v>0.01</v>
      </c>
      <c r="M47" s="15" t="s">
        <v>213</v>
      </c>
      <c r="N47" s="14">
        <v>0.01</v>
      </c>
      <c r="O47" s="14">
        <v>0.01</v>
      </c>
      <c r="P47" s="15" t="s">
        <v>213</v>
      </c>
      <c r="Q47" s="14">
        <v>0.01</v>
      </c>
      <c r="R47" s="15" t="s">
        <v>213</v>
      </c>
      <c r="S47" s="14">
        <v>0.01</v>
      </c>
      <c r="T47" s="14">
        <v>0.01</v>
      </c>
      <c r="U47" s="15" t="s">
        <v>213</v>
      </c>
      <c r="V47" s="15" t="s">
        <v>213</v>
      </c>
      <c r="W47" s="14">
        <v>0.01</v>
      </c>
      <c r="X47" s="15" t="s">
        <v>213</v>
      </c>
      <c r="Y47" s="15" t="s">
        <v>213</v>
      </c>
      <c r="Z47" s="15" t="s">
        <v>213</v>
      </c>
      <c r="AA47" s="14">
        <v>0.01</v>
      </c>
      <c r="AB47" s="14">
        <v>0.01</v>
      </c>
      <c r="AC47" s="15" t="s">
        <v>213</v>
      </c>
      <c r="AD47" s="15" t="s">
        <v>213</v>
      </c>
      <c r="AE47" s="15" t="s">
        <v>213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27</v>
      </c>
      <c r="C3" s="18"/>
      <c r="D3" s="18"/>
      <c r="E3" s="18"/>
      <c r="F3" s="18"/>
      <c r="H3" s="18" t="s">
        <v>28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24" customHeight="1" x14ac:dyDescent="0.25">
      <c r="B5" s="18" t="s">
        <v>310</v>
      </c>
      <c r="C5" s="18"/>
      <c r="D5" s="18"/>
      <c r="E5" s="18"/>
      <c r="F5" s="18"/>
      <c r="H5" s="18" t="s">
        <v>311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26204</v>
      </c>
      <c r="D10" s="10">
        <v>1015</v>
      </c>
      <c r="E10" s="10">
        <v>1028</v>
      </c>
      <c r="F10" s="10">
        <v>1035</v>
      </c>
      <c r="G10" s="10">
        <v>1009</v>
      </c>
      <c r="H10" s="10">
        <v>1221</v>
      </c>
      <c r="I10" s="10">
        <v>1518</v>
      </c>
      <c r="J10" s="10">
        <v>297</v>
      </c>
      <c r="K10" s="10">
        <v>991</v>
      </c>
      <c r="L10" s="10">
        <v>998</v>
      </c>
      <c r="M10" s="10">
        <v>1007</v>
      </c>
      <c r="N10" s="10">
        <v>997</v>
      </c>
      <c r="O10" s="10">
        <v>988</v>
      </c>
      <c r="P10" s="10">
        <v>1001</v>
      </c>
      <c r="Q10" s="10">
        <v>1022</v>
      </c>
      <c r="R10" s="10">
        <v>498</v>
      </c>
      <c r="S10" s="10">
        <v>989</v>
      </c>
      <c r="T10" s="10">
        <v>998</v>
      </c>
      <c r="U10" s="10">
        <v>508</v>
      </c>
      <c r="V10" s="10">
        <v>1023</v>
      </c>
      <c r="W10" s="10">
        <v>497</v>
      </c>
      <c r="X10" s="10">
        <v>1000</v>
      </c>
      <c r="Y10" s="10">
        <v>997</v>
      </c>
      <c r="Z10" s="10">
        <v>1011</v>
      </c>
      <c r="AA10" s="10">
        <v>1030</v>
      </c>
      <c r="AB10" s="10">
        <v>1031</v>
      </c>
      <c r="AC10" s="10">
        <v>1000</v>
      </c>
      <c r="AD10" s="10">
        <v>1002</v>
      </c>
      <c r="AE10" s="10">
        <v>995</v>
      </c>
      <c r="AF10" s="10">
        <v>1028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280</v>
      </c>
      <c r="C12" s="12">
        <v>2794</v>
      </c>
      <c r="D12" s="12">
        <v>139</v>
      </c>
      <c r="E12" s="12">
        <v>72</v>
      </c>
      <c r="F12" s="12">
        <v>75</v>
      </c>
      <c r="G12" s="12">
        <v>79</v>
      </c>
      <c r="H12" s="12">
        <v>88</v>
      </c>
      <c r="I12" s="12">
        <v>116</v>
      </c>
      <c r="J12" s="12">
        <v>27</v>
      </c>
      <c r="K12" s="12">
        <v>75</v>
      </c>
      <c r="L12" s="12">
        <v>96</v>
      </c>
      <c r="M12" s="12">
        <v>53</v>
      </c>
      <c r="N12" s="12">
        <v>143</v>
      </c>
      <c r="O12" s="12">
        <v>146</v>
      </c>
      <c r="P12" s="12">
        <v>89</v>
      </c>
      <c r="Q12" s="12">
        <v>116</v>
      </c>
      <c r="R12" s="12">
        <v>25</v>
      </c>
      <c r="S12" s="12">
        <v>54</v>
      </c>
      <c r="T12" s="12">
        <v>59</v>
      </c>
      <c r="U12" s="12">
        <v>50</v>
      </c>
      <c r="V12" s="12">
        <v>77</v>
      </c>
      <c r="W12" s="12">
        <v>53</v>
      </c>
      <c r="X12" s="12">
        <v>145</v>
      </c>
      <c r="Y12" s="12">
        <v>112</v>
      </c>
      <c r="Z12" s="12">
        <v>82</v>
      </c>
      <c r="AA12" s="12">
        <v>153</v>
      </c>
      <c r="AB12" s="12">
        <v>65</v>
      </c>
      <c r="AC12" s="12">
        <v>91</v>
      </c>
      <c r="AD12" s="12">
        <v>67</v>
      </c>
      <c r="AE12" s="12">
        <v>90</v>
      </c>
      <c r="AF12" s="12">
        <v>135</v>
      </c>
    </row>
    <row r="13" spans="1:32" ht="23.25" x14ac:dyDescent="0.25">
      <c r="A13" s="19"/>
      <c r="B13" s="13" t="s">
        <v>281</v>
      </c>
      <c r="C13" s="14">
        <v>0.11</v>
      </c>
      <c r="D13" s="14">
        <v>0.15</v>
      </c>
      <c r="E13" s="14">
        <v>7.0000000000000007E-2</v>
      </c>
      <c r="F13" s="14">
        <v>7.0000000000000007E-2</v>
      </c>
      <c r="G13" s="14">
        <v>0.08</v>
      </c>
      <c r="H13" s="14">
        <v>7.0000000000000007E-2</v>
      </c>
      <c r="I13" s="14">
        <v>0.08</v>
      </c>
      <c r="J13" s="14">
        <v>0.09</v>
      </c>
      <c r="K13" s="14">
        <v>0.08</v>
      </c>
      <c r="L13" s="14">
        <v>0.1</v>
      </c>
      <c r="M13" s="14">
        <v>0.05</v>
      </c>
      <c r="N13" s="14">
        <v>0.15</v>
      </c>
      <c r="O13" s="14">
        <v>0.16</v>
      </c>
      <c r="P13" s="14">
        <v>0.09</v>
      </c>
      <c r="Q13" s="14">
        <v>0.12</v>
      </c>
      <c r="R13" s="14">
        <v>0.05</v>
      </c>
      <c r="S13" s="14">
        <v>0.06</v>
      </c>
      <c r="T13" s="14">
        <v>0.06</v>
      </c>
      <c r="U13" s="14">
        <v>0.1</v>
      </c>
      <c r="V13" s="14">
        <v>0.08</v>
      </c>
      <c r="W13" s="14">
        <v>0.11</v>
      </c>
      <c r="X13" s="14">
        <v>0.15</v>
      </c>
      <c r="Y13" s="14">
        <v>0.12</v>
      </c>
      <c r="Z13" s="14">
        <v>0.08</v>
      </c>
      <c r="AA13" s="14">
        <v>0.16</v>
      </c>
      <c r="AB13" s="14">
        <v>7.0000000000000007E-2</v>
      </c>
      <c r="AC13" s="14">
        <v>0.09</v>
      </c>
      <c r="AD13" s="14">
        <v>7.0000000000000007E-2</v>
      </c>
      <c r="AE13" s="14">
        <v>0.09</v>
      </c>
      <c r="AF13" s="14">
        <v>0.14000000000000001</v>
      </c>
    </row>
    <row r="14" spans="1:32" ht="34.5" x14ac:dyDescent="0.25">
      <c r="A14" s="19"/>
      <c r="B14" s="11" t="s">
        <v>282</v>
      </c>
      <c r="C14" s="12">
        <v>2031</v>
      </c>
      <c r="D14" s="12">
        <v>79</v>
      </c>
      <c r="E14" s="12">
        <v>57</v>
      </c>
      <c r="F14" s="12">
        <v>35</v>
      </c>
      <c r="G14" s="12">
        <v>69</v>
      </c>
      <c r="H14" s="12">
        <v>77</v>
      </c>
      <c r="I14" s="12">
        <v>100</v>
      </c>
      <c r="J14" s="12">
        <v>23</v>
      </c>
      <c r="K14" s="12">
        <v>56</v>
      </c>
      <c r="L14" s="12">
        <v>76</v>
      </c>
      <c r="M14" s="12">
        <v>86</v>
      </c>
      <c r="N14" s="12">
        <v>72</v>
      </c>
      <c r="O14" s="12">
        <v>83</v>
      </c>
      <c r="P14" s="12">
        <v>77</v>
      </c>
      <c r="Q14" s="12">
        <v>90</v>
      </c>
      <c r="R14" s="12">
        <v>28</v>
      </c>
      <c r="S14" s="12">
        <v>54</v>
      </c>
      <c r="T14" s="12">
        <v>76</v>
      </c>
      <c r="U14" s="12">
        <v>44</v>
      </c>
      <c r="V14" s="12">
        <v>109</v>
      </c>
      <c r="W14" s="12">
        <v>48</v>
      </c>
      <c r="X14" s="12">
        <v>87</v>
      </c>
      <c r="Y14" s="12">
        <v>86</v>
      </c>
      <c r="Z14" s="12">
        <v>82</v>
      </c>
      <c r="AA14" s="12">
        <v>115</v>
      </c>
      <c r="AB14" s="12">
        <v>88</v>
      </c>
      <c r="AC14" s="12">
        <v>37</v>
      </c>
      <c r="AD14" s="12">
        <v>44</v>
      </c>
      <c r="AE14" s="12">
        <v>93</v>
      </c>
      <c r="AF14" s="12">
        <v>60</v>
      </c>
    </row>
    <row r="15" spans="1:32" ht="34.5" x14ac:dyDescent="0.25">
      <c r="A15" s="19"/>
      <c r="B15" s="13" t="s">
        <v>283</v>
      </c>
      <c r="C15" s="14">
        <v>0.08</v>
      </c>
      <c r="D15" s="14">
        <v>0.08</v>
      </c>
      <c r="E15" s="14">
        <v>0.06</v>
      </c>
      <c r="F15" s="14">
        <v>0.03</v>
      </c>
      <c r="G15" s="14">
        <v>7.0000000000000007E-2</v>
      </c>
      <c r="H15" s="14">
        <v>0.06</v>
      </c>
      <c r="I15" s="14">
        <v>7.0000000000000007E-2</v>
      </c>
      <c r="J15" s="14">
        <v>0.08</v>
      </c>
      <c r="K15" s="14">
        <v>0.06</v>
      </c>
      <c r="L15" s="14">
        <v>0.08</v>
      </c>
      <c r="M15" s="14">
        <v>0.09</v>
      </c>
      <c r="N15" s="14">
        <v>7.0000000000000007E-2</v>
      </c>
      <c r="O15" s="14">
        <v>0.09</v>
      </c>
      <c r="P15" s="14">
        <v>0.08</v>
      </c>
      <c r="Q15" s="14">
        <v>0.09</v>
      </c>
      <c r="R15" s="14">
        <v>0.06</v>
      </c>
      <c r="S15" s="14">
        <v>0.06</v>
      </c>
      <c r="T15" s="14">
        <v>0.08</v>
      </c>
      <c r="U15" s="14">
        <v>0.09</v>
      </c>
      <c r="V15" s="14">
        <v>0.11</v>
      </c>
      <c r="W15" s="14">
        <v>0.1</v>
      </c>
      <c r="X15" s="14">
        <v>0.09</v>
      </c>
      <c r="Y15" s="14">
        <v>0.09</v>
      </c>
      <c r="Z15" s="14">
        <v>0.08</v>
      </c>
      <c r="AA15" s="14">
        <v>0.12</v>
      </c>
      <c r="AB15" s="14">
        <v>0.09</v>
      </c>
      <c r="AC15" s="14">
        <v>0.04</v>
      </c>
      <c r="AD15" s="14">
        <v>0.04</v>
      </c>
      <c r="AE15" s="14">
        <v>0.1</v>
      </c>
      <c r="AF15" s="14">
        <v>0.06</v>
      </c>
    </row>
    <row r="16" spans="1:32" ht="34.5" x14ac:dyDescent="0.25">
      <c r="A16" s="19"/>
      <c r="B16" s="11" t="s">
        <v>284</v>
      </c>
      <c r="C16" s="12">
        <v>2717</v>
      </c>
      <c r="D16" s="12">
        <v>97</v>
      </c>
      <c r="E16" s="12">
        <v>117</v>
      </c>
      <c r="F16" s="12">
        <v>72</v>
      </c>
      <c r="G16" s="12">
        <v>115</v>
      </c>
      <c r="H16" s="12">
        <v>117</v>
      </c>
      <c r="I16" s="12">
        <v>154</v>
      </c>
      <c r="J16" s="12">
        <v>37</v>
      </c>
      <c r="K16" s="12">
        <v>106</v>
      </c>
      <c r="L16" s="12">
        <v>89</v>
      </c>
      <c r="M16" s="12">
        <v>64</v>
      </c>
      <c r="N16" s="12">
        <v>108</v>
      </c>
      <c r="O16" s="12">
        <v>113</v>
      </c>
      <c r="P16" s="12">
        <v>123</v>
      </c>
      <c r="Q16" s="12">
        <v>105</v>
      </c>
      <c r="R16" s="12">
        <v>18</v>
      </c>
      <c r="S16" s="12">
        <v>38</v>
      </c>
      <c r="T16" s="12">
        <v>92</v>
      </c>
      <c r="U16" s="12">
        <v>41</v>
      </c>
      <c r="V16" s="12">
        <v>112</v>
      </c>
      <c r="W16" s="12">
        <v>44</v>
      </c>
      <c r="X16" s="12">
        <v>147</v>
      </c>
      <c r="Y16" s="12">
        <v>105</v>
      </c>
      <c r="Z16" s="12">
        <v>105</v>
      </c>
      <c r="AA16" s="12">
        <v>75</v>
      </c>
      <c r="AB16" s="12">
        <v>85</v>
      </c>
      <c r="AC16" s="12">
        <v>170</v>
      </c>
      <c r="AD16" s="12">
        <v>138</v>
      </c>
      <c r="AE16" s="12">
        <v>92</v>
      </c>
      <c r="AF16" s="12">
        <v>102</v>
      </c>
    </row>
    <row r="17" spans="1:32" ht="23.25" x14ac:dyDescent="0.25">
      <c r="A17" s="19"/>
      <c r="B17" s="13" t="s">
        <v>285</v>
      </c>
      <c r="C17" s="14">
        <v>0.11</v>
      </c>
      <c r="D17" s="14">
        <v>0.1</v>
      </c>
      <c r="E17" s="14">
        <v>0.12</v>
      </c>
      <c r="F17" s="14">
        <v>7.0000000000000007E-2</v>
      </c>
      <c r="G17" s="14">
        <v>0.12</v>
      </c>
      <c r="H17" s="14">
        <v>0.1</v>
      </c>
      <c r="I17" s="14">
        <v>0.11</v>
      </c>
      <c r="J17" s="14">
        <v>0.13</v>
      </c>
      <c r="K17" s="14">
        <v>0.11</v>
      </c>
      <c r="L17" s="14">
        <v>0.09</v>
      </c>
      <c r="M17" s="14">
        <v>0.06</v>
      </c>
      <c r="N17" s="14">
        <v>0.11</v>
      </c>
      <c r="O17" s="14">
        <v>0.12</v>
      </c>
      <c r="P17" s="14">
        <v>0.13</v>
      </c>
      <c r="Q17" s="14">
        <v>0.11</v>
      </c>
      <c r="R17" s="14">
        <v>0.04</v>
      </c>
      <c r="S17" s="14">
        <v>0.04</v>
      </c>
      <c r="T17" s="14">
        <v>0.09</v>
      </c>
      <c r="U17" s="14">
        <v>0.09</v>
      </c>
      <c r="V17" s="14">
        <v>0.11</v>
      </c>
      <c r="W17" s="14">
        <v>0.09</v>
      </c>
      <c r="X17" s="14">
        <v>0.15</v>
      </c>
      <c r="Y17" s="14">
        <v>0.11</v>
      </c>
      <c r="Z17" s="14">
        <v>0.11</v>
      </c>
      <c r="AA17" s="14">
        <v>0.08</v>
      </c>
      <c r="AB17" s="14">
        <v>0.08</v>
      </c>
      <c r="AC17" s="14">
        <v>0.18</v>
      </c>
      <c r="AD17" s="14">
        <v>0.14000000000000001</v>
      </c>
      <c r="AE17" s="14">
        <v>0.09</v>
      </c>
      <c r="AF17" s="14">
        <v>0.1</v>
      </c>
    </row>
    <row r="18" spans="1:32" ht="34.5" x14ac:dyDescent="0.25">
      <c r="A18" s="19"/>
      <c r="B18" s="11" t="s">
        <v>286</v>
      </c>
      <c r="C18" s="12">
        <v>3036</v>
      </c>
      <c r="D18" s="12">
        <v>107</v>
      </c>
      <c r="E18" s="12">
        <v>145</v>
      </c>
      <c r="F18" s="12">
        <v>144</v>
      </c>
      <c r="G18" s="12">
        <v>99</v>
      </c>
      <c r="H18" s="12">
        <v>123</v>
      </c>
      <c r="I18" s="12">
        <v>152</v>
      </c>
      <c r="J18" s="12">
        <v>29</v>
      </c>
      <c r="K18" s="12">
        <v>83</v>
      </c>
      <c r="L18" s="12">
        <v>92</v>
      </c>
      <c r="M18" s="12">
        <v>126</v>
      </c>
      <c r="N18" s="12">
        <v>106</v>
      </c>
      <c r="O18" s="12">
        <v>100</v>
      </c>
      <c r="P18" s="12">
        <v>138</v>
      </c>
      <c r="Q18" s="12">
        <v>138</v>
      </c>
      <c r="R18" s="12">
        <v>60</v>
      </c>
      <c r="S18" s="12">
        <v>60</v>
      </c>
      <c r="T18" s="12">
        <v>115</v>
      </c>
      <c r="U18" s="12">
        <v>60</v>
      </c>
      <c r="V18" s="12">
        <v>110</v>
      </c>
      <c r="W18" s="12">
        <v>41</v>
      </c>
      <c r="X18" s="12">
        <v>124</v>
      </c>
      <c r="Y18" s="12">
        <v>92</v>
      </c>
      <c r="Z18" s="12">
        <v>136</v>
      </c>
      <c r="AA18" s="12">
        <v>169</v>
      </c>
      <c r="AB18" s="12">
        <v>140</v>
      </c>
      <c r="AC18" s="12">
        <v>135</v>
      </c>
      <c r="AD18" s="12">
        <v>176</v>
      </c>
      <c r="AE18" s="12">
        <v>109</v>
      </c>
      <c r="AF18" s="12">
        <v>94</v>
      </c>
    </row>
    <row r="19" spans="1:32" ht="34.5" x14ac:dyDescent="0.25">
      <c r="A19" s="19"/>
      <c r="B19" s="13" t="s">
        <v>287</v>
      </c>
      <c r="C19" s="14">
        <v>0.12</v>
      </c>
      <c r="D19" s="14">
        <v>0.11</v>
      </c>
      <c r="E19" s="14">
        <v>0.15</v>
      </c>
      <c r="F19" s="14">
        <v>0.15</v>
      </c>
      <c r="G19" s="14">
        <v>0.1</v>
      </c>
      <c r="H19" s="14">
        <v>0.11</v>
      </c>
      <c r="I19" s="14">
        <v>0.11</v>
      </c>
      <c r="J19" s="14">
        <v>0.1</v>
      </c>
      <c r="K19" s="14">
        <v>0.09</v>
      </c>
      <c r="L19" s="14">
        <v>0.1</v>
      </c>
      <c r="M19" s="14">
        <v>0.14000000000000001</v>
      </c>
      <c r="N19" s="14">
        <v>0.11</v>
      </c>
      <c r="O19" s="14">
        <v>0.11</v>
      </c>
      <c r="P19" s="14">
        <v>0.15</v>
      </c>
      <c r="Q19" s="14">
        <v>0.14000000000000001</v>
      </c>
      <c r="R19" s="14">
        <v>0.13</v>
      </c>
      <c r="S19" s="14">
        <v>0.06</v>
      </c>
      <c r="T19" s="14">
        <v>0.12</v>
      </c>
      <c r="U19" s="14">
        <v>0.12</v>
      </c>
      <c r="V19" s="14">
        <v>0.11</v>
      </c>
      <c r="W19" s="14">
        <v>0.09</v>
      </c>
      <c r="X19" s="14">
        <v>0.13</v>
      </c>
      <c r="Y19" s="14">
        <v>0.1</v>
      </c>
      <c r="Z19" s="14">
        <v>0.14000000000000001</v>
      </c>
      <c r="AA19" s="14">
        <v>0.18</v>
      </c>
      <c r="AB19" s="14">
        <v>0.15</v>
      </c>
      <c r="AC19" s="14">
        <v>0.14000000000000001</v>
      </c>
      <c r="AD19" s="14">
        <v>0.19</v>
      </c>
      <c r="AE19" s="14">
        <v>0.11</v>
      </c>
      <c r="AF19" s="14">
        <v>0.1</v>
      </c>
    </row>
    <row r="20" spans="1:32" ht="34.5" x14ac:dyDescent="0.25">
      <c r="A20" s="19"/>
      <c r="B20" s="11" t="s">
        <v>288</v>
      </c>
      <c r="C20" s="12">
        <v>1802</v>
      </c>
      <c r="D20" s="12">
        <v>63</v>
      </c>
      <c r="E20" s="12">
        <v>86</v>
      </c>
      <c r="F20" s="12">
        <v>65</v>
      </c>
      <c r="G20" s="12">
        <v>68</v>
      </c>
      <c r="H20" s="12">
        <v>64</v>
      </c>
      <c r="I20" s="12">
        <v>81</v>
      </c>
      <c r="J20" s="12">
        <v>17</v>
      </c>
      <c r="K20" s="12">
        <v>31</v>
      </c>
      <c r="L20" s="12">
        <v>75</v>
      </c>
      <c r="M20" s="12">
        <v>88</v>
      </c>
      <c r="N20" s="12">
        <v>70</v>
      </c>
      <c r="O20" s="12">
        <v>48</v>
      </c>
      <c r="P20" s="12">
        <v>104</v>
      </c>
      <c r="Q20" s="12">
        <v>92</v>
      </c>
      <c r="R20" s="12">
        <v>40</v>
      </c>
      <c r="S20" s="12">
        <v>36</v>
      </c>
      <c r="T20" s="12">
        <v>46</v>
      </c>
      <c r="U20" s="12">
        <v>39</v>
      </c>
      <c r="V20" s="12">
        <v>83</v>
      </c>
      <c r="W20" s="12">
        <v>33</v>
      </c>
      <c r="X20" s="12">
        <v>56</v>
      </c>
      <c r="Y20" s="12">
        <v>55</v>
      </c>
      <c r="Z20" s="12">
        <v>97</v>
      </c>
      <c r="AA20" s="12">
        <v>102</v>
      </c>
      <c r="AB20" s="12">
        <v>81</v>
      </c>
      <c r="AC20" s="12">
        <v>70</v>
      </c>
      <c r="AD20" s="12">
        <v>46</v>
      </c>
      <c r="AE20" s="12">
        <v>39</v>
      </c>
      <c r="AF20" s="12">
        <v>78</v>
      </c>
    </row>
    <row r="21" spans="1:32" ht="34.5" x14ac:dyDescent="0.25">
      <c r="A21" s="19"/>
      <c r="B21" s="13" t="s">
        <v>289</v>
      </c>
      <c r="C21" s="14">
        <v>7.0000000000000007E-2</v>
      </c>
      <c r="D21" s="14">
        <v>0.06</v>
      </c>
      <c r="E21" s="14">
        <v>0.09</v>
      </c>
      <c r="F21" s="14">
        <v>0.06</v>
      </c>
      <c r="G21" s="14">
        <v>7.0000000000000007E-2</v>
      </c>
      <c r="H21" s="14">
        <v>0.05</v>
      </c>
      <c r="I21" s="14">
        <v>0.05</v>
      </c>
      <c r="J21" s="14">
        <v>0.06</v>
      </c>
      <c r="K21" s="14">
        <v>0.03</v>
      </c>
      <c r="L21" s="14">
        <v>0.08</v>
      </c>
      <c r="M21" s="14">
        <v>0.09</v>
      </c>
      <c r="N21" s="14">
        <v>7.0000000000000007E-2</v>
      </c>
      <c r="O21" s="14">
        <v>0.05</v>
      </c>
      <c r="P21" s="14">
        <v>0.11</v>
      </c>
      <c r="Q21" s="14">
        <v>0.09</v>
      </c>
      <c r="R21" s="14">
        <v>0.08</v>
      </c>
      <c r="S21" s="14">
        <v>0.04</v>
      </c>
      <c r="T21" s="14">
        <v>0.05</v>
      </c>
      <c r="U21" s="14">
        <v>0.08</v>
      </c>
      <c r="V21" s="14">
        <v>0.08</v>
      </c>
      <c r="W21" s="14">
        <v>7.0000000000000007E-2</v>
      </c>
      <c r="X21" s="14">
        <v>0.06</v>
      </c>
      <c r="Y21" s="14">
        <v>0.06</v>
      </c>
      <c r="Z21" s="14">
        <v>0.1</v>
      </c>
      <c r="AA21" s="14">
        <v>0.1</v>
      </c>
      <c r="AB21" s="14">
        <v>0.08</v>
      </c>
      <c r="AC21" s="14">
        <v>7.0000000000000007E-2</v>
      </c>
      <c r="AD21" s="14">
        <v>0.05</v>
      </c>
      <c r="AE21" s="14">
        <v>0.04</v>
      </c>
      <c r="AF21" s="14">
        <v>0.08</v>
      </c>
    </row>
    <row r="22" spans="1:32" ht="34.5" x14ac:dyDescent="0.25">
      <c r="A22" s="19"/>
      <c r="B22" s="11" t="s">
        <v>290</v>
      </c>
      <c r="C22" s="12">
        <v>3823</v>
      </c>
      <c r="D22" s="12">
        <v>132</v>
      </c>
      <c r="E22" s="12">
        <v>132</v>
      </c>
      <c r="F22" s="12">
        <v>138</v>
      </c>
      <c r="G22" s="12">
        <v>188</v>
      </c>
      <c r="H22" s="12">
        <v>152</v>
      </c>
      <c r="I22" s="12">
        <v>195</v>
      </c>
      <c r="J22" s="12">
        <v>43</v>
      </c>
      <c r="K22" s="12">
        <v>133</v>
      </c>
      <c r="L22" s="12">
        <v>163</v>
      </c>
      <c r="M22" s="12">
        <v>161</v>
      </c>
      <c r="N22" s="12">
        <v>135</v>
      </c>
      <c r="O22" s="12">
        <v>139</v>
      </c>
      <c r="P22" s="12">
        <v>129</v>
      </c>
      <c r="Q22" s="12">
        <v>146</v>
      </c>
      <c r="R22" s="12">
        <v>89</v>
      </c>
      <c r="S22" s="12">
        <v>159</v>
      </c>
      <c r="T22" s="12">
        <v>156</v>
      </c>
      <c r="U22" s="12">
        <v>91</v>
      </c>
      <c r="V22" s="12">
        <v>181</v>
      </c>
      <c r="W22" s="12">
        <v>74</v>
      </c>
      <c r="X22" s="12">
        <v>190</v>
      </c>
      <c r="Y22" s="12">
        <v>164</v>
      </c>
      <c r="Z22" s="12">
        <v>131</v>
      </c>
      <c r="AA22" s="12">
        <v>233</v>
      </c>
      <c r="AB22" s="12">
        <v>144</v>
      </c>
      <c r="AC22" s="12">
        <v>175</v>
      </c>
      <c r="AD22" s="12">
        <v>176</v>
      </c>
      <c r="AE22" s="12">
        <v>158</v>
      </c>
      <c r="AF22" s="12">
        <v>220</v>
      </c>
    </row>
    <row r="23" spans="1:32" ht="34.5" x14ac:dyDescent="0.25">
      <c r="A23" s="19"/>
      <c r="B23" s="13" t="s">
        <v>291</v>
      </c>
      <c r="C23" s="14">
        <v>0.16</v>
      </c>
      <c r="D23" s="14">
        <v>0.14000000000000001</v>
      </c>
      <c r="E23" s="14">
        <v>0.14000000000000001</v>
      </c>
      <c r="F23" s="14">
        <v>0.14000000000000001</v>
      </c>
      <c r="G23" s="14">
        <v>0.21</v>
      </c>
      <c r="H23" s="14">
        <v>0.13</v>
      </c>
      <c r="I23" s="14">
        <v>0.14000000000000001</v>
      </c>
      <c r="J23" s="14">
        <v>0.16</v>
      </c>
      <c r="K23" s="14">
        <v>0.14000000000000001</v>
      </c>
      <c r="L23" s="14">
        <v>0.18</v>
      </c>
      <c r="M23" s="14">
        <v>0.18</v>
      </c>
      <c r="N23" s="14">
        <v>0.15</v>
      </c>
      <c r="O23" s="14">
        <v>0.15</v>
      </c>
      <c r="P23" s="14">
        <v>0.14000000000000001</v>
      </c>
      <c r="Q23" s="14">
        <v>0.15</v>
      </c>
      <c r="R23" s="14">
        <v>0.2</v>
      </c>
      <c r="S23" s="14">
        <v>0.18</v>
      </c>
      <c r="T23" s="14">
        <v>0.17</v>
      </c>
      <c r="U23" s="14">
        <v>0.19</v>
      </c>
      <c r="V23" s="14">
        <v>0.19</v>
      </c>
      <c r="W23" s="14">
        <v>0.16</v>
      </c>
      <c r="X23" s="14">
        <v>0.21</v>
      </c>
      <c r="Y23" s="14">
        <v>0.18</v>
      </c>
      <c r="Z23" s="14">
        <v>0.14000000000000001</v>
      </c>
      <c r="AA23" s="14">
        <v>0.24</v>
      </c>
      <c r="AB23" s="14">
        <v>0.15</v>
      </c>
      <c r="AC23" s="14">
        <v>0.19</v>
      </c>
      <c r="AD23" s="14">
        <v>0.19</v>
      </c>
      <c r="AE23" s="14">
        <v>0.17</v>
      </c>
      <c r="AF23" s="14">
        <v>0.25</v>
      </c>
    </row>
    <row r="24" spans="1:32" ht="23.25" x14ac:dyDescent="0.25">
      <c r="A24" s="19"/>
      <c r="B24" s="11" t="s">
        <v>292</v>
      </c>
      <c r="C24" s="12">
        <v>1267</v>
      </c>
      <c r="D24" s="12">
        <v>53</v>
      </c>
      <c r="E24" s="12">
        <v>59</v>
      </c>
      <c r="F24" s="12">
        <v>31</v>
      </c>
      <c r="G24" s="12">
        <v>58</v>
      </c>
      <c r="H24" s="12">
        <v>25</v>
      </c>
      <c r="I24" s="12">
        <v>32</v>
      </c>
      <c r="J24" s="12">
        <v>7</v>
      </c>
      <c r="K24" s="12">
        <v>75</v>
      </c>
      <c r="L24" s="12">
        <v>75</v>
      </c>
      <c r="M24" s="12">
        <v>35</v>
      </c>
      <c r="N24" s="12">
        <v>37</v>
      </c>
      <c r="O24" s="12">
        <v>53</v>
      </c>
      <c r="P24" s="12">
        <v>60</v>
      </c>
      <c r="Q24" s="12">
        <v>76</v>
      </c>
      <c r="R24" s="12">
        <v>26</v>
      </c>
      <c r="S24" s="12">
        <v>28</v>
      </c>
      <c r="T24" s="12">
        <v>26</v>
      </c>
      <c r="U24" s="12">
        <v>22</v>
      </c>
      <c r="V24" s="12">
        <v>50</v>
      </c>
      <c r="W24" s="12">
        <v>35</v>
      </c>
      <c r="X24" s="12">
        <v>32</v>
      </c>
      <c r="Y24" s="12">
        <v>44</v>
      </c>
      <c r="Z24" s="12">
        <v>66</v>
      </c>
      <c r="AA24" s="12">
        <v>27</v>
      </c>
      <c r="AB24" s="12">
        <v>119</v>
      </c>
      <c r="AC24" s="12">
        <v>41</v>
      </c>
      <c r="AD24" s="12">
        <v>42</v>
      </c>
      <c r="AE24" s="12">
        <v>45</v>
      </c>
      <c r="AF24" s="12">
        <v>26</v>
      </c>
    </row>
    <row r="25" spans="1:32" ht="23.25" x14ac:dyDescent="0.25">
      <c r="A25" s="19"/>
      <c r="B25" s="13" t="s">
        <v>293</v>
      </c>
      <c r="C25" s="14">
        <v>0.05</v>
      </c>
      <c r="D25" s="14">
        <v>0.05</v>
      </c>
      <c r="E25" s="14">
        <v>0.06</v>
      </c>
      <c r="F25" s="14">
        <v>0.03</v>
      </c>
      <c r="G25" s="14">
        <v>0.06</v>
      </c>
      <c r="H25" s="14">
        <v>0.02</v>
      </c>
      <c r="I25" s="14">
        <v>0.02</v>
      </c>
      <c r="J25" s="14">
        <v>0.02</v>
      </c>
      <c r="K25" s="14">
        <v>0.08</v>
      </c>
      <c r="L25" s="14">
        <v>0.08</v>
      </c>
      <c r="M25" s="14">
        <v>0.04</v>
      </c>
      <c r="N25" s="14">
        <v>0.04</v>
      </c>
      <c r="O25" s="14">
        <v>0.05</v>
      </c>
      <c r="P25" s="14">
        <v>0.06</v>
      </c>
      <c r="Q25" s="14">
        <v>0.08</v>
      </c>
      <c r="R25" s="14">
        <v>0.06</v>
      </c>
      <c r="S25" s="14">
        <v>0.03</v>
      </c>
      <c r="T25" s="14">
        <v>0.03</v>
      </c>
      <c r="U25" s="14">
        <v>0.04</v>
      </c>
      <c r="V25" s="14">
        <v>0.05</v>
      </c>
      <c r="W25" s="14">
        <v>7.0000000000000007E-2</v>
      </c>
      <c r="X25" s="14">
        <v>0.03</v>
      </c>
      <c r="Y25" s="14">
        <v>0.04</v>
      </c>
      <c r="Z25" s="14">
        <v>7.0000000000000007E-2</v>
      </c>
      <c r="AA25" s="14">
        <v>0.03</v>
      </c>
      <c r="AB25" s="14">
        <v>0.12</v>
      </c>
      <c r="AC25" s="14">
        <v>0.04</v>
      </c>
      <c r="AD25" s="14">
        <v>0.04</v>
      </c>
      <c r="AE25" s="14">
        <v>0.05</v>
      </c>
      <c r="AF25" s="14">
        <v>0.03</v>
      </c>
    </row>
    <row r="26" spans="1:32" x14ac:dyDescent="0.25">
      <c r="A26" s="19"/>
      <c r="B26" s="11" t="s">
        <v>294</v>
      </c>
      <c r="C26" s="12">
        <v>2672</v>
      </c>
      <c r="D26" s="12">
        <v>103</v>
      </c>
      <c r="E26" s="12">
        <v>229</v>
      </c>
      <c r="F26" s="12">
        <v>184</v>
      </c>
      <c r="G26" s="12">
        <v>84</v>
      </c>
      <c r="H26" s="12">
        <v>98</v>
      </c>
      <c r="I26" s="12">
        <v>114</v>
      </c>
      <c r="J26" s="12">
        <v>16</v>
      </c>
      <c r="K26" s="12">
        <v>217</v>
      </c>
      <c r="L26" s="12">
        <v>130</v>
      </c>
      <c r="M26" s="12">
        <v>118</v>
      </c>
      <c r="N26" s="12">
        <v>70</v>
      </c>
      <c r="O26" s="12">
        <v>78</v>
      </c>
      <c r="P26" s="12">
        <v>144</v>
      </c>
      <c r="Q26" s="12">
        <v>149</v>
      </c>
      <c r="R26" s="12">
        <v>37</v>
      </c>
      <c r="S26" s="12">
        <v>97</v>
      </c>
      <c r="T26" s="12">
        <v>156</v>
      </c>
      <c r="U26" s="12">
        <v>77</v>
      </c>
      <c r="V26" s="12">
        <v>164</v>
      </c>
      <c r="W26" s="12">
        <v>55</v>
      </c>
      <c r="X26" s="12">
        <v>47</v>
      </c>
      <c r="Y26" s="12">
        <v>88</v>
      </c>
      <c r="Z26" s="12">
        <v>120</v>
      </c>
      <c r="AA26" s="12">
        <v>48</v>
      </c>
      <c r="AB26" s="12">
        <v>151</v>
      </c>
      <c r="AC26" s="12">
        <v>107</v>
      </c>
      <c r="AD26" s="12">
        <v>146</v>
      </c>
      <c r="AE26" s="12">
        <v>118</v>
      </c>
      <c r="AF26" s="12">
        <v>89</v>
      </c>
    </row>
    <row r="27" spans="1:32" x14ac:dyDescent="0.25">
      <c r="A27" s="19"/>
      <c r="B27" s="13" t="s">
        <v>295</v>
      </c>
      <c r="C27" s="14">
        <v>0.11</v>
      </c>
      <c r="D27" s="14">
        <v>0.1</v>
      </c>
      <c r="E27" s="14">
        <v>0.25</v>
      </c>
      <c r="F27" s="14">
        <v>0.19</v>
      </c>
      <c r="G27" s="14">
        <v>0.09</v>
      </c>
      <c r="H27" s="14">
        <v>0.08</v>
      </c>
      <c r="I27" s="14">
        <v>0.08</v>
      </c>
      <c r="J27" s="14">
        <v>0.05</v>
      </c>
      <c r="K27" s="14">
        <v>0.24</v>
      </c>
      <c r="L27" s="14">
        <v>0.14000000000000001</v>
      </c>
      <c r="M27" s="14">
        <v>0.12</v>
      </c>
      <c r="N27" s="14">
        <v>7.0000000000000007E-2</v>
      </c>
      <c r="O27" s="14">
        <v>0.08</v>
      </c>
      <c r="P27" s="14">
        <v>0.15</v>
      </c>
      <c r="Q27" s="14">
        <v>0.15</v>
      </c>
      <c r="R27" s="14">
        <v>0.08</v>
      </c>
      <c r="S27" s="14">
        <v>0.1</v>
      </c>
      <c r="T27" s="14">
        <v>0.16</v>
      </c>
      <c r="U27" s="14">
        <v>0.16</v>
      </c>
      <c r="V27" s="14">
        <v>0.17</v>
      </c>
      <c r="W27" s="14">
        <v>0.12</v>
      </c>
      <c r="X27" s="14">
        <v>0.05</v>
      </c>
      <c r="Y27" s="14">
        <v>0.09</v>
      </c>
      <c r="Z27" s="14">
        <v>0.13</v>
      </c>
      <c r="AA27" s="14">
        <v>0.05</v>
      </c>
      <c r="AB27" s="14">
        <v>0.16</v>
      </c>
      <c r="AC27" s="14">
        <v>0.11</v>
      </c>
      <c r="AD27" s="14">
        <v>0.15</v>
      </c>
      <c r="AE27" s="14">
        <v>0.12</v>
      </c>
      <c r="AF27" s="14">
        <v>0.09</v>
      </c>
    </row>
    <row r="28" spans="1:32" ht="23.25" x14ac:dyDescent="0.25">
      <c r="A28" s="19"/>
      <c r="B28" s="11" t="s">
        <v>296</v>
      </c>
      <c r="C28" s="12">
        <v>4303</v>
      </c>
      <c r="D28" s="12">
        <v>170</v>
      </c>
      <c r="E28" s="12">
        <v>142</v>
      </c>
      <c r="F28" s="12">
        <v>207</v>
      </c>
      <c r="G28" s="12">
        <v>196</v>
      </c>
      <c r="H28" s="12">
        <v>254</v>
      </c>
      <c r="I28" s="12">
        <v>316</v>
      </c>
      <c r="J28" s="12">
        <v>62</v>
      </c>
      <c r="K28" s="12">
        <v>197</v>
      </c>
      <c r="L28" s="12">
        <v>148</v>
      </c>
      <c r="M28" s="12">
        <v>165</v>
      </c>
      <c r="N28" s="12">
        <v>131</v>
      </c>
      <c r="O28" s="12">
        <v>171</v>
      </c>
      <c r="P28" s="12">
        <v>166</v>
      </c>
      <c r="Q28" s="12">
        <v>155</v>
      </c>
      <c r="R28" s="12">
        <v>74</v>
      </c>
      <c r="S28" s="12">
        <v>202</v>
      </c>
      <c r="T28" s="12">
        <v>199</v>
      </c>
      <c r="U28" s="12">
        <v>94</v>
      </c>
      <c r="V28" s="12">
        <v>133</v>
      </c>
      <c r="W28" s="12">
        <v>66</v>
      </c>
      <c r="X28" s="12">
        <v>184</v>
      </c>
      <c r="Y28" s="12">
        <v>225</v>
      </c>
      <c r="Z28" s="12">
        <v>99</v>
      </c>
      <c r="AA28" s="12">
        <v>75</v>
      </c>
      <c r="AB28" s="12">
        <v>146</v>
      </c>
      <c r="AC28" s="12">
        <v>128</v>
      </c>
      <c r="AD28" s="12">
        <v>152</v>
      </c>
      <c r="AE28" s="12">
        <v>166</v>
      </c>
      <c r="AF28" s="12">
        <v>257</v>
      </c>
    </row>
    <row r="29" spans="1:32" ht="23.25" x14ac:dyDescent="0.25">
      <c r="A29" s="19"/>
      <c r="B29" s="13" t="s">
        <v>297</v>
      </c>
      <c r="C29" s="14">
        <v>0.18</v>
      </c>
      <c r="D29" s="14">
        <v>0.18</v>
      </c>
      <c r="E29" s="14">
        <v>0.15</v>
      </c>
      <c r="F29" s="14">
        <v>0.22</v>
      </c>
      <c r="G29" s="14">
        <v>0.21</v>
      </c>
      <c r="H29" s="14">
        <v>0.23</v>
      </c>
      <c r="I29" s="14">
        <v>0.23</v>
      </c>
      <c r="J29" s="14">
        <v>0.22</v>
      </c>
      <c r="K29" s="14">
        <v>0.21</v>
      </c>
      <c r="L29" s="14">
        <v>0.16</v>
      </c>
      <c r="M29" s="14">
        <v>0.18</v>
      </c>
      <c r="N29" s="14">
        <v>0.14000000000000001</v>
      </c>
      <c r="O29" s="14">
        <v>0.19</v>
      </c>
      <c r="P29" s="14">
        <v>0.18</v>
      </c>
      <c r="Q29" s="14">
        <v>0.16</v>
      </c>
      <c r="R29" s="14">
        <v>0.16</v>
      </c>
      <c r="S29" s="14">
        <v>0.23</v>
      </c>
      <c r="T29" s="14">
        <v>0.21</v>
      </c>
      <c r="U29" s="14">
        <v>0.2</v>
      </c>
      <c r="V29" s="14">
        <v>0.14000000000000001</v>
      </c>
      <c r="W29" s="14">
        <v>0.14000000000000001</v>
      </c>
      <c r="X29" s="14">
        <v>0.19</v>
      </c>
      <c r="Y29" s="14">
        <v>0.25</v>
      </c>
      <c r="Z29" s="14">
        <v>0.1</v>
      </c>
      <c r="AA29" s="14">
        <v>0.08</v>
      </c>
      <c r="AB29" s="14">
        <v>0.15</v>
      </c>
      <c r="AC29" s="14">
        <v>0.14000000000000001</v>
      </c>
      <c r="AD29" s="14">
        <v>0.16</v>
      </c>
      <c r="AE29" s="14">
        <v>0.18</v>
      </c>
      <c r="AF29" s="14">
        <v>0.27</v>
      </c>
    </row>
    <row r="30" spans="1:32" ht="45.75" x14ac:dyDescent="0.25">
      <c r="A30" s="19"/>
      <c r="B30" s="11" t="s">
        <v>298</v>
      </c>
      <c r="C30" s="12">
        <v>2542</v>
      </c>
      <c r="D30" s="12">
        <v>88</v>
      </c>
      <c r="E30" s="12">
        <v>78</v>
      </c>
      <c r="F30" s="12">
        <v>80</v>
      </c>
      <c r="G30" s="12">
        <v>146</v>
      </c>
      <c r="H30" s="12">
        <v>113</v>
      </c>
      <c r="I30" s="12">
        <v>147</v>
      </c>
      <c r="J30" s="12">
        <v>34</v>
      </c>
      <c r="K30" s="12">
        <v>73</v>
      </c>
      <c r="L30" s="12">
        <v>102</v>
      </c>
      <c r="M30" s="12">
        <v>127</v>
      </c>
      <c r="N30" s="12">
        <v>111</v>
      </c>
      <c r="O30" s="12">
        <v>88</v>
      </c>
      <c r="P30" s="12">
        <v>95</v>
      </c>
      <c r="Q30" s="12">
        <v>108</v>
      </c>
      <c r="R30" s="12">
        <v>57</v>
      </c>
      <c r="S30" s="12">
        <v>59</v>
      </c>
      <c r="T30" s="12">
        <v>59</v>
      </c>
      <c r="U30" s="12">
        <v>39</v>
      </c>
      <c r="V30" s="12">
        <v>81</v>
      </c>
      <c r="W30" s="12">
        <v>47</v>
      </c>
      <c r="X30" s="12">
        <v>89</v>
      </c>
      <c r="Y30" s="12">
        <v>76</v>
      </c>
      <c r="Z30" s="12">
        <v>84</v>
      </c>
      <c r="AA30" s="12">
        <v>129</v>
      </c>
      <c r="AB30" s="12">
        <v>75</v>
      </c>
      <c r="AC30" s="12">
        <v>76</v>
      </c>
      <c r="AD30" s="12">
        <v>95</v>
      </c>
      <c r="AE30" s="12">
        <v>107</v>
      </c>
      <c r="AF30" s="12">
        <v>151</v>
      </c>
    </row>
    <row r="31" spans="1:32" ht="45.75" x14ac:dyDescent="0.25">
      <c r="A31" s="19"/>
      <c r="B31" s="13" t="s">
        <v>299</v>
      </c>
      <c r="C31" s="14">
        <v>0.1</v>
      </c>
      <c r="D31" s="14">
        <v>0.09</v>
      </c>
      <c r="E31" s="14">
        <v>0.08</v>
      </c>
      <c r="F31" s="14">
        <v>0.08</v>
      </c>
      <c r="G31" s="14">
        <v>0.15</v>
      </c>
      <c r="H31" s="14">
        <v>0.1</v>
      </c>
      <c r="I31" s="14">
        <v>0.1</v>
      </c>
      <c r="J31" s="14">
        <v>0.12</v>
      </c>
      <c r="K31" s="14">
        <v>0.08</v>
      </c>
      <c r="L31" s="14">
        <v>0.11</v>
      </c>
      <c r="M31" s="14">
        <v>0.13</v>
      </c>
      <c r="N31" s="14">
        <v>0.12</v>
      </c>
      <c r="O31" s="14">
        <v>0.09</v>
      </c>
      <c r="P31" s="14">
        <v>0.1</v>
      </c>
      <c r="Q31" s="14">
        <v>0.11</v>
      </c>
      <c r="R31" s="14">
        <v>0.12</v>
      </c>
      <c r="S31" s="14">
        <v>0.06</v>
      </c>
      <c r="T31" s="14">
        <v>0.06</v>
      </c>
      <c r="U31" s="14">
        <v>0.08</v>
      </c>
      <c r="V31" s="14">
        <v>0.08</v>
      </c>
      <c r="W31" s="14">
        <v>0.1</v>
      </c>
      <c r="X31" s="14">
        <v>0.09</v>
      </c>
      <c r="Y31" s="14">
        <v>0.08</v>
      </c>
      <c r="Z31" s="14">
        <v>0.09</v>
      </c>
      <c r="AA31" s="14">
        <v>0.13</v>
      </c>
      <c r="AB31" s="14">
        <v>0.08</v>
      </c>
      <c r="AC31" s="14">
        <v>0.08</v>
      </c>
      <c r="AD31" s="14">
        <v>0.1</v>
      </c>
      <c r="AE31" s="14">
        <v>0.11</v>
      </c>
      <c r="AF31" s="14">
        <v>0.16</v>
      </c>
    </row>
    <row r="32" spans="1:32" x14ac:dyDescent="0.25">
      <c r="A32" s="19"/>
      <c r="B32" s="11" t="s">
        <v>300</v>
      </c>
      <c r="C32" s="12">
        <v>5725</v>
      </c>
      <c r="D32" s="12">
        <v>239</v>
      </c>
      <c r="E32" s="12">
        <v>133</v>
      </c>
      <c r="F32" s="12">
        <v>210</v>
      </c>
      <c r="G32" s="12">
        <v>257</v>
      </c>
      <c r="H32" s="12">
        <v>340</v>
      </c>
      <c r="I32" s="12">
        <v>420</v>
      </c>
      <c r="J32" s="12">
        <v>80</v>
      </c>
      <c r="K32" s="12">
        <v>107</v>
      </c>
      <c r="L32" s="12">
        <v>186</v>
      </c>
      <c r="M32" s="12">
        <v>259</v>
      </c>
      <c r="N32" s="12">
        <v>205</v>
      </c>
      <c r="O32" s="12">
        <v>216</v>
      </c>
      <c r="P32" s="12">
        <v>135</v>
      </c>
      <c r="Q32" s="12">
        <v>224</v>
      </c>
      <c r="R32" s="12">
        <v>139</v>
      </c>
      <c r="S32" s="12">
        <v>186</v>
      </c>
      <c r="T32" s="12">
        <v>154</v>
      </c>
      <c r="U32" s="12">
        <v>130</v>
      </c>
      <c r="V32" s="12">
        <v>216</v>
      </c>
      <c r="W32" s="12">
        <v>98</v>
      </c>
      <c r="X32" s="12">
        <v>220</v>
      </c>
      <c r="Y32" s="12">
        <v>225</v>
      </c>
      <c r="Z32" s="12">
        <v>151</v>
      </c>
      <c r="AA32" s="12">
        <v>228</v>
      </c>
      <c r="AB32" s="12">
        <v>155</v>
      </c>
      <c r="AC32" s="12">
        <v>141</v>
      </c>
      <c r="AD32" s="12">
        <v>131</v>
      </c>
      <c r="AE32" s="12">
        <v>257</v>
      </c>
      <c r="AF32" s="12">
        <v>281</v>
      </c>
    </row>
    <row r="33" spans="1:32" x14ac:dyDescent="0.25">
      <c r="A33" s="19"/>
      <c r="B33" s="13" t="s">
        <v>301</v>
      </c>
      <c r="C33" s="14">
        <v>0.25</v>
      </c>
      <c r="D33" s="14">
        <v>0.27</v>
      </c>
      <c r="E33" s="14">
        <v>0.14000000000000001</v>
      </c>
      <c r="F33" s="14">
        <v>0.23</v>
      </c>
      <c r="G33" s="14">
        <v>0.33</v>
      </c>
      <c r="H33" s="14">
        <v>0.35</v>
      </c>
      <c r="I33" s="14">
        <v>0.34</v>
      </c>
      <c r="J33" s="14">
        <v>0.31</v>
      </c>
      <c r="K33" s="14">
        <v>0.11</v>
      </c>
      <c r="L33" s="14">
        <v>0.21</v>
      </c>
      <c r="M33" s="14">
        <v>0.28999999999999998</v>
      </c>
      <c r="N33" s="14">
        <v>0.24</v>
      </c>
      <c r="O33" s="14">
        <v>0.24</v>
      </c>
      <c r="P33" s="14">
        <v>0.14000000000000001</v>
      </c>
      <c r="Q33" s="14">
        <v>0.25</v>
      </c>
      <c r="R33" s="14">
        <v>0.32</v>
      </c>
      <c r="S33" s="14">
        <v>0.2</v>
      </c>
      <c r="T33" s="14">
        <v>0.17</v>
      </c>
      <c r="U33" s="14">
        <v>0.3</v>
      </c>
      <c r="V33" s="14">
        <v>0.24</v>
      </c>
      <c r="W33" s="14">
        <v>0.22</v>
      </c>
      <c r="X33" s="14">
        <v>0.27</v>
      </c>
      <c r="Y33" s="14">
        <v>0.26</v>
      </c>
      <c r="Z33" s="14">
        <v>0.17</v>
      </c>
      <c r="AA33" s="14">
        <v>0.24</v>
      </c>
      <c r="AB33" s="14">
        <v>0.17</v>
      </c>
      <c r="AC33" s="14">
        <v>0.15</v>
      </c>
      <c r="AD33" s="14">
        <v>0.14000000000000001</v>
      </c>
      <c r="AE33" s="14">
        <v>0.3</v>
      </c>
      <c r="AF33" s="14">
        <v>0.38</v>
      </c>
    </row>
    <row r="34" spans="1:32" x14ac:dyDescent="0.25">
      <c r="A34" s="19"/>
      <c r="B34" s="11" t="s">
        <v>302</v>
      </c>
      <c r="C34" s="12">
        <v>3870</v>
      </c>
      <c r="D34" s="12">
        <v>158</v>
      </c>
      <c r="E34" s="12">
        <v>150</v>
      </c>
      <c r="F34" s="12">
        <v>139</v>
      </c>
      <c r="G34" s="12">
        <v>175</v>
      </c>
      <c r="H34" s="12">
        <v>247</v>
      </c>
      <c r="I34" s="12">
        <v>303</v>
      </c>
      <c r="J34" s="12">
        <v>57</v>
      </c>
      <c r="K34" s="12">
        <v>110</v>
      </c>
      <c r="L34" s="12">
        <v>138</v>
      </c>
      <c r="M34" s="12">
        <v>238</v>
      </c>
      <c r="N34" s="12">
        <v>140</v>
      </c>
      <c r="O34" s="12">
        <v>117</v>
      </c>
      <c r="P34" s="12">
        <v>148</v>
      </c>
      <c r="Q34" s="12">
        <v>109</v>
      </c>
      <c r="R34" s="12">
        <v>107</v>
      </c>
      <c r="S34" s="12">
        <v>179</v>
      </c>
      <c r="T34" s="12">
        <v>112</v>
      </c>
      <c r="U34" s="12">
        <v>60</v>
      </c>
      <c r="V34" s="12">
        <v>124</v>
      </c>
      <c r="W34" s="12">
        <v>81</v>
      </c>
      <c r="X34" s="12">
        <v>174</v>
      </c>
      <c r="Y34" s="12">
        <v>212</v>
      </c>
      <c r="Z34" s="12">
        <v>129</v>
      </c>
      <c r="AA34" s="12">
        <v>79</v>
      </c>
      <c r="AB34" s="12">
        <v>128</v>
      </c>
      <c r="AC34" s="12">
        <v>203</v>
      </c>
      <c r="AD34" s="12">
        <v>192</v>
      </c>
      <c r="AE34" s="12">
        <v>183</v>
      </c>
      <c r="AF34" s="12">
        <v>151</v>
      </c>
    </row>
    <row r="35" spans="1:32" x14ac:dyDescent="0.25">
      <c r="A35" s="19"/>
      <c r="B35" s="13" t="s">
        <v>303</v>
      </c>
      <c r="C35" s="14">
        <v>0.16</v>
      </c>
      <c r="D35" s="14">
        <v>0.17</v>
      </c>
      <c r="E35" s="14">
        <v>0.16</v>
      </c>
      <c r="F35" s="14">
        <v>0.14000000000000001</v>
      </c>
      <c r="G35" s="14">
        <v>0.19</v>
      </c>
      <c r="H35" s="14">
        <v>0.22</v>
      </c>
      <c r="I35" s="14">
        <v>0.22</v>
      </c>
      <c r="J35" s="14">
        <v>0.2</v>
      </c>
      <c r="K35" s="14">
        <v>0.12</v>
      </c>
      <c r="L35" s="14">
        <v>0.15</v>
      </c>
      <c r="M35" s="14">
        <v>0.28000000000000003</v>
      </c>
      <c r="N35" s="14">
        <v>0.15</v>
      </c>
      <c r="O35" s="14">
        <v>0.13</v>
      </c>
      <c r="P35" s="14">
        <v>0.16</v>
      </c>
      <c r="Q35" s="14">
        <v>0.11</v>
      </c>
      <c r="R35" s="14">
        <v>0.25</v>
      </c>
      <c r="S35" s="14">
        <v>0.2</v>
      </c>
      <c r="T35" s="14">
        <v>0.12</v>
      </c>
      <c r="U35" s="14">
        <v>0.13</v>
      </c>
      <c r="V35" s="14">
        <v>0.13</v>
      </c>
      <c r="W35" s="14">
        <v>0.19</v>
      </c>
      <c r="X35" s="14">
        <v>0.19</v>
      </c>
      <c r="Y35" s="14">
        <v>0.23</v>
      </c>
      <c r="Z35" s="14">
        <v>0.13</v>
      </c>
      <c r="AA35" s="14">
        <v>0.08</v>
      </c>
      <c r="AB35" s="14">
        <v>0.13</v>
      </c>
      <c r="AC35" s="14">
        <v>0.22</v>
      </c>
      <c r="AD35" s="14">
        <v>0.21</v>
      </c>
      <c r="AE35" s="14">
        <v>0.21</v>
      </c>
      <c r="AF35" s="14">
        <v>0.15</v>
      </c>
    </row>
    <row r="36" spans="1:32" ht="45.75" x14ac:dyDescent="0.25">
      <c r="A36" s="19"/>
      <c r="B36" s="11" t="s">
        <v>304</v>
      </c>
      <c r="C36" s="12">
        <v>2536</v>
      </c>
      <c r="D36" s="12">
        <v>79</v>
      </c>
      <c r="E36" s="12">
        <v>168</v>
      </c>
      <c r="F36" s="12">
        <v>132</v>
      </c>
      <c r="G36" s="12">
        <v>123</v>
      </c>
      <c r="H36" s="12">
        <v>83</v>
      </c>
      <c r="I36" s="12">
        <v>109</v>
      </c>
      <c r="J36" s="12">
        <v>26</v>
      </c>
      <c r="K36" s="12">
        <v>173</v>
      </c>
      <c r="L36" s="12">
        <v>95</v>
      </c>
      <c r="M36" s="12">
        <v>106</v>
      </c>
      <c r="N36" s="12">
        <v>73</v>
      </c>
      <c r="O36" s="12">
        <v>81</v>
      </c>
      <c r="P36" s="12">
        <v>137</v>
      </c>
      <c r="Q36" s="12">
        <v>122</v>
      </c>
      <c r="R36" s="12">
        <v>34</v>
      </c>
      <c r="S36" s="12">
        <v>119</v>
      </c>
      <c r="T36" s="12">
        <v>128</v>
      </c>
      <c r="U36" s="12">
        <v>65</v>
      </c>
      <c r="V36" s="12">
        <v>123</v>
      </c>
      <c r="W36" s="12">
        <v>49</v>
      </c>
      <c r="X36" s="12">
        <v>97</v>
      </c>
      <c r="Y36" s="12">
        <v>105</v>
      </c>
      <c r="Z36" s="12">
        <v>116</v>
      </c>
      <c r="AA36" s="12">
        <v>113</v>
      </c>
      <c r="AB36" s="12">
        <v>150</v>
      </c>
      <c r="AC36" s="12">
        <v>92</v>
      </c>
      <c r="AD36" s="12">
        <v>130</v>
      </c>
      <c r="AE36" s="12">
        <v>71</v>
      </c>
      <c r="AF36" s="12">
        <v>61</v>
      </c>
    </row>
    <row r="37" spans="1:32" ht="45.75" x14ac:dyDescent="0.25">
      <c r="A37" s="19"/>
      <c r="B37" s="13" t="s">
        <v>305</v>
      </c>
      <c r="C37" s="14">
        <v>0.1</v>
      </c>
      <c r="D37" s="14">
        <v>0.08</v>
      </c>
      <c r="E37" s="14">
        <v>0.18</v>
      </c>
      <c r="F37" s="14">
        <v>0.14000000000000001</v>
      </c>
      <c r="G37" s="14">
        <v>0.13</v>
      </c>
      <c r="H37" s="14">
        <v>7.0000000000000007E-2</v>
      </c>
      <c r="I37" s="14">
        <v>7.0000000000000007E-2</v>
      </c>
      <c r="J37" s="14">
        <v>0.09</v>
      </c>
      <c r="K37" s="14">
        <v>0.19</v>
      </c>
      <c r="L37" s="14">
        <v>0.1</v>
      </c>
      <c r="M37" s="14">
        <v>0.11</v>
      </c>
      <c r="N37" s="14">
        <v>0.08</v>
      </c>
      <c r="O37" s="14">
        <v>0.09</v>
      </c>
      <c r="P37" s="14">
        <v>0.15</v>
      </c>
      <c r="Q37" s="14">
        <v>0.13</v>
      </c>
      <c r="R37" s="14">
        <v>7.0000000000000007E-2</v>
      </c>
      <c r="S37" s="14">
        <v>0.13</v>
      </c>
      <c r="T37" s="14">
        <v>0.14000000000000001</v>
      </c>
      <c r="U37" s="14">
        <v>0.14000000000000001</v>
      </c>
      <c r="V37" s="14">
        <v>0.13</v>
      </c>
      <c r="W37" s="14">
        <v>0.1</v>
      </c>
      <c r="X37" s="14">
        <v>0.1</v>
      </c>
      <c r="Y37" s="14">
        <v>0.11</v>
      </c>
      <c r="Z37" s="14">
        <v>0.12</v>
      </c>
      <c r="AA37" s="14">
        <v>0.12</v>
      </c>
      <c r="AB37" s="14">
        <v>0.16</v>
      </c>
      <c r="AC37" s="14">
        <v>0.1</v>
      </c>
      <c r="AD37" s="14">
        <v>0.14000000000000001</v>
      </c>
      <c r="AE37" s="14">
        <v>7.0000000000000007E-2</v>
      </c>
      <c r="AF37" s="14">
        <v>0.06</v>
      </c>
    </row>
    <row r="38" spans="1:32" ht="34.5" x14ac:dyDescent="0.25">
      <c r="A38" s="19"/>
      <c r="B38" s="11" t="s">
        <v>306</v>
      </c>
      <c r="C38" s="12">
        <v>1035</v>
      </c>
      <c r="D38" s="12">
        <v>32</v>
      </c>
      <c r="E38" s="12">
        <v>30</v>
      </c>
      <c r="F38" s="12">
        <v>22</v>
      </c>
      <c r="G38" s="12">
        <v>34</v>
      </c>
      <c r="H38" s="12">
        <v>46</v>
      </c>
      <c r="I38" s="12">
        <v>54</v>
      </c>
      <c r="J38" s="12">
        <v>8</v>
      </c>
      <c r="K38" s="12">
        <v>36</v>
      </c>
      <c r="L38" s="12">
        <v>46</v>
      </c>
      <c r="M38" s="12">
        <v>27</v>
      </c>
      <c r="N38" s="12">
        <v>35</v>
      </c>
      <c r="O38" s="12">
        <v>43</v>
      </c>
      <c r="P38" s="12">
        <v>28</v>
      </c>
      <c r="Q38" s="12">
        <v>46</v>
      </c>
      <c r="R38" s="12">
        <v>6</v>
      </c>
      <c r="S38" s="12">
        <v>14</v>
      </c>
      <c r="T38" s="12">
        <v>26</v>
      </c>
      <c r="U38" s="12">
        <v>23</v>
      </c>
      <c r="V38" s="12">
        <v>60</v>
      </c>
      <c r="W38" s="12">
        <v>29</v>
      </c>
      <c r="X38" s="12">
        <v>34</v>
      </c>
      <c r="Y38" s="12">
        <v>46</v>
      </c>
      <c r="Z38" s="12">
        <v>55</v>
      </c>
      <c r="AA38" s="12">
        <v>20</v>
      </c>
      <c r="AB38" s="12">
        <v>57</v>
      </c>
      <c r="AC38" s="12">
        <v>14</v>
      </c>
      <c r="AD38" s="12">
        <v>13</v>
      </c>
      <c r="AE38" s="12">
        <v>15</v>
      </c>
      <c r="AF38" s="12">
        <v>60</v>
      </c>
    </row>
    <row r="39" spans="1:32" ht="23.25" x14ac:dyDescent="0.25">
      <c r="A39" s="19"/>
      <c r="B39" s="13" t="s">
        <v>307</v>
      </c>
      <c r="C39" s="14">
        <v>0.04</v>
      </c>
      <c r="D39" s="14">
        <v>0.03</v>
      </c>
      <c r="E39" s="14">
        <v>0.03</v>
      </c>
      <c r="F39" s="14">
        <v>0.02</v>
      </c>
      <c r="G39" s="14">
        <v>0.03</v>
      </c>
      <c r="H39" s="14">
        <v>0.04</v>
      </c>
      <c r="I39" s="14">
        <v>0.04</v>
      </c>
      <c r="J39" s="14">
        <v>0.03</v>
      </c>
      <c r="K39" s="14">
        <v>0.04</v>
      </c>
      <c r="L39" s="14">
        <v>0.05</v>
      </c>
      <c r="M39" s="14">
        <v>0.03</v>
      </c>
      <c r="N39" s="14">
        <v>0.04</v>
      </c>
      <c r="O39" s="14">
        <v>0.04</v>
      </c>
      <c r="P39" s="14">
        <v>0.03</v>
      </c>
      <c r="Q39" s="14">
        <v>0.05</v>
      </c>
      <c r="R39" s="14">
        <v>0.01</v>
      </c>
      <c r="S39" s="14">
        <v>0.01</v>
      </c>
      <c r="T39" s="14">
        <v>0.03</v>
      </c>
      <c r="U39" s="14">
        <v>0.05</v>
      </c>
      <c r="V39" s="14">
        <v>0.06</v>
      </c>
      <c r="W39" s="14">
        <v>0.06</v>
      </c>
      <c r="X39" s="14">
        <v>0.03</v>
      </c>
      <c r="Y39" s="14">
        <v>0.05</v>
      </c>
      <c r="Z39" s="14">
        <v>0.06</v>
      </c>
      <c r="AA39" s="14">
        <v>0.02</v>
      </c>
      <c r="AB39" s="14">
        <v>0.06</v>
      </c>
      <c r="AC39" s="14">
        <v>0.01</v>
      </c>
      <c r="AD39" s="14">
        <v>0.01</v>
      </c>
      <c r="AE39" s="14">
        <v>0.01</v>
      </c>
      <c r="AF39" s="14">
        <v>0.06</v>
      </c>
    </row>
    <row r="40" spans="1:32" x14ac:dyDescent="0.25">
      <c r="A40" s="19"/>
      <c r="B40" s="11" t="s">
        <v>308</v>
      </c>
      <c r="C40" s="12">
        <v>6134</v>
      </c>
      <c r="D40" s="12">
        <v>245</v>
      </c>
      <c r="E40" s="12">
        <v>246</v>
      </c>
      <c r="F40" s="12">
        <v>242</v>
      </c>
      <c r="G40" s="12">
        <v>202</v>
      </c>
      <c r="H40" s="12">
        <v>367</v>
      </c>
      <c r="I40" s="12">
        <v>440</v>
      </c>
      <c r="J40" s="12">
        <v>72</v>
      </c>
      <c r="K40" s="12">
        <v>231</v>
      </c>
      <c r="L40" s="12">
        <v>220</v>
      </c>
      <c r="M40" s="12">
        <v>315</v>
      </c>
      <c r="N40" s="12">
        <v>206</v>
      </c>
      <c r="O40" s="12">
        <v>240</v>
      </c>
      <c r="P40" s="12">
        <v>223</v>
      </c>
      <c r="Q40" s="12">
        <v>218</v>
      </c>
      <c r="R40" s="12">
        <v>129</v>
      </c>
      <c r="S40" s="12">
        <v>225</v>
      </c>
      <c r="T40" s="12">
        <v>237</v>
      </c>
      <c r="U40" s="12">
        <v>89</v>
      </c>
      <c r="V40" s="12">
        <v>187</v>
      </c>
      <c r="W40" s="12">
        <v>114</v>
      </c>
      <c r="X40" s="12">
        <v>209</v>
      </c>
      <c r="Y40" s="12">
        <v>235</v>
      </c>
      <c r="Z40" s="12">
        <v>172</v>
      </c>
      <c r="AA40" s="12">
        <v>279</v>
      </c>
      <c r="AB40" s="12">
        <v>220</v>
      </c>
      <c r="AC40" s="12">
        <v>218</v>
      </c>
      <c r="AD40" s="12">
        <v>241</v>
      </c>
      <c r="AE40" s="12">
        <v>258</v>
      </c>
      <c r="AF40" s="12">
        <v>223</v>
      </c>
    </row>
    <row r="41" spans="1:32" x14ac:dyDescent="0.25">
      <c r="A41" s="19"/>
      <c r="B41" s="13" t="s">
        <v>309</v>
      </c>
      <c r="C41" s="14">
        <v>0.33</v>
      </c>
      <c r="D41" s="14">
        <v>0.32</v>
      </c>
      <c r="E41" s="14">
        <v>0.34</v>
      </c>
      <c r="F41" s="14">
        <v>0.35</v>
      </c>
      <c r="G41" s="14">
        <v>0.26</v>
      </c>
      <c r="H41" s="14">
        <v>0.45</v>
      </c>
      <c r="I41" s="14">
        <v>0.45</v>
      </c>
      <c r="J41" s="14">
        <v>0.42</v>
      </c>
      <c r="K41" s="14">
        <v>0.36</v>
      </c>
      <c r="L41" s="14">
        <v>0.28000000000000003</v>
      </c>
      <c r="M41" s="14">
        <v>0.44</v>
      </c>
      <c r="N41" s="14">
        <v>0.26</v>
      </c>
      <c r="O41" s="14">
        <v>0.33</v>
      </c>
      <c r="P41" s="14">
        <v>0.33</v>
      </c>
      <c r="Q41" s="14">
        <v>0.31</v>
      </c>
      <c r="R41" s="14">
        <v>0.33</v>
      </c>
      <c r="S41" s="14">
        <v>0.37</v>
      </c>
      <c r="T41" s="14">
        <v>0.42</v>
      </c>
      <c r="U41" s="14">
        <v>0.25</v>
      </c>
      <c r="V41" s="14">
        <v>0.27</v>
      </c>
      <c r="W41" s="14">
        <v>0.3</v>
      </c>
      <c r="X41" s="14">
        <v>0.27</v>
      </c>
      <c r="Y41" s="14">
        <v>0.34</v>
      </c>
      <c r="Z41" s="14">
        <v>0.25</v>
      </c>
      <c r="AA41" s="14">
        <v>0.39</v>
      </c>
      <c r="AB41" s="14">
        <v>0.26</v>
      </c>
      <c r="AC41" s="14">
        <v>0.35</v>
      </c>
      <c r="AD41" s="14">
        <v>0.35</v>
      </c>
      <c r="AE41" s="14">
        <v>0.37</v>
      </c>
      <c r="AF41" s="14">
        <v>0.26</v>
      </c>
    </row>
    <row r="42" spans="1:32" x14ac:dyDescent="0.25">
      <c r="A42" s="19"/>
      <c r="B42" s="11" t="s">
        <v>274</v>
      </c>
      <c r="C42" s="12">
        <v>70</v>
      </c>
      <c r="D42" s="12">
        <v>0</v>
      </c>
      <c r="E42" s="12">
        <v>4</v>
      </c>
      <c r="F42" s="12">
        <v>1</v>
      </c>
      <c r="G42" s="12">
        <v>1</v>
      </c>
      <c r="H42" s="12">
        <v>2</v>
      </c>
      <c r="I42" s="12">
        <v>2</v>
      </c>
      <c r="J42" s="12">
        <v>0</v>
      </c>
      <c r="K42" s="12">
        <v>18</v>
      </c>
      <c r="L42" s="12">
        <v>1</v>
      </c>
      <c r="M42" s="12">
        <v>2</v>
      </c>
      <c r="N42" s="12">
        <v>4</v>
      </c>
      <c r="O42" s="12">
        <v>3</v>
      </c>
      <c r="P42" s="12">
        <v>3</v>
      </c>
      <c r="Q42" s="12">
        <v>0</v>
      </c>
      <c r="R42" s="12">
        <v>0</v>
      </c>
      <c r="S42" s="12">
        <v>7</v>
      </c>
      <c r="T42" s="12">
        <v>3</v>
      </c>
      <c r="U42" s="12">
        <v>1</v>
      </c>
      <c r="V42" s="12">
        <v>0</v>
      </c>
      <c r="W42" s="12">
        <v>1</v>
      </c>
      <c r="X42" s="12">
        <v>4</v>
      </c>
      <c r="Y42" s="12">
        <v>33</v>
      </c>
      <c r="Z42" s="12">
        <v>1</v>
      </c>
      <c r="AA42" s="12">
        <v>2</v>
      </c>
      <c r="AB42" s="12">
        <v>5</v>
      </c>
      <c r="AC42" s="12">
        <v>1</v>
      </c>
      <c r="AD42" s="12">
        <v>0</v>
      </c>
      <c r="AE42" s="12">
        <v>1</v>
      </c>
      <c r="AF42" s="12">
        <v>5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4">
        <v>0.02</v>
      </c>
      <c r="L43" s="15" t="s">
        <v>213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4">
        <v>0.03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128</v>
      </c>
      <c r="D44" s="12">
        <v>3</v>
      </c>
      <c r="E44" s="12">
        <v>3</v>
      </c>
      <c r="F44" s="12">
        <v>2</v>
      </c>
      <c r="G44" s="12">
        <v>5</v>
      </c>
      <c r="H44" s="12">
        <v>5</v>
      </c>
      <c r="I44" s="12">
        <v>5</v>
      </c>
      <c r="J44" s="12">
        <v>0</v>
      </c>
      <c r="K44" s="12">
        <v>5</v>
      </c>
      <c r="L44" s="12">
        <v>3</v>
      </c>
      <c r="M44" s="12">
        <v>1</v>
      </c>
      <c r="N44" s="12">
        <v>13</v>
      </c>
      <c r="O44" s="12">
        <v>12</v>
      </c>
      <c r="P44" s="12">
        <v>0</v>
      </c>
      <c r="Q44" s="12">
        <v>1</v>
      </c>
      <c r="R44" s="12">
        <v>0</v>
      </c>
      <c r="S44" s="12">
        <v>11</v>
      </c>
      <c r="T44" s="12">
        <v>4</v>
      </c>
      <c r="U44" s="12">
        <v>1</v>
      </c>
      <c r="V44" s="12">
        <v>0</v>
      </c>
      <c r="W44" s="12">
        <v>10</v>
      </c>
      <c r="X44" s="12">
        <v>7</v>
      </c>
      <c r="Y44" s="12">
        <v>1</v>
      </c>
      <c r="Z44" s="12">
        <v>0</v>
      </c>
      <c r="AA44" s="12">
        <v>0</v>
      </c>
      <c r="AB44" s="12">
        <v>0</v>
      </c>
      <c r="AC44" s="12">
        <v>4</v>
      </c>
      <c r="AD44" s="12">
        <v>0</v>
      </c>
      <c r="AE44" s="12">
        <v>5</v>
      </c>
      <c r="AF44" s="12">
        <v>3</v>
      </c>
    </row>
    <row r="45" spans="1:32" x14ac:dyDescent="0.25">
      <c r="A45" s="19"/>
      <c r="B45" s="13" t="s">
        <v>277</v>
      </c>
      <c r="C45" s="15" t="s">
        <v>213</v>
      </c>
      <c r="D45" s="15" t="s">
        <v>213</v>
      </c>
      <c r="E45" s="15" t="s">
        <v>213</v>
      </c>
      <c r="F45" s="15" t="s">
        <v>213</v>
      </c>
      <c r="G45" s="15" t="s">
        <v>213</v>
      </c>
      <c r="H45" s="15" t="s">
        <v>213</v>
      </c>
      <c r="I45" s="15" t="s">
        <v>213</v>
      </c>
      <c r="J45" s="15" t="s">
        <v>213</v>
      </c>
      <c r="K45" s="14">
        <v>0.01</v>
      </c>
      <c r="L45" s="15" t="s">
        <v>213</v>
      </c>
      <c r="M45" s="15" t="s">
        <v>213</v>
      </c>
      <c r="N45" s="14">
        <v>0.01</v>
      </c>
      <c r="O45" s="14">
        <v>0.01</v>
      </c>
      <c r="P45" s="15" t="s">
        <v>213</v>
      </c>
      <c r="Q45" s="15" t="s">
        <v>213</v>
      </c>
      <c r="R45" s="15" t="s">
        <v>213</v>
      </c>
      <c r="S45" s="14">
        <v>0.01</v>
      </c>
      <c r="T45" s="15" t="s">
        <v>213</v>
      </c>
      <c r="U45" s="15" t="s">
        <v>213</v>
      </c>
      <c r="V45" s="15" t="s">
        <v>213</v>
      </c>
      <c r="W45" s="14">
        <v>0.02</v>
      </c>
      <c r="X45" s="14">
        <v>0.01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4">
        <v>0.01</v>
      </c>
      <c r="AF45" s="15" t="s">
        <v>213</v>
      </c>
    </row>
    <row r="46" spans="1:32" x14ac:dyDescent="0.25">
      <c r="A46" s="19"/>
      <c r="B46" s="11" t="s">
        <v>224</v>
      </c>
      <c r="C46" s="12">
        <v>146</v>
      </c>
      <c r="D46" s="12">
        <v>0</v>
      </c>
      <c r="E46" s="12">
        <v>5</v>
      </c>
      <c r="F46" s="12">
        <v>8</v>
      </c>
      <c r="G46" s="12">
        <v>3</v>
      </c>
      <c r="H46" s="12">
        <v>0</v>
      </c>
      <c r="I46" s="12">
        <v>0</v>
      </c>
      <c r="J46" s="12">
        <v>0</v>
      </c>
      <c r="K46" s="12">
        <v>12</v>
      </c>
      <c r="L46" s="12">
        <v>5</v>
      </c>
      <c r="M46" s="12">
        <v>1</v>
      </c>
      <c r="N46" s="12">
        <v>17</v>
      </c>
      <c r="O46" s="12">
        <v>12</v>
      </c>
      <c r="P46" s="12">
        <v>2</v>
      </c>
      <c r="Q46" s="12">
        <v>4</v>
      </c>
      <c r="R46" s="12">
        <v>1</v>
      </c>
      <c r="S46" s="12">
        <v>24</v>
      </c>
      <c r="T46" s="12">
        <v>13</v>
      </c>
      <c r="U46" s="12">
        <v>2</v>
      </c>
      <c r="V46" s="12">
        <v>2</v>
      </c>
      <c r="W46" s="12">
        <v>0</v>
      </c>
      <c r="X46" s="12">
        <v>1</v>
      </c>
      <c r="Y46" s="12">
        <v>7</v>
      </c>
      <c r="Z46" s="12">
        <v>0</v>
      </c>
      <c r="AA46" s="12">
        <v>12</v>
      </c>
      <c r="AB46" s="12">
        <v>0</v>
      </c>
      <c r="AC46" s="12">
        <v>1</v>
      </c>
      <c r="AD46" s="12">
        <v>1</v>
      </c>
      <c r="AE46" s="12">
        <v>11</v>
      </c>
      <c r="AF46" s="12">
        <v>2</v>
      </c>
    </row>
    <row r="47" spans="1:32" x14ac:dyDescent="0.25">
      <c r="A47" s="19"/>
      <c r="B47" s="13" t="s">
        <v>237</v>
      </c>
      <c r="C47" s="14">
        <v>0.01</v>
      </c>
      <c r="D47" s="15" t="s">
        <v>213</v>
      </c>
      <c r="E47" s="15" t="s">
        <v>213</v>
      </c>
      <c r="F47" s="14">
        <v>0.01</v>
      </c>
      <c r="G47" s="15" t="s">
        <v>213</v>
      </c>
      <c r="H47" s="15" t="s">
        <v>213</v>
      </c>
      <c r="I47" s="15" t="s">
        <v>213</v>
      </c>
      <c r="J47" s="15" t="s">
        <v>213</v>
      </c>
      <c r="K47" s="14">
        <v>0.01</v>
      </c>
      <c r="L47" s="14">
        <v>0.01</v>
      </c>
      <c r="M47" s="15" t="s">
        <v>213</v>
      </c>
      <c r="N47" s="14">
        <v>0.02</v>
      </c>
      <c r="O47" s="14">
        <v>0.01</v>
      </c>
      <c r="P47" s="15" t="s">
        <v>213</v>
      </c>
      <c r="Q47" s="15" t="s">
        <v>213</v>
      </c>
      <c r="R47" s="15" t="s">
        <v>213</v>
      </c>
      <c r="S47" s="14">
        <v>0.02</v>
      </c>
      <c r="T47" s="14">
        <v>0.01</v>
      </c>
      <c r="U47" s="15" t="s">
        <v>213</v>
      </c>
      <c r="V47" s="15" t="s">
        <v>213</v>
      </c>
      <c r="W47" s="15" t="s">
        <v>213</v>
      </c>
      <c r="X47" s="15" t="s">
        <v>213</v>
      </c>
      <c r="Y47" s="14">
        <v>0.01</v>
      </c>
      <c r="Z47" s="15" t="s">
        <v>213</v>
      </c>
      <c r="AA47" s="14">
        <v>0.01</v>
      </c>
      <c r="AB47" s="15" t="s">
        <v>213</v>
      </c>
      <c r="AC47" s="15" t="s">
        <v>213</v>
      </c>
      <c r="AD47" s="15" t="s">
        <v>213</v>
      </c>
      <c r="AE47" s="14">
        <v>0.01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36" customHeight="1" x14ac:dyDescent="0.25">
      <c r="B3" s="18" t="s">
        <v>29</v>
      </c>
      <c r="C3" s="18"/>
      <c r="D3" s="18"/>
      <c r="E3" s="18"/>
      <c r="F3" s="18"/>
      <c r="H3" s="18" t="s">
        <v>30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280</v>
      </c>
      <c r="C12" s="12">
        <v>3869</v>
      </c>
      <c r="D12" s="12">
        <v>210</v>
      </c>
      <c r="E12" s="12">
        <v>87</v>
      </c>
      <c r="F12" s="12">
        <v>102</v>
      </c>
      <c r="G12" s="12">
        <v>100</v>
      </c>
      <c r="H12" s="12">
        <v>99</v>
      </c>
      <c r="I12" s="12">
        <v>134</v>
      </c>
      <c r="J12" s="12">
        <v>35</v>
      </c>
      <c r="K12" s="12">
        <v>107</v>
      </c>
      <c r="L12" s="12">
        <v>151</v>
      </c>
      <c r="M12" s="12">
        <v>68</v>
      </c>
      <c r="N12" s="12">
        <v>217</v>
      </c>
      <c r="O12" s="12">
        <v>203</v>
      </c>
      <c r="P12" s="12">
        <v>129</v>
      </c>
      <c r="Q12" s="12">
        <v>165</v>
      </c>
      <c r="R12" s="12">
        <v>41</v>
      </c>
      <c r="S12" s="12">
        <v>71</v>
      </c>
      <c r="T12" s="12">
        <v>85</v>
      </c>
      <c r="U12" s="12">
        <v>66</v>
      </c>
      <c r="V12" s="12">
        <v>107</v>
      </c>
      <c r="W12" s="12">
        <v>77</v>
      </c>
      <c r="X12" s="12">
        <v>196</v>
      </c>
      <c r="Y12" s="12">
        <v>161</v>
      </c>
      <c r="Z12" s="12">
        <v>118</v>
      </c>
      <c r="AA12" s="12">
        <v>212</v>
      </c>
      <c r="AB12" s="12">
        <v>102</v>
      </c>
      <c r="AC12" s="12">
        <v>111</v>
      </c>
      <c r="AD12" s="12">
        <v>85</v>
      </c>
      <c r="AE12" s="12">
        <v>126</v>
      </c>
      <c r="AF12" s="12">
        <v>165</v>
      </c>
    </row>
    <row r="13" spans="1:32" ht="23.25" x14ac:dyDescent="0.25">
      <c r="A13" s="19"/>
      <c r="B13" s="13" t="s">
        <v>281</v>
      </c>
      <c r="C13" s="14">
        <v>0.15</v>
      </c>
      <c r="D13" s="14">
        <v>0.21</v>
      </c>
      <c r="E13" s="14">
        <v>0.08</v>
      </c>
      <c r="F13" s="14">
        <v>0.1</v>
      </c>
      <c r="G13" s="14">
        <v>0.1</v>
      </c>
      <c r="H13" s="14">
        <v>0.08</v>
      </c>
      <c r="I13" s="14">
        <v>0.09</v>
      </c>
      <c r="J13" s="14">
        <v>0.12</v>
      </c>
      <c r="K13" s="14">
        <v>0.11</v>
      </c>
      <c r="L13" s="14">
        <v>0.15</v>
      </c>
      <c r="M13" s="14">
        <v>7.0000000000000007E-2</v>
      </c>
      <c r="N13" s="14">
        <v>0.21</v>
      </c>
      <c r="O13" s="14">
        <v>0.2</v>
      </c>
      <c r="P13" s="14">
        <v>0.13</v>
      </c>
      <c r="Q13" s="14">
        <v>0.16</v>
      </c>
      <c r="R13" s="14">
        <v>0.08</v>
      </c>
      <c r="S13" s="14">
        <v>7.0000000000000007E-2</v>
      </c>
      <c r="T13" s="14">
        <v>0.08</v>
      </c>
      <c r="U13" s="14">
        <v>0.13</v>
      </c>
      <c r="V13" s="14">
        <v>0.1</v>
      </c>
      <c r="W13" s="14">
        <v>0.15</v>
      </c>
      <c r="X13" s="14">
        <v>0.19</v>
      </c>
      <c r="Y13" s="14">
        <v>0.16</v>
      </c>
      <c r="Z13" s="14">
        <v>0.12</v>
      </c>
      <c r="AA13" s="14">
        <v>0.2</v>
      </c>
      <c r="AB13" s="14">
        <v>0.1</v>
      </c>
      <c r="AC13" s="14">
        <v>0.11</v>
      </c>
      <c r="AD13" s="14">
        <v>0.09</v>
      </c>
      <c r="AE13" s="14">
        <v>0.13</v>
      </c>
      <c r="AF13" s="14">
        <v>0.16</v>
      </c>
    </row>
    <row r="14" spans="1:32" ht="34.5" x14ac:dyDescent="0.25">
      <c r="A14" s="19"/>
      <c r="B14" s="11" t="s">
        <v>282</v>
      </c>
      <c r="C14" s="12">
        <v>2840</v>
      </c>
      <c r="D14" s="12">
        <v>114</v>
      </c>
      <c r="E14" s="12">
        <v>95</v>
      </c>
      <c r="F14" s="12">
        <v>43</v>
      </c>
      <c r="G14" s="12">
        <v>76</v>
      </c>
      <c r="H14" s="12">
        <v>102</v>
      </c>
      <c r="I14" s="12">
        <v>130</v>
      </c>
      <c r="J14" s="12">
        <v>28</v>
      </c>
      <c r="K14" s="12">
        <v>83</v>
      </c>
      <c r="L14" s="12">
        <v>107</v>
      </c>
      <c r="M14" s="12">
        <v>111</v>
      </c>
      <c r="N14" s="12">
        <v>104</v>
      </c>
      <c r="O14" s="12">
        <v>128</v>
      </c>
      <c r="P14" s="12">
        <v>110</v>
      </c>
      <c r="Q14" s="12">
        <v>126</v>
      </c>
      <c r="R14" s="12">
        <v>38</v>
      </c>
      <c r="S14" s="12">
        <v>74</v>
      </c>
      <c r="T14" s="12">
        <v>94</v>
      </c>
      <c r="U14" s="12">
        <v>62</v>
      </c>
      <c r="V14" s="12">
        <v>150</v>
      </c>
      <c r="W14" s="12">
        <v>71</v>
      </c>
      <c r="X14" s="12">
        <v>108</v>
      </c>
      <c r="Y14" s="12">
        <v>104</v>
      </c>
      <c r="Z14" s="12">
        <v>120</v>
      </c>
      <c r="AA14" s="12">
        <v>155</v>
      </c>
      <c r="AB14" s="12">
        <v>137</v>
      </c>
      <c r="AC14" s="12">
        <v>44</v>
      </c>
      <c r="AD14" s="12">
        <v>60</v>
      </c>
      <c r="AE14" s="12">
        <v>114</v>
      </c>
      <c r="AF14" s="12">
        <v>75</v>
      </c>
    </row>
    <row r="15" spans="1:32" ht="34.5" x14ac:dyDescent="0.25">
      <c r="A15" s="19"/>
      <c r="B15" s="13" t="s">
        <v>283</v>
      </c>
      <c r="C15" s="14">
        <v>0.11</v>
      </c>
      <c r="D15" s="14">
        <v>0.11</v>
      </c>
      <c r="E15" s="14">
        <v>0.09</v>
      </c>
      <c r="F15" s="14">
        <v>0.04</v>
      </c>
      <c r="G15" s="14">
        <v>7.0000000000000007E-2</v>
      </c>
      <c r="H15" s="14">
        <v>0.08</v>
      </c>
      <c r="I15" s="14">
        <v>0.09</v>
      </c>
      <c r="J15" s="14">
        <v>0.1</v>
      </c>
      <c r="K15" s="14">
        <v>0.08</v>
      </c>
      <c r="L15" s="14">
        <v>0.11</v>
      </c>
      <c r="M15" s="14">
        <v>0.11</v>
      </c>
      <c r="N15" s="14">
        <v>0.1</v>
      </c>
      <c r="O15" s="14">
        <v>0.13</v>
      </c>
      <c r="P15" s="14">
        <v>0.11</v>
      </c>
      <c r="Q15" s="14">
        <v>0.12</v>
      </c>
      <c r="R15" s="14">
        <v>0.08</v>
      </c>
      <c r="S15" s="14">
        <v>7.0000000000000007E-2</v>
      </c>
      <c r="T15" s="14">
        <v>0.09</v>
      </c>
      <c r="U15" s="14">
        <v>0.12</v>
      </c>
      <c r="V15" s="14">
        <v>0.15</v>
      </c>
      <c r="W15" s="14">
        <v>0.14000000000000001</v>
      </c>
      <c r="X15" s="14">
        <v>0.11</v>
      </c>
      <c r="Y15" s="14">
        <v>0.1</v>
      </c>
      <c r="Z15" s="14">
        <v>0.12</v>
      </c>
      <c r="AA15" s="14">
        <v>0.15</v>
      </c>
      <c r="AB15" s="14">
        <v>0.13</v>
      </c>
      <c r="AC15" s="14">
        <v>0.04</v>
      </c>
      <c r="AD15" s="14">
        <v>0.06</v>
      </c>
      <c r="AE15" s="14">
        <v>0.11</v>
      </c>
      <c r="AF15" s="14">
        <v>7.0000000000000007E-2</v>
      </c>
    </row>
    <row r="16" spans="1:32" ht="34.5" x14ac:dyDescent="0.25">
      <c r="A16" s="19"/>
      <c r="B16" s="11" t="s">
        <v>284</v>
      </c>
      <c r="C16" s="12">
        <v>3775</v>
      </c>
      <c r="D16" s="12">
        <v>143</v>
      </c>
      <c r="E16" s="12">
        <v>150</v>
      </c>
      <c r="F16" s="12">
        <v>89</v>
      </c>
      <c r="G16" s="12">
        <v>140</v>
      </c>
      <c r="H16" s="12">
        <v>166</v>
      </c>
      <c r="I16" s="12">
        <v>213</v>
      </c>
      <c r="J16" s="12">
        <v>46</v>
      </c>
      <c r="K16" s="12">
        <v>147</v>
      </c>
      <c r="L16" s="12">
        <v>133</v>
      </c>
      <c r="M16" s="12">
        <v>80</v>
      </c>
      <c r="N16" s="12">
        <v>166</v>
      </c>
      <c r="O16" s="12">
        <v>166</v>
      </c>
      <c r="P16" s="12">
        <v>164</v>
      </c>
      <c r="Q16" s="12">
        <v>142</v>
      </c>
      <c r="R16" s="12">
        <v>25</v>
      </c>
      <c r="S16" s="12">
        <v>53</v>
      </c>
      <c r="T16" s="12">
        <v>125</v>
      </c>
      <c r="U16" s="12">
        <v>74</v>
      </c>
      <c r="V16" s="12">
        <v>153</v>
      </c>
      <c r="W16" s="12">
        <v>72</v>
      </c>
      <c r="X16" s="12">
        <v>188</v>
      </c>
      <c r="Y16" s="12">
        <v>133</v>
      </c>
      <c r="Z16" s="12">
        <v>139</v>
      </c>
      <c r="AA16" s="12">
        <v>104</v>
      </c>
      <c r="AB16" s="12">
        <v>117</v>
      </c>
      <c r="AC16" s="12">
        <v>240</v>
      </c>
      <c r="AD16" s="12">
        <v>180</v>
      </c>
      <c r="AE16" s="12">
        <v>119</v>
      </c>
      <c r="AF16" s="12">
        <v>134</v>
      </c>
    </row>
    <row r="17" spans="1:32" ht="23.25" x14ac:dyDescent="0.25">
      <c r="A17" s="19"/>
      <c r="B17" s="13" t="s">
        <v>285</v>
      </c>
      <c r="C17" s="14">
        <v>0.14000000000000001</v>
      </c>
      <c r="D17" s="14">
        <v>0.14000000000000001</v>
      </c>
      <c r="E17" s="14">
        <v>0.14000000000000001</v>
      </c>
      <c r="F17" s="14">
        <v>0.08</v>
      </c>
      <c r="G17" s="14">
        <v>0.14000000000000001</v>
      </c>
      <c r="H17" s="14">
        <v>0.14000000000000001</v>
      </c>
      <c r="I17" s="14">
        <v>0.14000000000000001</v>
      </c>
      <c r="J17" s="14">
        <v>0.16</v>
      </c>
      <c r="K17" s="14">
        <v>0.15</v>
      </c>
      <c r="L17" s="14">
        <v>0.13</v>
      </c>
      <c r="M17" s="14">
        <v>0.08</v>
      </c>
      <c r="N17" s="14">
        <v>0.16</v>
      </c>
      <c r="O17" s="14">
        <v>0.17</v>
      </c>
      <c r="P17" s="14">
        <v>0.16</v>
      </c>
      <c r="Q17" s="14">
        <v>0.14000000000000001</v>
      </c>
      <c r="R17" s="14">
        <v>0.05</v>
      </c>
      <c r="S17" s="14">
        <v>0.05</v>
      </c>
      <c r="T17" s="14">
        <v>0.12</v>
      </c>
      <c r="U17" s="14">
        <v>0.15</v>
      </c>
      <c r="V17" s="14">
        <v>0.15</v>
      </c>
      <c r="W17" s="14">
        <v>0.14000000000000001</v>
      </c>
      <c r="X17" s="14">
        <v>0.19</v>
      </c>
      <c r="Y17" s="14">
        <v>0.13</v>
      </c>
      <c r="Z17" s="14">
        <v>0.14000000000000001</v>
      </c>
      <c r="AA17" s="14">
        <v>0.1</v>
      </c>
      <c r="AB17" s="14">
        <v>0.11</v>
      </c>
      <c r="AC17" s="14">
        <v>0.24</v>
      </c>
      <c r="AD17" s="14">
        <v>0.18</v>
      </c>
      <c r="AE17" s="14">
        <v>0.12</v>
      </c>
      <c r="AF17" s="14">
        <v>0.13</v>
      </c>
    </row>
    <row r="18" spans="1:32" ht="34.5" x14ac:dyDescent="0.25">
      <c r="A18" s="19"/>
      <c r="B18" s="11" t="s">
        <v>286</v>
      </c>
      <c r="C18" s="12">
        <v>4556</v>
      </c>
      <c r="D18" s="12">
        <v>178</v>
      </c>
      <c r="E18" s="12">
        <v>209</v>
      </c>
      <c r="F18" s="12">
        <v>209</v>
      </c>
      <c r="G18" s="12">
        <v>152</v>
      </c>
      <c r="H18" s="12">
        <v>182</v>
      </c>
      <c r="I18" s="12">
        <v>225</v>
      </c>
      <c r="J18" s="12">
        <v>43</v>
      </c>
      <c r="K18" s="12">
        <v>117</v>
      </c>
      <c r="L18" s="12">
        <v>139</v>
      </c>
      <c r="M18" s="12">
        <v>213</v>
      </c>
      <c r="N18" s="12">
        <v>155</v>
      </c>
      <c r="O18" s="12">
        <v>153</v>
      </c>
      <c r="P18" s="12">
        <v>191</v>
      </c>
      <c r="Q18" s="12">
        <v>207</v>
      </c>
      <c r="R18" s="12">
        <v>96</v>
      </c>
      <c r="S18" s="12">
        <v>97</v>
      </c>
      <c r="T18" s="12">
        <v>167</v>
      </c>
      <c r="U18" s="12">
        <v>86</v>
      </c>
      <c r="V18" s="12">
        <v>168</v>
      </c>
      <c r="W18" s="12">
        <v>62</v>
      </c>
      <c r="X18" s="12">
        <v>193</v>
      </c>
      <c r="Y18" s="12">
        <v>131</v>
      </c>
      <c r="Z18" s="12">
        <v>197</v>
      </c>
      <c r="AA18" s="12">
        <v>279</v>
      </c>
      <c r="AB18" s="12">
        <v>208</v>
      </c>
      <c r="AC18" s="12">
        <v>187</v>
      </c>
      <c r="AD18" s="12">
        <v>255</v>
      </c>
      <c r="AE18" s="12">
        <v>152</v>
      </c>
      <c r="AF18" s="12">
        <v>140</v>
      </c>
    </row>
    <row r="19" spans="1:32" ht="34.5" x14ac:dyDescent="0.25">
      <c r="A19" s="19"/>
      <c r="B19" s="13" t="s">
        <v>287</v>
      </c>
      <c r="C19" s="14">
        <v>0.17</v>
      </c>
      <c r="D19" s="14">
        <v>0.17</v>
      </c>
      <c r="E19" s="14">
        <v>0.2</v>
      </c>
      <c r="F19" s="14">
        <v>0.2</v>
      </c>
      <c r="G19" s="14">
        <v>0.15</v>
      </c>
      <c r="H19" s="14">
        <v>0.15</v>
      </c>
      <c r="I19" s="14">
        <v>0.15</v>
      </c>
      <c r="J19" s="14">
        <v>0.15</v>
      </c>
      <c r="K19" s="14">
        <v>0.12</v>
      </c>
      <c r="L19" s="14">
        <v>0.14000000000000001</v>
      </c>
      <c r="M19" s="14">
        <v>0.21</v>
      </c>
      <c r="N19" s="14">
        <v>0.15</v>
      </c>
      <c r="O19" s="14">
        <v>0.15</v>
      </c>
      <c r="P19" s="14">
        <v>0.19</v>
      </c>
      <c r="Q19" s="14">
        <v>0.2</v>
      </c>
      <c r="R19" s="14">
        <v>0.19</v>
      </c>
      <c r="S19" s="14">
        <v>0.1</v>
      </c>
      <c r="T19" s="14">
        <v>0.16</v>
      </c>
      <c r="U19" s="14">
        <v>0.17</v>
      </c>
      <c r="V19" s="14">
        <v>0.16</v>
      </c>
      <c r="W19" s="14">
        <v>0.12</v>
      </c>
      <c r="X19" s="14">
        <v>0.19</v>
      </c>
      <c r="Y19" s="14">
        <v>0.13</v>
      </c>
      <c r="Z19" s="14">
        <v>0.19</v>
      </c>
      <c r="AA19" s="14">
        <v>0.27</v>
      </c>
      <c r="AB19" s="14">
        <v>0.2</v>
      </c>
      <c r="AC19" s="14">
        <v>0.19</v>
      </c>
      <c r="AD19" s="14">
        <v>0.25</v>
      </c>
      <c r="AE19" s="14">
        <v>0.15</v>
      </c>
      <c r="AF19" s="14">
        <v>0.14000000000000001</v>
      </c>
    </row>
    <row r="20" spans="1:32" ht="34.5" x14ac:dyDescent="0.25">
      <c r="A20" s="19"/>
      <c r="B20" s="11" t="s">
        <v>288</v>
      </c>
      <c r="C20" s="12">
        <v>2601</v>
      </c>
      <c r="D20" s="12">
        <v>93</v>
      </c>
      <c r="E20" s="12">
        <v>120</v>
      </c>
      <c r="F20" s="12">
        <v>92</v>
      </c>
      <c r="G20" s="12">
        <v>85</v>
      </c>
      <c r="H20" s="12">
        <v>84</v>
      </c>
      <c r="I20" s="12">
        <v>103</v>
      </c>
      <c r="J20" s="12">
        <v>19</v>
      </c>
      <c r="K20" s="12">
        <v>50</v>
      </c>
      <c r="L20" s="12">
        <v>115</v>
      </c>
      <c r="M20" s="12">
        <v>121</v>
      </c>
      <c r="N20" s="12">
        <v>107</v>
      </c>
      <c r="O20" s="12">
        <v>68</v>
      </c>
      <c r="P20" s="12">
        <v>169</v>
      </c>
      <c r="Q20" s="12">
        <v>135</v>
      </c>
      <c r="R20" s="12">
        <v>63</v>
      </c>
      <c r="S20" s="12">
        <v>54</v>
      </c>
      <c r="T20" s="12">
        <v>64</v>
      </c>
      <c r="U20" s="12">
        <v>52</v>
      </c>
      <c r="V20" s="12">
        <v>106</v>
      </c>
      <c r="W20" s="12">
        <v>49</v>
      </c>
      <c r="X20" s="12">
        <v>85</v>
      </c>
      <c r="Y20" s="12">
        <v>81</v>
      </c>
      <c r="Z20" s="12">
        <v>149</v>
      </c>
      <c r="AA20" s="12">
        <v>138</v>
      </c>
      <c r="AB20" s="12">
        <v>143</v>
      </c>
      <c r="AC20" s="12">
        <v>96</v>
      </c>
      <c r="AD20" s="12">
        <v>74</v>
      </c>
      <c r="AE20" s="12">
        <v>52</v>
      </c>
      <c r="AF20" s="12">
        <v>100</v>
      </c>
    </row>
    <row r="21" spans="1:32" ht="34.5" x14ac:dyDescent="0.25">
      <c r="A21" s="19"/>
      <c r="B21" s="13" t="s">
        <v>289</v>
      </c>
      <c r="C21" s="14">
        <v>0.1</v>
      </c>
      <c r="D21" s="14">
        <v>0.09</v>
      </c>
      <c r="E21" s="14">
        <v>0.11</v>
      </c>
      <c r="F21" s="14">
        <v>0.09</v>
      </c>
      <c r="G21" s="14">
        <v>0.08</v>
      </c>
      <c r="H21" s="14">
        <v>7.0000000000000007E-2</v>
      </c>
      <c r="I21" s="14">
        <v>7.0000000000000007E-2</v>
      </c>
      <c r="J21" s="14">
        <v>0.06</v>
      </c>
      <c r="K21" s="14">
        <v>0.05</v>
      </c>
      <c r="L21" s="14">
        <v>0.11</v>
      </c>
      <c r="M21" s="14">
        <v>0.12</v>
      </c>
      <c r="N21" s="14">
        <v>0.11</v>
      </c>
      <c r="O21" s="14">
        <v>7.0000000000000007E-2</v>
      </c>
      <c r="P21" s="14">
        <v>0.17</v>
      </c>
      <c r="Q21" s="14">
        <v>0.13</v>
      </c>
      <c r="R21" s="14">
        <v>0.13</v>
      </c>
      <c r="S21" s="14">
        <v>0.05</v>
      </c>
      <c r="T21" s="14">
        <v>0.06</v>
      </c>
      <c r="U21" s="14">
        <v>0.1</v>
      </c>
      <c r="V21" s="14">
        <v>0.1</v>
      </c>
      <c r="W21" s="14">
        <v>0.1</v>
      </c>
      <c r="X21" s="14">
        <v>0.08</v>
      </c>
      <c r="Y21" s="14">
        <v>0.08</v>
      </c>
      <c r="Z21" s="14">
        <v>0.15</v>
      </c>
      <c r="AA21" s="14">
        <v>0.13</v>
      </c>
      <c r="AB21" s="14">
        <v>0.14000000000000001</v>
      </c>
      <c r="AC21" s="14">
        <v>0.1</v>
      </c>
      <c r="AD21" s="14">
        <v>7.0000000000000007E-2</v>
      </c>
      <c r="AE21" s="14">
        <v>0.05</v>
      </c>
      <c r="AF21" s="14">
        <v>0.1</v>
      </c>
    </row>
    <row r="22" spans="1:32" ht="34.5" x14ac:dyDescent="0.25">
      <c r="A22" s="19"/>
      <c r="B22" s="11" t="s">
        <v>290</v>
      </c>
      <c r="C22" s="12">
        <v>5857</v>
      </c>
      <c r="D22" s="12">
        <v>218</v>
      </c>
      <c r="E22" s="12">
        <v>191</v>
      </c>
      <c r="F22" s="12">
        <v>218</v>
      </c>
      <c r="G22" s="12">
        <v>291</v>
      </c>
      <c r="H22" s="12">
        <v>244</v>
      </c>
      <c r="I22" s="12">
        <v>308</v>
      </c>
      <c r="J22" s="12">
        <v>64</v>
      </c>
      <c r="K22" s="12">
        <v>206</v>
      </c>
      <c r="L22" s="12">
        <v>245</v>
      </c>
      <c r="M22" s="12">
        <v>253</v>
      </c>
      <c r="N22" s="12">
        <v>224</v>
      </c>
      <c r="O22" s="12">
        <v>207</v>
      </c>
      <c r="P22" s="12">
        <v>190</v>
      </c>
      <c r="Q22" s="12">
        <v>221</v>
      </c>
      <c r="R22" s="12">
        <v>146</v>
      </c>
      <c r="S22" s="12">
        <v>252</v>
      </c>
      <c r="T22" s="12">
        <v>242</v>
      </c>
      <c r="U22" s="12">
        <v>123</v>
      </c>
      <c r="V22" s="12">
        <v>259</v>
      </c>
      <c r="W22" s="12">
        <v>113</v>
      </c>
      <c r="X22" s="12">
        <v>290</v>
      </c>
      <c r="Y22" s="12">
        <v>245</v>
      </c>
      <c r="Z22" s="12">
        <v>180</v>
      </c>
      <c r="AA22" s="12">
        <v>309</v>
      </c>
      <c r="AB22" s="12">
        <v>229</v>
      </c>
      <c r="AC22" s="12">
        <v>252</v>
      </c>
      <c r="AD22" s="12">
        <v>263</v>
      </c>
      <c r="AE22" s="12">
        <v>248</v>
      </c>
      <c r="AF22" s="12">
        <v>373</v>
      </c>
    </row>
    <row r="23" spans="1:32" ht="34.5" x14ac:dyDescent="0.25">
      <c r="A23" s="19"/>
      <c r="B23" s="13" t="s">
        <v>291</v>
      </c>
      <c r="C23" s="14">
        <v>0.22</v>
      </c>
      <c r="D23" s="14">
        <v>0.21</v>
      </c>
      <c r="E23" s="14">
        <v>0.18</v>
      </c>
      <c r="F23" s="14">
        <v>0.2</v>
      </c>
      <c r="G23" s="14">
        <v>0.28999999999999998</v>
      </c>
      <c r="H23" s="14">
        <v>0.2</v>
      </c>
      <c r="I23" s="14">
        <v>0.2</v>
      </c>
      <c r="J23" s="14">
        <v>0.22</v>
      </c>
      <c r="K23" s="14">
        <v>0.2</v>
      </c>
      <c r="L23" s="14">
        <v>0.24</v>
      </c>
      <c r="M23" s="14">
        <v>0.25</v>
      </c>
      <c r="N23" s="14">
        <v>0.22</v>
      </c>
      <c r="O23" s="14">
        <v>0.21</v>
      </c>
      <c r="P23" s="14">
        <v>0.19</v>
      </c>
      <c r="Q23" s="14">
        <v>0.21</v>
      </c>
      <c r="R23" s="14">
        <v>0.28999999999999998</v>
      </c>
      <c r="S23" s="14">
        <v>0.25</v>
      </c>
      <c r="T23" s="14">
        <v>0.24</v>
      </c>
      <c r="U23" s="14">
        <v>0.24</v>
      </c>
      <c r="V23" s="14">
        <v>0.25</v>
      </c>
      <c r="W23" s="14">
        <v>0.22</v>
      </c>
      <c r="X23" s="14">
        <v>0.28999999999999998</v>
      </c>
      <c r="Y23" s="14">
        <v>0.24</v>
      </c>
      <c r="Z23" s="14">
        <v>0.18</v>
      </c>
      <c r="AA23" s="14">
        <v>0.3</v>
      </c>
      <c r="AB23" s="14">
        <v>0.22</v>
      </c>
      <c r="AC23" s="14">
        <v>0.25</v>
      </c>
      <c r="AD23" s="14">
        <v>0.26</v>
      </c>
      <c r="AE23" s="14">
        <v>0.25</v>
      </c>
      <c r="AF23" s="14">
        <v>0.36</v>
      </c>
    </row>
    <row r="24" spans="1:32" ht="23.25" x14ac:dyDescent="0.25">
      <c r="A24" s="19"/>
      <c r="B24" s="11" t="s">
        <v>292</v>
      </c>
      <c r="C24" s="12">
        <v>1623</v>
      </c>
      <c r="D24" s="12">
        <v>67</v>
      </c>
      <c r="E24" s="12">
        <v>78</v>
      </c>
      <c r="F24" s="12">
        <v>38</v>
      </c>
      <c r="G24" s="12">
        <v>69</v>
      </c>
      <c r="H24" s="12">
        <v>30</v>
      </c>
      <c r="I24" s="12">
        <v>37</v>
      </c>
      <c r="J24" s="12">
        <v>7</v>
      </c>
      <c r="K24" s="12">
        <v>97</v>
      </c>
      <c r="L24" s="12">
        <v>107</v>
      </c>
      <c r="M24" s="12">
        <v>44</v>
      </c>
      <c r="N24" s="12">
        <v>44</v>
      </c>
      <c r="O24" s="12">
        <v>77</v>
      </c>
      <c r="P24" s="12">
        <v>84</v>
      </c>
      <c r="Q24" s="12">
        <v>88</v>
      </c>
      <c r="R24" s="12">
        <v>48</v>
      </c>
      <c r="S24" s="12">
        <v>39</v>
      </c>
      <c r="T24" s="12">
        <v>41</v>
      </c>
      <c r="U24" s="12">
        <v>27</v>
      </c>
      <c r="V24" s="12">
        <v>71</v>
      </c>
      <c r="W24" s="12">
        <v>48</v>
      </c>
      <c r="X24" s="12">
        <v>42</v>
      </c>
      <c r="Y24" s="12">
        <v>56</v>
      </c>
      <c r="Z24" s="12">
        <v>83</v>
      </c>
      <c r="AA24" s="12">
        <v>33</v>
      </c>
      <c r="AB24" s="12">
        <v>163</v>
      </c>
      <c r="AC24" s="12">
        <v>57</v>
      </c>
      <c r="AD24" s="12">
        <v>55</v>
      </c>
      <c r="AE24" s="12">
        <v>56</v>
      </c>
      <c r="AF24" s="12">
        <v>31</v>
      </c>
    </row>
    <row r="25" spans="1:32" ht="23.25" x14ac:dyDescent="0.25">
      <c r="A25" s="19"/>
      <c r="B25" s="13" t="s">
        <v>293</v>
      </c>
      <c r="C25" s="14">
        <v>0.06</v>
      </c>
      <c r="D25" s="14">
        <v>7.0000000000000007E-2</v>
      </c>
      <c r="E25" s="14">
        <v>7.0000000000000007E-2</v>
      </c>
      <c r="F25" s="14">
        <v>0.04</v>
      </c>
      <c r="G25" s="14">
        <v>7.0000000000000007E-2</v>
      </c>
      <c r="H25" s="14">
        <v>0.02</v>
      </c>
      <c r="I25" s="14">
        <v>0.02</v>
      </c>
      <c r="J25" s="14">
        <v>0.02</v>
      </c>
      <c r="K25" s="14">
        <v>0.1</v>
      </c>
      <c r="L25" s="14">
        <v>0.11</v>
      </c>
      <c r="M25" s="14">
        <v>0.04</v>
      </c>
      <c r="N25" s="14">
        <v>0.04</v>
      </c>
      <c r="O25" s="14">
        <v>0.08</v>
      </c>
      <c r="P25" s="14">
        <v>0.08</v>
      </c>
      <c r="Q25" s="14">
        <v>0.09</v>
      </c>
      <c r="R25" s="14">
        <v>0.1</v>
      </c>
      <c r="S25" s="14">
        <v>0.04</v>
      </c>
      <c r="T25" s="14">
        <v>0.04</v>
      </c>
      <c r="U25" s="14">
        <v>0.05</v>
      </c>
      <c r="V25" s="14">
        <v>7.0000000000000007E-2</v>
      </c>
      <c r="W25" s="14">
        <v>0.1</v>
      </c>
      <c r="X25" s="14">
        <v>0.04</v>
      </c>
      <c r="Y25" s="14">
        <v>0.06</v>
      </c>
      <c r="Z25" s="14">
        <v>0.08</v>
      </c>
      <c r="AA25" s="14">
        <v>0.03</v>
      </c>
      <c r="AB25" s="14">
        <v>0.16</v>
      </c>
      <c r="AC25" s="14">
        <v>0.06</v>
      </c>
      <c r="AD25" s="14">
        <v>0.05</v>
      </c>
      <c r="AE25" s="14">
        <v>0.06</v>
      </c>
      <c r="AF25" s="14">
        <v>0.03</v>
      </c>
    </row>
    <row r="26" spans="1:32" x14ac:dyDescent="0.25">
      <c r="A26" s="19"/>
      <c r="B26" s="11" t="s">
        <v>294</v>
      </c>
      <c r="C26" s="12">
        <v>3659</v>
      </c>
      <c r="D26" s="12">
        <v>131</v>
      </c>
      <c r="E26" s="12">
        <v>338</v>
      </c>
      <c r="F26" s="12">
        <v>237</v>
      </c>
      <c r="G26" s="12">
        <v>128</v>
      </c>
      <c r="H26" s="12">
        <v>116</v>
      </c>
      <c r="I26" s="12">
        <v>140</v>
      </c>
      <c r="J26" s="12">
        <v>24</v>
      </c>
      <c r="K26" s="12">
        <v>294</v>
      </c>
      <c r="L26" s="12">
        <v>204</v>
      </c>
      <c r="M26" s="12">
        <v>142</v>
      </c>
      <c r="N26" s="12">
        <v>97</v>
      </c>
      <c r="O26" s="12">
        <v>102</v>
      </c>
      <c r="P26" s="12">
        <v>201</v>
      </c>
      <c r="Q26" s="12">
        <v>196</v>
      </c>
      <c r="R26" s="12">
        <v>46</v>
      </c>
      <c r="S26" s="12">
        <v>123</v>
      </c>
      <c r="T26" s="12">
        <v>209</v>
      </c>
      <c r="U26" s="12">
        <v>101</v>
      </c>
      <c r="V26" s="12">
        <v>237</v>
      </c>
      <c r="W26" s="12">
        <v>77</v>
      </c>
      <c r="X26" s="12">
        <v>69</v>
      </c>
      <c r="Y26" s="12">
        <v>124</v>
      </c>
      <c r="Z26" s="12">
        <v>198</v>
      </c>
      <c r="AA26" s="12">
        <v>67</v>
      </c>
      <c r="AB26" s="12">
        <v>229</v>
      </c>
      <c r="AC26" s="12">
        <v>137</v>
      </c>
      <c r="AD26" s="12">
        <v>202</v>
      </c>
      <c r="AE26" s="12">
        <v>140</v>
      </c>
      <c r="AF26" s="12">
        <v>123</v>
      </c>
    </row>
    <row r="27" spans="1:32" x14ac:dyDescent="0.25">
      <c r="A27" s="19"/>
      <c r="B27" s="13" t="s">
        <v>295</v>
      </c>
      <c r="C27" s="14">
        <v>0.14000000000000001</v>
      </c>
      <c r="D27" s="14">
        <v>0.13</v>
      </c>
      <c r="E27" s="14">
        <v>0.32</v>
      </c>
      <c r="F27" s="14">
        <v>0.22</v>
      </c>
      <c r="G27" s="14">
        <v>0.13</v>
      </c>
      <c r="H27" s="14">
        <v>0.09</v>
      </c>
      <c r="I27" s="14">
        <v>0.09</v>
      </c>
      <c r="J27" s="14">
        <v>0.08</v>
      </c>
      <c r="K27" s="14">
        <v>0.28999999999999998</v>
      </c>
      <c r="L27" s="14">
        <v>0.2</v>
      </c>
      <c r="M27" s="14">
        <v>0.14000000000000001</v>
      </c>
      <c r="N27" s="14">
        <v>0.1</v>
      </c>
      <c r="O27" s="14">
        <v>0.1</v>
      </c>
      <c r="P27" s="14">
        <v>0.2</v>
      </c>
      <c r="Q27" s="14">
        <v>0.19</v>
      </c>
      <c r="R27" s="14">
        <v>0.09</v>
      </c>
      <c r="S27" s="14">
        <v>0.12</v>
      </c>
      <c r="T27" s="14">
        <v>0.2</v>
      </c>
      <c r="U27" s="14">
        <v>0.2</v>
      </c>
      <c r="V27" s="14">
        <v>0.23</v>
      </c>
      <c r="W27" s="14">
        <v>0.15</v>
      </c>
      <c r="X27" s="14">
        <v>7.0000000000000007E-2</v>
      </c>
      <c r="Y27" s="14">
        <v>0.12</v>
      </c>
      <c r="Z27" s="14">
        <v>0.19</v>
      </c>
      <c r="AA27" s="14">
        <v>0.06</v>
      </c>
      <c r="AB27" s="14">
        <v>0.22</v>
      </c>
      <c r="AC27" s="14">
        <v>0.14000000000000001</v>
      </c>
      <c r="AD27" s="14">
        <v>0.2</v>
      </c>
      <c r="AE27" s="14">
        <v>0.14000000000000001</v>
      </c>
      <c r="AF27" s="14">
        <v>0.12</v>
      </c>
    </row>
    <row r="28" spans="1:32" ht="23.25" x14ac:dyDescent="0.25">
      <c r="A28" s="19"/>
      <c r="B28" s="11" t="s">
        <v>296</v>
      </c>
      <c r="C28" s="12">
        <v>6104</v>
      </c>
      <c r="D28" s="12">
        <v>257</v>
      </c>
      <c r="E28" s="12">
        <v>190</v>
      </c>
      <c r="F28" s="12">
        <v>288</v>
      </c>
      <c r="G28" s="12">
        <v>263</v>
      </c>
      <c r="H28" s="12">
        <v>361</v>
      </c>
      <c r="I28" s="12">
        <v>434</v>
      </c>
      <c r="J28" s="12">
        <v>74</v>
      </c>
      <c r="K28" s="12">
        <v>261</v>
      </c>
      <c r="L28" s="12">
        <v>232</v>
      </c>
      <c r="M28" s="12">
        <v>236</v>
      </c>
      <c r="N28" s="12">
        <v>205</v>
      </c>
      <c r="O28" s="12">
        <v>244</v>
      </c>
      <c r="P28" s="12">
        <v>240</v>
      </c>
      <c r="Q28" s="12">
        <v>221</v>
      </c>
      <c r="R28" s="12">
        <v>98</v>
      </c>
      <c r="S28" s="12">
        <v>311</v>
      </c>
      <c r="T28" s="12">
        <v>264</v>
      </c>
      <c r="U28" s="12">
        <v>123</v>
      </c>
      <c r="V28" s="12">
        <v>194</v>
      </c>
      <c r="W28" s="12">
        <v>88</v>
      </c>
      <c r="X28" s="12">
        <v>240</v>
      </c>
      <c r="Y28" s="12">
        <v>307</v>
      </c>
      <c r="Z28" s="12">
        <v>141</v>
      </c>
      <c r="AA28" s="12">
        <v>114</v>
      </c>
      <c r="AB28" s="12">
        <v>224</v>
      </c>
      <c r="AC28" s="12">
        <v>198</v>
      </c>
      <c r="AD28" s="12">
        <v>212</v>
      </c>
      <c r="AE28" s="12">
        <v>224</v>
      </c>
      <c r="AF28" s="12">
        <v>338</v>
      </c>
    </row>
    <row r="29" spans="1:32" ht="23.25" x14ac:dyDescent="0.25">
      <c r="A29" s="19"/>
      <c r="B29" s="13" t="s">
        <v>297</v>
      </c>
      <c r="C29" s="14">
        <v>0.23</v>
      </c>
      <c r="D29" s="14">
        <v>0.25</v>
      </c>
      <c r="E29" s="14">
        <v>0.18</v>
      </c>
      <c r="F29" s="14">
        <v>0.27</v>
      </c>
      <c r="G29" s="14">
        <v>0.26</v>
      </c>
      <c r="H29" s="14">
        <v>0.28999999999999998</v>
      </c>
      <c r="I29" s="14">
        <v>0.28000000000000003</v>
      </c>
      <c r="J29" s="14">
        <v>0.25</v>
      </c>
      <c r="K29" s="14">
        <v>0.26</v>
      </c>
      <c r="L29" s="14">
        <v>0.23</v>
      </c>
      <c r="M29" s="14">
        <v>0.23</v>
      </c>
      <c r="N29" s="14">
        <v>0.2</v>
      </c>
      <c r="O29" s="14">
        <v>0.24</v>
      </c>
      <c r="P29" s="14">
        <v>0.24</v>
      </c>
      <c r="Q29" s="14">
        <v>0.21</v>
      </c>
      <c r="R29" s="14">
        <v>0.2</v>
      </c>
      <c r="S29" s="14">
        <v>0.31</v>
      </c>
      <c r="T29" s="14">
        <v>0.26</v>
      </c>
      <c r="U29" s="14">
        <v>0.24</v>
      </c>
      <c r="V29" s="14">
        <v>0.19</v>
      </c>
      <c r="W29" s="14">
        <v>0.18</v>
      </c>
      <c r="X29" s="14">
        <v>0.24</v>
      </c>
      <c r="Y29" s="14">
        <v>0.31</v>
      </c>
      <c r="Z29" s="14">
        <v>0.14000000000000001</v>
      </c>
      <c r="AA29" s="14">
        <v>0.11</v>
      </c>
      <c r="AB29" s="14">
        <v>0.22</v>
      </c>
      <c r="AC29" s="14">
        <v>0.2</v>
      </c>
      <c r="AD29" s="14">
        <v>0.21</v>
      </c>
      <c r="AE29" s="14">
        <v>0.22</v>
      </c>
      <c r="AF29" s="14">
        <v>0.33</v>
      </c>
    </row>
    <row r="30" spans="1:32" ht="45.75" x14ac:dyDescent="0.25">
      <c r="A30" s="19"/>
      <c r="B30" s="11" t="s">
        <v>298</v>
      </c>
      <c r="C30" s="12">
        <v>3739</v>
      </c>
      <c r="D30" s="12">
        <v>122</v>
      </c>
      <c r="E30" s="12">
        <v>118</v>
      </c>
      <c r="F30" s="12">
        <v>130</v>
      </c>
      <c r="G30" s="12">
        <v>208</v>
      </c>
      <c r="H30" s="12">
        <v>145</v>
      </c>
      <c r="I30" s="12">
        <v>196</v>
      </c>
      <c r="J30" s="12">
        <v>51</v>
      </c>
      <c r="K30" s="12">
        <v>97</v>
      </c>
      <c r="L30" s="12">
        <v>141</v>
      </c>
      <c r="M30" s="12">
        <v>167</v>
      </c>
      <c r="N30" s="12">
        <v>174</v>
      </c>
      <c r="O30" s="12">
        <v>145</v>
      </c>
      <c r="P30" s="12">
        <v>155</v>
      </c>
      <c r="Q30" s="12">
        <v>157</v>
      </c>
      <c r="R30" s="12">
        <v>88</v>
      </c>
      <c r="S30" s="12">
        <v>90</v>
      </c>
      <c r="T30" s="12">
        <v>83</v>
      </c>
      <c r="U30" s="12">
        <v>52</v>
      </c>
      <c r="V30" s="12">
        <v>121</v>
      </c>
      <c r="W30" s="12">
        <v>76</v>
      </c>
      <c r="X30" s="12">
        <v>115</v>
      </c>
      <c r="Y30" s="12">
        <v>103</v>
      </c>
      <c r="Z30" s="12">
        <v>126</v>
      </c>
      <c r="AA30" s="12">
        <v>185</v>
      </c>
      <c r="AB30" s="12">
        <v>119</v>
      </c>
      <c r="AC30" s="12">
        <v>129</v>
      </c>
      <c r="AD30" s="12">
        <v>144</v>
      </c>
      <c r="AE30" s="12">
        <v>171</v>
      </c>
      <c r="AF30" s="12">
        <v>215</v>
      </c>
    </row>
    <row r="31" spans="1:32" ht="45.75" x14ac:dyDescent="0.25">
      <c r="A31" s="19"/>
      <c r="B31" s="13" t="s">
        <v>299</v>
      </c>
      <c r="C31" s="14">
        <v>0.14000000000000001</v>
      </c>
      <c r="D31" s="14">
        <v>0.12</v>
      </c>
      <c r="E31" s="14">
        <v>0.11</v>
      </c>
      <c r="F31" s="14">
        <v>0.12</v>
      </c>
      <c r="G31" s="14">
        <v>0.21</v>
      </c>
      <c r="H31" s="14">
        <v>0.12</v>
      </c>
      <c r="I31" s="14">
        <v>0.13</v>
      </c>
      <c r="J31" s="14">
        <v>0.17</v>
      </c>
      <c r="K31" s="14">
        <v>0.1</v>
      </c>
      <c r="L31" s="14">
        <v>0.14000000000000001</v>
      </c>
      <c r="M31" s="14">
        <v>0.17</v>
      </c>
      <c r="N31" s="14">
        <v>0.17</v>
      </c>
      <c r="O31" s="14">
        <v>0.14000000000000001</v>
      </c>
      <c r="P31" s="14">
        <v>0.15</v>
      </c>
      <c r="Q31" s="14">
        <v>0.15</v>
      </c>
      <c r="R31" s="14">
        <v>0.18</v>
      </c>
      <c r="S31" s="14">
        <v>0.09</v>
      </c>
      <c r="T31" s="14">
        <v>0.08</v>
      </c>
      <c r="U31" s="14">
        <v>0.1</v>
      </c>
      <c r="V31" s="14">
        <v>0.12</v>
      </c>
      <c r="W31" s="14">
        <v>0.15</v>
      </c>
      <c r="X31" s="14">
        <v>0.11</v>
      </c>
      <c r="Y31" s="14">
        <v>0.1</v>
      </c>
      <c r="Z31" s="14">
        <v>0.12</v>
      </c>
      <c r="AA31" s="14">
        <v>0.18</v>
      </c>
      <c r="AB31" s="14">
        <v>0.11</v>
      </c>
      <c r="AC31" s="14">
        <v>0.13</v>
      </c>
      <c r="AD31" s="14">
        <v>0.14000000000000001</v>
      </c>
      <c r="AE31" s="14">
        <v>0.17</v>
      </c>
      <c r="AF31" s="14">
        <v>0.21</v>
      </c>
    </row>
    <row r="32" spans="1:32" x14ac:dyDescent="0.25">
      <c r="A32" s="19"/>
      <c r="B32" s="11" t="s">
        <v>300</v>
      </c>
      <c r="C32" s="12">
        <v>9232</v>
      </c>
      <c r="D32" s="12">
        <v>367</v>
      </c>
      <c r="E32" s="12">
        <v>213</v>
      </c>
      <c r="F32" s="12">
        <v>317</v>
      </c>
      <c r="G32" s="12">
        <v>477</v>
      </c>
      <c r="H32" s="12">
        <v>590</v>
      </c>
      <c r="I32" s="12">
        <v>709</v>
      </c>
      <c r="J32" s="12">
        <v>119</v>
      </c>
      <c r="K32" s="12">
        <v>145</v>
      </c>
      <c r="L32" s="12">
        <v>281</v>
      </c>
      <c r="M32" s="12">
        <v>374</v>
      </c>
      <c r="N32" s="12">
        <v>353</v>
      </c>
      <c r="O32" s="12">
        <v>322</v>
      </c>
      <c r="P32" s="12">
        <v>181</v>
      </c>
      <c r="Q32" s="12">
        <v>336</v>
      </c>
      <c r="R32" s="12">
        <v>199</v>
      </c>
      <c r="S32" s="12">
        <v>264</v>
      </c>
      <c r="T32" s="12">
        <v>227</v>
      </c>
      <c r="U32" s="12">
        <v>200</v>
      </c>
      <c r="V32" s="12">
        <v>334</v>
      </c>
      <c r="W32" s="12">
        <v>142</v>
      </c>
      <c r="X32" s="12">
        <v>392</v>
      </c>
      <c r="Y32" s="12">
        <v>360</v>
      </c>
      <c r="Z32" s="12">
        <v>250</v>
      </c>
      <c r="AA32" s="12">
        <v>315</v>
      </c>
      <c r="AB32" s="12">
        <v>258</v>
      </c>
      <c r="AC32" s="12">
        <v>204</v>
      </c>
      <c r="AD32" s="12">
        <v>221</v>
      </c>
      <c r="AE32" s="12">
        <v>408</v>
      </c>
      <c r="AF32" s="12">
        <v>567</v>
      </c>
    </row>
    <row r="33" spans="1:32" x14ac:dyDescent="0.25">
      <c r="A33" s="19"/>
      <c r="B33" s="13" t="s">
        <v>301</v>
      </c>
      <c r="C33" s="14">
        <v>0.35</v>
      </c>
      <c r="D33" s="14">
        <v>0.36</v>
      </c>
      <c r="E33" s="14">
        <v>0.2</v>
      </c>
      <c r="F33" s="14">
        <v>0.3</v>
      </c>
      <c r="G33" s="14">
        <v>0.47</v>
      </c>
      <c r="H33" s="14">
        <v>0.48</v>
      </c>
      <c r="I33" s="14">
        <v>0.46</v>
      </c>
      <c r="J33" s="14">
        <v>0.4</v>
      </c>
      <c r="K33" s="14">
        <v>0.14000000000000001</v>
      </c>
      <c r="L33" s="14">
        <v>0.28000000000000003</v>
      </c>
      <c r="M33" s="14">
        <v>0.37</v>
      </c>
      <c r="N33" s="14">
        <v>0.35</v>
      </c>
      <c r="O33" s="14">
        <v>0.32</v>
      </c>
      <c r="P33" s="14">
        <v>0.18</v>
      </c>
      <c r="Q33" s="14">
        <v>0.33</v>
      </c>
      <c r="R33" s="14">
        <v>0.4</v>
      </c>
      <c r="S33" s="14">
        <v>0.26</v>
      </c>
      <c r="T33" s="14">
        <v>0.22</v>
      </c>
      <c r="U33" s="14">
        <v>0.39</v>
      </c>
      <c r="V33" s="14">
        <v>0.33</v>
      </c>
      <c r="W33" s="14">
        <v>0.28000000000000003</v>
      </c>
      <c r="X33" s="14">
        <v>0.39</v>
      </c>
      <c r="Y33" s="14">
        <v>0.36</v>
      </c>
      <c r="Z33" s="14">
        <v>0.25</v>
      </c>
      <c r="AA33" s="14">
        <v>0.3</v>
      </c>
      <c r="AB33" s="14">
        <v>0.25</v>
      </c>
      <c r="AC33" s="14">
        <v>0.2</v>
      </c>
      <c r="AD33" s="14">
        <v>0.22</v>
      </c>
      <c r="AE33" s="14">
        <v>0.41</v>
      </c>
      <c r="AF33" s="14">
        <v>0.55000000000000004</v>
      </c>
    </row>
    <row r="34" spans="1:32" x14ac:dyDescent="0.25">
      <c r="A34" s="19"/>
      <c r="B34" s="11" t="s">
        <v>302</v>
      </c>
      <c r="C34" s="12">
        <v>5632</v>
      </c>
      <c r="D34" s="12">
        <v>226</v>
      </c>
      <c r="E34" s="12">
        <v>218</v>
      </c>
      <c r="F34" s="12">
        <v>190</v>
      </c>
      <c r="G34" s="12">
        <v>248</v>
      </c>
      <c r="H34" s="12">
        <v>340</v>
      </c>
      <c r="I34" s="12">
        <v>417</v>
      </c>
      <c r="J34" s="12">
        <v>77</v>
      </c>
      <c r="K34" s="12">
        <v>168</v>
      </c>
      <c r="L34" s="12">
        <v>226</v>
      </c>
      <c r="M34" s="12">
        <v>380</v>
      </c>
      <c r="N34" s="12">
        <v>223</v>
      </c>
      <c r="O34" s="12">
        <v>188</v>
      </c>
      <c r="P34" s="12">
        <v>201</v>
      </c>
      <c r="Q34" s="12">
        <v>148</v>
      </c>
      <c r="R34" s="12">
        <v>173</v>
      </c>
      <c r="S34" s="12">
        <v>266</v>
      </c>
      <c r="T34" s="12">
        <v>142</v>
      </c>
      <c r="U34" s="12">
        <v>91</v>
      </c>
      <c r="V34" s="12">
        <v>170</v>
      </c>
      <c r="W34" s="12">
        <v>146</v>
      </c>
      <c r="X34" s="12">
        <v>272</v>
      </c>
      <c r="Y34" s="12">
        <v>300</v>
      </c>
      <c r="Z34" s="12">
        <v>170</v>
      </c>
      <c r="AA34" s="12">
        <v>134</v>
      </c>
      <c r="AB34" s="12">
        <v>189</v>
      </c>
      <c r="AC34" s="12">
        <v>279</v>
      </c>
      <c r="AD34" s="12">
        <v>261</v>
      </c>
      <c r="AE34" s="12">
        <v>307</v>
      </c>
      <c r="AF34" s="12">
        <v>198</v>
      </c>
    </row>
    <row r="35" spans="1:32" x14ac:dyDescent="0.25">
      <c r="A35" s="19"/>
      <c r="B35" s="13" t="s">
        <v>303</v>
      </c>
      <c r="C35" s="14">
        <v>0.21</v>
      </c>
      <c r="D35" s="14">
        <v>0.22</v>
      </c>
      <c r="E35" s="14">
        <v>0.21</v>
      </c>
      <c r="F35" s="14">
        <v>0.18</v>
      </c>
      <c r="G35" s="14">
        <v>0.24</v>
      </c>
      <c r="H35" s="14">
        <v>0.28000000000000003</v>
      </c>
      <c r="I35" s="14">
        <v>0.27</v>
      </c>
      <c r="J35" s="14">
        <v>0.26</v>
      </c>
      <c r="K35" s="14">
        <v>0.17</v>
      </c>
      <c r="L35" s="14">
        <v>0.22</v>
      </c>
      <c r="M35" s="14">
        <v>0.38</v>
      </c>
      <c r="N35" s="14">
        <v>0.22</v>
      </c>
      <c r="O35" s="14">
        <v>0.19</v>
      </c>
      <c r="P35" s="14">
        <v>0.2</v>
      </c>
      <c r="Q35" s="14">
        <v>0.14000000000000001</v>
      </c>
      <c r="R35" s="14">
        <v>0.35</v>
      </c>
      <c r="S35" s="14">
        <v>0.26</v>
      </c>
      <c r="T35" s="14">
        <v>0.14000000000000001</v>
      </c>
      <c r="U35" s="14">
        <v>0.18</v>
      </c>
      <c r="V35" s="14">
        <v>0.17</v>
      </c>
      <c r="W35" s="14">
        <v>0.28999999999999998</v>
      </c>
      <c r="X35" s="14">
        <v>0.27</v>
      </c>
      <c r="Y35" s="14">
        <v>0.3</v>
      </c>
      <c r="Z35" s="14">
        <v>0.17</v>
      </c>
      <c r="AA35" s="14">
        <v>0.13</v>
      </c>
      <c r="AB35" s="14">
        <v>0.18</v>
      </c>
      <c r="AC35" s="14">
        <v>0.28000000000000003</v>
      </c>
      <c r="AD35" s="14">
        <v>0.26</v>
      </c>
      <c r="AE35" s="14">
        <v>0.31</v>
      </c>
      <c r="AF35" s="14">
        <v>0.19</v>
      </c>
    </row>
    <row r="36" spans="1:32" ht="45.75" x14ac:dyDescent="0.25">
      <c r="A36" s="19"/>
      <c r="B36" s="11" t="s">
        <v>304</v>
      </c>
      <c r="C36" s="12">
        <v>3912</v>
      </c>
      <c r="D36" s="12">
        <v>146</v>
      </c>
      <c r="E36" s="12">
        <v>266</v>
      </c>
      <c r="F36" s="12">
        <v>236</v>
      </c>
      <c r="G36" s="12">
        <v>180</v>
      </c>
      <c r="H36" s="12">
        <v>119</v>
      </c>
      <c r="I36" s="12">
        <v>156</v>
      </c>
      <c r="J36" s="12">
        <v>37</v>
      </c>
      <c r="K36" s="12">
        <v>277</v>
      </c>
      <c r="L36" s="12">
        <v>144</v>
      </c>
      <c r="M36" s="12">
        <v>154</v>
      </c>
      <c r="N36" s="12">
        <v>104</v>
      </c>
      <c r="O36" s="12">
        <v>135</v>
      </c>
      <c r="P36" s="12">
        <v>193</v>
      </c>
      <c r="Q36" s="12">
        <v>178</v>
      </c>
      <c r="R36" s="12">
        <v>54</v>
      </c>
      <c r="S36" s="12">
        <v>174</v>
      </c>
      <c r="T36" s="12">
        <v>187</v>
      </c>
      <c r="U36" s="12">
        <v>99</v>
      </c>
      <c r="V36" s="12">
        <v>176</v>
      </c>
      <c r="W36" s="12">
        <v>73</v>
      </c>
      <c r="X36" s="12">
        <v>162</v>
      </c>
      <c r="Y36" s="12">
        <v>138</v>
      </c>
      <c r="Z36" s="12">
        <v>188</v>
      </c>
      <c r="AA36" s="12">
        <v>213</v>
      </c>
      <c r="AB36" s="12">
        <v>239</v>
      </c>
      <c r="AC36" s="12">
        <v>156</v>
      </c>
      <c r="AD36" s="12">
        <v>198</v>
      </c>
      <c r="AE36" s="12">
        <v>105</v>
      </c>
      <c r="AF36" s="12">
        <v>93</v>
      </c>
    </row>
    <row r="37" spans="1:32" ht="45.75" x14ac:dyDescent="0.25">
      <c r="A37" s="19"/>
      <c r="B37" s="13" t="s">
        <v>305</v>
      </c>
      <c r="C37" s="14">
        <v>0.15</v>
      </c>
      <c r="D37" s="14">
        <v>0.14000000000000001</v>
      </c>
      <c r="E37" s="14">
        <v>0.25</v>
      </c>
      <c r="F37" s="14">
        <v>0.22</v>
      </c>
      <c r="G37" s="14">
        <v>0.18</v>
      </c>
      <c r="H37" s="14">
        <v>0.1</v>
      </c>
      <c r="I37" s="14">
        <v>0.1</v>
      </c>
      <c r="J37" s="14">
        <v>0.12</v>
      </c>
      <c r="K37" s="14">
        <v>0.27</v>
      </c>
      <c r="L37" s="14">
        <v>0.14000000000000001</v>
      </c>
      <c r="M37" s="14">
        <v>0.15</v>
      </c>
      <c r="N37" s="14">
        <v>0.1</v>
      </c>
      <c r="O37" s="14">
        <v>0.13</v>
      </c>
      <c r="P37" s="14">
        <v>0.19</v>
      </c>
      <c r="Q37" s="14">
        <v>0.17</v>
      </c>
      <c r="R37" s="14">
        <v>0.11</v>
      </c>
      <c r="S37" s="14">
        <v>0.17</v>
      </c>
      <c r="T37" s="14">
        <v>0.18</v>
      </c>
      <c r="U37" s="14">
        <v>0.2</v>
      </c>
      <c r="V37" s="14">
        <v>0.17</v>
      </c>
      <c r="W37" s="14">
        <v>0.15</v>
      </c>
      <c r="X37" s="14">
        <v>0.16</v>
      </c>
      <c r="Y37" s="14">
        <v>0.14000000000000001</v>
      </c>
      <c r="Z37" s="14">
        <v>0.19</v>
      </c>
      <c r="AA37" s="14">
        <v>0.21</v>
      </c>
      <c r="AB37" s="14">
        <v>0.23</v>
      </c>
      <c r="AC37" s="14">
        <v>0.16</v>
      </c>
      <c r="AD37" s="14">
        <v>0.2</v>
      </c>
      <c r="AE37" s="14">
        <v>0.11</v>
      </c>
      <c r="AF37" s="14">
        <v>0.09</v>
      </c>
    </row>
    <row r="38" spans="1:32" ht="34.5" x14ac:dyDescent="0.25">
      <c r="A38" s="19"/>
      <c r="B38" s="11" t="s">
        <v>306</v>
      </c>
      <c r="C38" s="12">
        <v>1397</v>
      </c>
      <c r="D38" s="12">
        <v>41</v>
      </c>
      <c r="E38" s="12">
        <v>42</v>
      </c>
      <c r="F38" s="12">
        <v>30</v>
      </c>
      <c r="G38" s="12">
        <v>43</v>
      </c>
      <c r="H38" s="12">
        <v>64</v>
      </c>
      <c r="I38" s="12">
        <v>75</v>
      </c>
      <c r="J38" s="12">
        <v>11</v>
      </c>
      <c r="K38" s="12">
        <v>42</v>
      </c>
      <c r="L38" s="12">
        <v>60</v>
      </c>
      <c r="M38" s="12">
        <v>29</v>
      </c>
      <c r="N38" s="12">
        <v>49</v>
      </c>
      <c r="O38" s="12">
        <v>53</v>
      </c>
      <c r="P38" s="12">
        <v>38</v>
      </c>
      <c r="Q38" s="12">
        <v>64</v>
      </c>
      <c r="R38" s="12">
        <v>8</v>
      </c>
      <c r="S38" s="12">
        <v>16</v>
      </c>
      <c r="T38" s="12">
        <v>35</v>
      </c>
      <c r="U38" s="12">
        <v>27</v>
      </c>
      <c r="V38" s="12">
        <v>85</v>
      </c>
      <c r="W38" s="12">
        <v>44</v>
      </c>
      <c r="X38" s="12">
        <v>49</v>
      </c>
      <c r="Y38" s="12">
        <v>66</v>
      </c>
      <c r="Z38" s="12">
        <v>77</v>
      </c>
      <c r="AA38" s="12">
        <v>32</v>
      </c>
      <c r="AB38" s="12">
        <v>72</v>
      </c>
      <c r="AC38" s="12">
        <v>20</v>
      </c>
      <c r="AD38" s="12">
        <v>26</v>
      </c>
      <c r="AE38" s="12">
        <v>17</v>
      </c>
      <c r="AF38" s="12">
        <v>67</v>
      </c>
    </row>
    <row r="39" spans="1:32" ht="23.25" x14ac:dyDescent="0.25">
      <c r="A39" s="19"/>
      <c r="B39" s="13" t="s">
        <v>307</v>
      </c>
      <c r="C39" s="14">
        <v>0.05</v>
      </c>
      <c r="D39" s="14">
        <v>0.04</v>
      </c>
      <c r="E39" s="14">
        <v>0.04</v>
      </c>
      <c r="F39" s="14">
        <v>0.03</v>
      </c>
      <c r="G39" s="14">
        <v>0.04</v>
      </c>
      <c r="H39" s="14">
        <v>0.05</v>
      </c>
      <c r="I39" s="14">
        <v>0.05</v>
      </c>
      <c r="J39" s="14">
        <v>0.04</v>
      </c>
      <c r="K39" s="14">
        <v>0.04</v>
      </c>
      <c r="L39" s="14">
        <v>0.06</v>
      </c>
      <c r="M39" s="14">
        <v>0.03</v>
      </c>
      <c r="N39" s="14">
        <v>0.05</v>
      </c>
      <c r="O39" s="14">
        <v>0.05</v>
      </c>
      <c r="P39" s="14">
        <v>0.04</v>
      </c>
      <c r="Q39" s="14">
        <v>0.06</v>
      </c>
      <c r="R39" s="14">
        <v>0.02</v>
      </c>
      <c r="S39" s="14">
        <v>0.02</v>
      </c>
      <c r="T39" s="14">
        <v>0.03</v>
      </c>
      <c r="U39" s="14">
        <v>0.05</v>
      </c>
      <c r="V39" s="14">
        <v>0.08</v>
      </c>
      <c r="W39" s="14">
        <v>0.09</v>
      </c>
      <c r="X39" s="14">
        <v>0.05</v>
      </c>
      <c r="Y39" s="14">
        <v>7.0000000000000007E-2</v>
      </c>
      <c r="Z39" s="14">
        <v>0.08</v>
      </c>
      <c r="AA39" s="14">
        <v>0.03</v>
      </c>
      <c r="AB39" s="14">
        <v>7.0000000000000007E-2</v>
      </c>
      <c r="AC39" s="14">
        <v>0.02</v>
      </c>
      <c r="AD39" s="14">
        <v>0.03</v>
      </c>
      <c r="AE39" s="14">
        <v>0.02</v>
      </c>
      <c r="AF39" s="14">
        <v>7.0000000000000007E-2</v>
      </c>
    </row>
    <row r="40" spans="1:32" x14ac:dyDescent="0.25">
      <c r="A40" s="19"/>
      <c r="B40" s="11" t="s">
        <v>308</v>
      </c>
      <c r="C40" s="12">
        <v>13634</v>
      </c>
      <c r="D40" s="12">
        <v>485</v>
      </c>
      <c r="E40" s="12">
        <v>551</v>
      </c>
      <c r="F40" s="12">
        <v>589</v>
      </c>
      <c r="G40" s="12">
        <v>439</v>
      </c>
      <c r="H40" s="12">
        <v>774</v>
      </c>
      <c r="I40" s="12">
        <v>973</v>
      </c>
      <c r="J40" s="12">
        <v>199</v>
      </c>
      <c r="K40" s="12">
        <v>587</v>
      </c>
      <c r="L40" s="12">
        <v>440</v>
      </c>
      <c r="M40" s="12">
        <v>599</v>
      </c>
      <c r="N40" s="12">
        <v>415</v>
      </c>
      <c r="O40" s="12">
        <v>509</v>
      </c>
      <c r="P40" s="12">
        <v>550</v>
      </c>
      <c r="Q40" s="12">
        <v>531</v>
      </c>
      <c r="R40" s="12">
        <v>242</v>
      </c>
      <c r="S40" s="12">
        <v>610</v>
      </c>
      <c r="T40" s="12">
        <v>669</v>
      </c>
      <c r="U40" s="12">
        <v>247</v>
      </c>
      <c r="V40" s="12">
        <v>504</v>
      </c>
      <c r="W40" s="12">
        <v>227</v>
      </c>
      <c r="X40" s="12">
        <v>433</v>
      </c>
      <c r="Y40" s="12">
        <v>537</v>
      </c>
      <c r="Z40" s="12">
        <v>498</v>
      </c>
      <c r="AA40" s="12">
        <v>587</v>
      </c>
      <c r="AB40" s="12">
        <v>404</v>
      </c>
      <c r="AC40" s="12">
        <v>588</v>
      </c>
      <c r="AD40" s="12">
        <v>554</v>
      </c>
      <c r="AE40" s="12">
        <v>557</v>
      </c>
      <c r="AF40" s="12">
        <v>394</v>
      </c>
    </row>
    <row r="41" spans="1:32" x14ac:dyDescent="0.25">
      <c r="A41" s="19"/>
      <c r="B41" s="13" t="s">
        <v>309</v>
      </c>
      <c r="C41" s="14">
        <v>0.52</v>
      </c>
      <c r="D41" s="14">
        <v>0.48</v>
      </c>
      <c r="E41" s="14">
        <v>0.53</v>
      </c>
      <c r="F41" s="14">
        <v>0.55000000000000004</v>
      </c>
      <c r="G41" s="14">
        <v>0.43</v>
      </c>
      <c r="H41" s="14">
        <v>0.63</v>
      </c>
      <c r="I41" s="14">
        <v>0.64</v>
      </c>
      <c r="J41" s="14">
        <v>0.67</v>
      </c>
      <c r="K41" s="14">
        <v>0.57999999999999996</v>
      </c>
      <c r="L41" s="14">
        <v>0.44</v>
      </c>
      <c r="M41" s="14">
        <v>0.6</v>
      </c>
      <c r="N41" s="14">
        <v>0.41</v>
      </c>
      <c r="O41" s="14">
        <v>0.51</v>
      </c>
      <c r="P41" s="14">
        <v>0.55000000000000004</v>
      </c>
      <c r="Q41" s="14">
        <v>0.52</v>
      </c>
      <c r="R41" s="14">
        <v>0.48</v>
      </c>
      <c r="S41" s="14">
        <v>0.61</v>
      </c>
      <c r="T41" s="14">
        <v>0.65</v>
      </c>
      <c r="U41" s="14">
        <v>0.49</v>
      </c>
      <c r="V41" s="14">
        <v>0.49</v>
      </c>
      <c r="W41" s="14">
        <v>0.45</v>
      </c>
      <c r="X41" s="14">
        <v>0.43</v>
      </c>
      <c r="Y41" s="14">
        <v>0.54</v>
      </c>
      <c r="Z41" s="14">
        <v>0.49</v>
      </c>
      <c r="AA41" s="14">
        <v>0.57000000000000006</v>
      </c>
      <c r="AB41" s="14">
        <v>0.39</v>
      </c>
      <c r="AC41" s="14">
        <v>0.59</v>
      </c>
      <c r="AD41" s="14">
        <v>0.55000000000000004</v>
      </c>
      <c r="AE41" s="14">
        <v>0.56000000000000005</v>
      </c>
      <c r="AF41" s="14">
        <v>0.38</v>
      </c>
    </row>
    <row r="42" spans="1:32" x14ac:dyDescent="0.25">
      <c r="A42" s="19"/>
      <c r="B42" s="11" t="s">
        <v>274</v>
      </c>
      <c r="C42" s="12">
        <v>122</v>
      </c>
      <c r="D42" s="12">
        <v>1</v>
      </c>
      <c r="E42" s="12">
        <v>7</v>
      </c>
      <c r="F42" s="12">
        <v>4</v>
      </c>
      <c r="G42" s="12">
        <v>3</v>
      </c>
      <c r="H42" s="12">
        <v>4</v>
      </c>
      <c r="I42" s="12">
        <v>4</v>
      </c>
      <c r="J42" s="12">
        <v>0</v>
      </c>
      <c r="K42" s="12">
        <v>31</v>
      </c>
      <c r="L42" s="12">
        <v>5</v>
      </c>
      <c r="M42" s="12">
        <v>4</v>
      </c>
      <c r="N42" s="12">
        <v>9</v>
      </c>
      <c r="O42" s="12">
        <v>6</v>
      </c>
      <c r="P42" s="12">
        <v>3</v>
      </c>
      <c r="Q42" s="12">
        <v>1</v>
      </c>
      <c r="R42" s="12">
        <v>0</v>
      </c>
      <c r="S42" s="12">
        <v>11</v>
      </c>
      <c r="T42" s="12">
        <v>6</v>
      </c>
      <c r="U42" s="12">
        <v>1</v>
      </c>
      <c r="V42" s="12">
        <v>0</v>
      </c>
      <c r="W42" s="12">
        <v>2</v>
      </c>
      <c r="X42" s="12">
        <v>4</v>
      </c>
      <c r="Y42" s="12">
        <v>44</v>
      </c>
      <c r="Z42" s="12">
        <v>1</v>
      </c>
      <c r="AA42" s="12">
        <v>2</v>
      </c>
      <c r="AB42" s="12">
        <v>7</v>
      </c>
      <c r="AC42" s="12">
        <v>2</v>
      </c>
      <c r="AD42" s="12">
        <v>0</v>
      </c>
      <c r="AE42" s="12">
        <v>3</v>
      </c>
      <c r="AF42" s="12">
        <v>5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4">
        <v>0.01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4">
        <v>0.03</v>
      </c>
      <c r="L43" s="15" t="s">
        <v>213</v>
      </c>
      <c r="M43" s="15" t="s">
        <v>213</v>
      </c>
      <c r="N43" s="14">
        <v>0.01</v>
      </c>
      <c r="O43" s="14">
        <v>0.01</v>
      </c>
      <c r="P43" s="15" t="s">
        <v>213</v>
      </c>
      <c r="Q43" s="15" t="s">
        <v>213</v>
      </c>
      <c r="R43" s="15" t="s">
        <v>213</v>
      </c>
      <c r="S43" s="14">
        <v>0.01</v>
      </c>
      <c r="T43" s="14">
        <v>0.01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4">
        <v>0.04</v>
      </c>
      <c r="Z43" s="15" t="s">
        <v>213</v>
      </c>
      <c r="AA43" s="15" t="s">
        <v>213</v>
      </c>
      <c r="AB43" s="14">
        <v>0.01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276</v>
      </c>
      <c r="C44" s="12">
        <v>112</v>
      </c>
      <c r="D44" s="12">
        <v>6</v>
      </c>
      <c r="E44" s="12">
        <v>6</v>
      </c>
      <c r="F44" s="12">
        <v>13</v>
      </c>
      <c r="G44" s="12">
        <v>1</v>
      </c>
      <c r="H44" s="12">
        <v>7</v>
      </c>
      <c r="I44" s="12">
        <v>7</v>
      </c>
      <c r="J44" s="12">
        <v>0</v>
      </c>
      <c r="K44" s="12">
        <v>6</v>
      </c>
      <c r="L44" s="12">
        <v>1</v>
      </c>
      <c r="M44" s="12">
        <v>0</v>
      </c>
      <c r="N44" s="12">
        <v>3</v>
      </c>
      <c r="O44" s="12">
        <v>8</v>
      </c>
      <c r="P44" s="12">
        <v>0</v>
      </c>
      <c r="Q44" s="12">
        <v>3</v>
      </c>
      <c r="R44" s="12">
        <v>1</v>
      </c>
      <c r="S44" s="12">
        <v>5</v>
      </c>
      <c r="T44" s="12">
        <v>10</v>
      </c>
      <c r="U44" s="12">
        <v>0</v>
      </c>
      <c r="V44" s="12">
        <v>0</v>
      </c>
      <c r="W44" s="12">
        <v>2</v>
      </c>
      <c r="X44" s="12">
        <v>10</v>
      </c>
      <c r="Y44" s="12">
        <v>4</v>
      </c>
      <c r="Z44" s="12">
        <v>3</v>
      </c>
      <c r="AA44" s="12">
        <v>0</v>
      </c>
      <c r="AB44" s="12">
        <v>1</v>
      </c>
      <c r="AC44" s="12">
        <v>2</v>
      </c>
      <c r="AD44" s="12">
        <v>1</v>
      </c>
      <c r="AE44" s="12">
        <v>2</v>
      </c>
      <c r="AF44" s="12">
        <v>3</v>
      </c>
    </row>
    <row r="45" spans="1:32" x14ac:dyDescent="0.25">
      <c r="A45" s="19"/>
      <c r="B45" s="13" t="s">
        <v>277</v>
      </c>
      <c r="C45" s="15" t="s">
        <v>213</v>
      </c>
      <c r="D45" s="14">
        <v>0.01</v>
      </c>
      <c r="E45" s="14">
        <v>0.01</v>
      </c>
      <c r="F45" s="14">
        <v>0.01</v>
      </c>
      <c r="G45" s="15" t="s">
        <v>213</v>
      </c>
      <c r="H45" s="14">
        <v>0.01</v>
      </c>
      <c r="I45" s="15" t="s">
        <v>213</v>
      </c>
      <c r="J45" s="15" t="s">
        <v>213</v>
      </c>
      <c r="K45" s="14">
        <v>0.01</v>
      </c>
      <c r="L45" s="15" t="s">
        <v>213</v>
      </c>
      <c r="M45" s="15" t="s">
        <v>213</v>
      </c>
      <c r="N45" s="15" t="s">
        <v>213</v>
      </c>
      <c r="O45" s="14">
        <v>0.01</v>
      </c>
      <c r="P45" s="15" t="s">
        <v>213</v>
      </c>
      <c r="Q45" s="15" t="s">
        <v>213</v>
      </c>
      <c r="R45" s="15" t="s">
        <v>213</v>
      </c>
      <c r="S45" s="14">
        <v>0.01</v>
      </c>
      <c r="T45" s="14">
        <v>0.01</v>
      </c>
      <c r="U45" s="15" t="s">
        <v>213</v>
      </c>
      <c r="V45" s="15" t="s">
        <v>213</v>
      </c>
      <c r="W45" s="15" t="s">
        <v>213</v>
      </c>
      <c r="X45" s="14">
        <v>0.01</v>
      </c>
      <c r="Y45" s="15" t="s">
        <v>213</v>
      </c>
      <c r="Z45" s="15" t="s">
        <v>213</v>
      </c>
      <c r="AA45" s="15" t="s">
        <v>213</v>
      </c>
      <c r="AB45" s="15" t="s">
        <v>213</v>
      </c>
      <c r="AC45" s="15" t="s">
        <v>213</v>
      </c>
      <c r="AD45" s="15" t="s">
        <v>213</v>
      </c>
      <c r="AE45" s="15" t="s">
        <v>213</v>
      </c>
      <c r="AF45" s="15" t="s">
        <v>213</v>
      </c>
    </row>
    <row r="46" spans="1:32" x14ac:dyDescent="0.25">
      <c r="A46" s="19"/>
      <c r="B46" s="11" t="s">
        <v>224</v>
      </c>
      <c r="C46" s="12">
        <v>137</v>
      </c>
      <c r="D46" s="12">
        <v>0</v>
      </c>
      <c r="E46" s="12">
        <v>12</v>
      </c>
      <c r="F46" s="12">
        <v>16</v>
      </c>
      <c r="G46" s="12">
        <v>6</v>
      </c>
      <c r="H46" s="12">
        <v>2</v>
      </c>
      <c r="I46" s="12">
        <v>2</v>
      </c>
      <c r="J46" s="12">
        <v>0</v>
      </c>
      <c r="K46" s="12">
        <v>9</v>
      </c>
      <c r="L46" s="12">
        <v>7</v>
      </c>
      <c r="M46" s="12">
        <v>0</v>
      </c>
      <c r="N46" s="12">
        <v>11</v>
      </c>
      <c r="O46" s="12">
        <v>8</v>
      </c>
      <c r="P46" s="12">
        <v>2</v>
      </c>
      <c r="Q46" s="12">
        <v>6</v>
      </c>
      <c r="R46" s="12">
        <v>2</v>
      </c>
      <c r="S46" s="12">
        <v>10</v>
      </c>
      <c r="T46" s="12">
        <v>14</v>
      </c>
      <c r="U46" s="12">
        <v>0</v>
      </c>
      <c r="V46" s="12">
        <v>3</v>
      </c>
      <c r="W46" s="12">
        <v>3</v>
      </c>
      <c r="X46" s="12">
        <v>1</v>
      </c>
      <c r="Y46" s="12">
        <v>3</v>
      </c>
      <c r="Z46" s="12">
        <v>2</v>
      </c>
      <c r="AA46" s="12">
        <v>7</v>
      </c>
      <c r="AB46" s="12">
        <v>8</v>
      </c>
      <c r="AC46" s="12">
        <v>3</v>
      </c>
      <c r="AD46" s="12">
        <v>0</v>
      </c>
      <c r="AE46" s="12">
        <v>3</v>
      </c>
      <c r="AF46" s="12">
        <v>0</v>
      </c>
    </row>
    <row r="47" spans="1:32" x14ac:dyDescent="0.25">
      <c r="A47" s="19"/>
      <c r="B47" s="13" t="s">
        <v>237</v>
      </c>
      <c r="C47" s="14">
        <v>0.01</v>
      </c>
      <c r="D47" s="15" t="s">
        <v>213</v>
      </c>
      <c r="E47" s="14">
        <v>0.01</v>
      </c>
      <c r="F47" s="14">
        <v>0.01</v>
      </c>
      <c r="G47" s="14">
        <v>0.01</v>
      </c>
      <c r="H47" s="15" t="s">
        <v>213</v>
      </c>
      <c r="I47" s="15" t="s">
        <v>213</v>
      </c>
      <c r="J47" s="15" t="s">
        <v>213</v>
      </c>
      <c r="K47" s="14">
        <v>0.01</v>
      </c>
      <c r="L47" s="14">
        <v>0.01</v>
      </c>
      <c r="M47" s="15" t="s">
        <v>213</v>
      </c>
      <c r="N47" s="14">
        <v>0.01</v>
      </c>
      <c r="O47" s="14">
        <v>0.01</v>
      </c>
      <c r="P47" s="15" t="s">
        <v>213</v>
      </c>
      <c r="Q47" s="14">
        <v>0.01</v>
      </c>
      <c r="R47" s="15" t="s">
        <v>213</v>
      </c>
      <c r="S47" s="14">
        <v>0.01</v>
      </c>
      <c r="T47" s="14">
        <v>0.01</v>
      </c>
      <c r="U47" s="15" t="s">
        <v>213</v>
      </c>
      <c r="V47" s="15" t="s">
        <v>213</v>
      </c>
      <c r="W47" s="14">
        <v>0.01</v>
      </c>
      <c r="X47" s="15" t="s">
        <v>213</v>
      </c>
      <c r="Y47" s="15" t="s">
        <v>213</v>
      </c>
      <c r="Z47" s="15" t="s">
        <v>213</v>
      </c>
      <c r="AA47" s="14">
        <v>0.01</v>
      </c>
      <c r="AB47" s="14">
        <v>0.01</v>
      </c>
      <c r="AC47" s="15" t="s">
        <v>213</v>
      </c>
      <c r="AD47" s="15" t="s">
        <v>213</v>
      </c>
      <c r="AE47" s="15" t="s">
        <v>213</v>
      </c>
      <c r="AF47" s="15" t="s">
        <v>213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312</v>
      </c>
      <c r="C3" s="18"/>
      <c r="D3" s="18"/>
      <c r="E3" s="18"/>
      <c r="F3" s="18"/>
      <c r="H3" s="18" t="s">
        <v>313</v>
      </c>
      <c r="I3" s="18"/>
      <c r="J3" s="18"/>
      <c r="K3" s="18"/>
      <c r="L3" s="18"/>
    </row>
    <row r="4" spans="1:32" ht="27" customHeight="1" x14ac:dyDescent="0.25">
      <c r="B4" s="18" t="s">
        <v>314</v>
      </c>
      <c r="C4" s="18"/>
      <c r="D4" s="18"/>
      <c r="E4" s="18"/>
      <c r="F4" s="18"/>
      <c r="H4" s="18" t="s">
        <v>315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316</v>
      </c>
      <c r="C12" s="12">
        <v>17477</v>
      </c>
      <c r="D12" s="12">
        <v>769</v>
      </c>
      <c r="E12" s="12">
        <v>562</v>
      </c>
      <c r="F12" s="12">
        <v>465</v>
      </c>
      <c r="G12" s="12">
        <v>789</v>
      </c>
      <c r="H12" s="12">
        <v>801</v>
      </c>
      <c r="I12" s="12">
        <v>962</v>
      </c>
      <c r="J12" s="12">
        <v>162</v>
      </c>
      <c r="K12" s="12">
        <v>592</v>
      </c>
      <c r="L12" s="12">
        <v>781</v>
      </c>
      <c r="M12" s="12">
        <v>785</v>
      </c>
      <c r="N12" s="12">
        <v>800</v>
      </c>
      <c r="O12" s="12">
        <v>703</v>
      </c>
      <c r="P12" s="12">
        <v>604</v>
      </c>
      <c r="Q12" s="12">
        <v>686</v>
      </c>
      <c r="R12" s="12">
        <v>452</v>
      </c>
      <c r="S12" s="12">
        <v>768</v>
      </c>
      <c r="T12" s="12">
        <v>779</v>
      </c>
      <c r="U12" s="12">
        <v>424</v>
      </c>
      <c r="V12" s="12">
        <v>621</v>
      </c>
      <c r="W12" s="12">
        <v>406</v>
      </c>
      <c r="X12" s="12">
        <v>764</v>
      </c>
      <c r="Y12" s="12">
        <v>517</v>
      </c>
      <c r="Z12" s="12">
        <v>459</v>
      </c>
      <c r="AA12" s="12">
        <v>795</v>
      </c>
      <c r="AB12" s="12">
        <v>496</v>
      </c>
      <c r="AC12" s="12">
        <v>797</v>
      </c>
      <c r="AD12" s="12">
        <v>713</v>
      </c>
      <c r="AE12" s="12">
        <v>731</v>
      </c>
      <c r="AF12" s="12">
        <v>817</v>
      </c>
    </row>
    <row r="13" spans="1:32" x14ac:dyDescent="0.25">
      <c r="A13" s="19"/>
      <c r="B13" s="13" t="s">
        <v>317</v>
      </c>
      <c r="C13" s="14">
        <v>0.66</v>
      </c>
      <c r="D13" s="14">
        <v>0.75</v>
      </c>
      <c r="E13" s="14">
        <v>0.54</v>
      </c>
      <c r="F13" s="14">
        <v>0.44</v>
      </c>
      <c r="G13" s="14">
        <v>0.78</v>
      </c>
      <c r="H13" s="14">
        <v>0.65</v>
      </c>
      <c r="I13" s="14">
        <v>0.63</v>
      </c>
      <c r="J13" s="14">
        <v>0.54</v>
      </c>
      <c r="K13" s="14">
        <v>0.59</v>
      </c>
      <c r="L13" s="14">
        <v>0.78</v>
      </c>
      <c r="M13" s="14">
        <v>0.78</v>
      </c>
      <c r="N13" s="14">
        <v>0.79</v>
      </c>
      <c r="O13" s="14">
        <v>0.70000000000000007</v>
      </c>
      <c r="P13" s="14">
        <v>0.6</v>
      </c>
      <c r="Q13" s="14">
        <v>0.67</v>
      </c>
      <c r="R13" s="14">
        <v>0.9</v>
      </c>
      <c r="S13" s="14">
        <v>0.76</v>
      </c>
      <c r="T13" s="14">
        <v>0.76</v>
      </c>
      <c r="U13" s="14">
        <v>0.83000000000000007</v>
      </c>
      <c r="V13" s="14">
        <v>0.61</v>
      </c>
      <c r="W13" s="14">
        <v>0.81</v>
      </c>
      <c r="X13" s="14">
        <v>0.76</v>
      </c>
      <c r="Y13" s="14">
        <v>0.51</v>
      </c>
      <c r="Z13" s="14">
        <v>0.45</v>
      </c>
      <c r="AA13" s="14">
        <v>0.77</v>
      </c>
      <c r="AB13" s="14">
        <v>0.47</v>
      </c>
      <c r="AC13" s="14">
        <v>0.79</v>
      </c>
      <c r="AD13" s="14">
        <v>0.71</v>
      </c>
      <c r="AE13" s="14">
        <v>0.73</v>
      </c>
      <c r="AF13" s="14">
        <v>0.79</v>
      </c>
    </row>
    <row r="14" spans="1:32" x14ac:dyDescent="0.25">
      <c r="A14" s="19"/>
      <c r="B14" s="11" t="s">
        <v>318</v>
      </c>
      <c r="C14" s="12">
        <v>2647</v>
      </c>
      <c r="D14" s="12">
        <v>106</v>
      </c>
      <c r="E14" s="12">
        <v>186</v>
      </c>
      <c r="F14" s="12">
        <v>229</v>
      </c>
      <c r="G14" s="12">
        <v>39</v>
      </c>
      <c r="H14" s="12">
        <v>98</v>
      </c>
      <c r="I14" s="12">
        <v>134</v>
      </c>
      <c r="J14" s="12">
        <v>36</v>
      </c>
      <c r="K14" s="12">
        <v>102</v>
      </c>
      <c r="L14" s="12">
        <v>53</v>
      </c>
      <c r="M14" s="12">
        <v>71</v>
      </c>
      <c r="N14" s="12">
        <v>44</v>
      </c>
      <c r="O14" s="12">
        <v>76</v>
      </c>
      <c r="P14" s="12">
        <v>184</v>
      </c>
      <c r="Q14" s="12">
        <v>104</v>
      </c>
      <c r="R14" s="12">
        <v>14</v>
      </c>
      <c r="S14" s="12">
        <v>62</v>
      </c>
      <c r="T14" s="12">
        <v>47</v>
      </c>
      <c r="U14" s="12">
        <v>23</v>
      </c>
      <c r="V14" s="12">
        <v>189</v>
      </c>
      <c r="W14" s="12">
        <v>33</v>
      </c>
      <c r="X14" s="12">
        <v>64</v>
      </c>
      <c r="Y14" s="12">
        <v>160</v>
      </c>
      <c r="Z14" s="12">
        <v>181</v>
      </c>
      <c r="AA14" s="12">
        <v>4</v>
      </c>
      <c r="AB14" s="12">
        <v>278</v>
      </c>
      <c r="AC14" s="12">
        <v>48</v>
      </c>
      <c r="AD14" s="12">
        <v>110</v>
      </c>
      <c r="AE14" s="12">
        <v>34</v>
      </c>
      <c r="AF14" s="12">
        <v>42</v>
      </c>
    </row>
    <row r="15" spans="1:32" x14ac:dyDescent="0.25">
      <c r="A15" s="19"/>
      <c r="B15" s="13" t="s">
        <v>319</v>
      </c>
      <c r="C15" s="14">
        <v>0.1</v>
      </c>
      <c r="D15" s="14">
        <v>0.1</v>
      </c>
      <c r="E15" s="14">
        <v>0.18</v>
      </c>
      <c r="F15" s="14">
        <v>0.21</v>
      </c>
      <c r="G15" s="14">
        <v>0.04</v>
      </c>
      <c r="H15" s="14">
        <v>0.08</v>
      </c>
      <c r="I15" s="14">
        <v>0.09</v>
      </c>
      <c r="J15" s="14">
        <v>0.12</v>
      </c>
      <c r="K15" s="14">
        <v>0.1</v>
      </c>
      <c r="L15" s="14">
        <v>0.05</v>
      </c>
      <c r="M15" s="14">
        <v>7.0000000000000007E-2</v>
      </c>
      <c r="N15" s="14">
        <v>0.04</v>
      </c>
      <c r="O15" s="14">
        <v>0.08</v>
      </c>
      <c r="P15" s="14">
        <v>0.18</v>
      </c>
      <c r="Q15" s="14">
        <v>0.1</v>
      </c>
      <c r="R15" s="14">
        <v>0.03</v>
      </c>
      <c r="S15" s="14">
        <v>0.06</v>
      </c>
      <c r="T15" s="14">
        <v>0.05</v>
      </c>
      <c r="U15" s="14">
        <v>0.05</v>
      </c>
      <c r="V15" s="14">
        <v>0.18</v>
      </c>
      <c r="W15" s="14">
        <v>7.0000000000000007E-2</v>
      </c>
      <c r="X15" s="14">
        <v>0.06</v>
      </c>
      <c r="Y15" s="14">
        <v>0.16</v>
      </c>
      <c r="Z15" s="14">
        <v>0.18</v>
      </c>
      <c r="AA15" s="15" t="s">
        <v>213</v>
      </c>
      <c r="AB15" s="14">
        <v>0.27</v>
      </c>
      <c r="AC15" s="14">
        <v>0.05</v>
      </c>
      <c r="AD15" s="14">
        <v>0.11</v>
      </c>
      <c r="AE15" s="14">
        <v>0.03</v>
      </c>
      <c r="AF15" s="14">
        <v>0.04</v>
      </c>
    </row>
    <row r="16" spans="1:32" x14ac:dyDescent="0.25">
      <c r="A16" s="19"/>
      <c r="B16" s="11" t="s">
        <v>320</v>
      </c>
      <c r="C16" s="12">
        <v>5851</v>
      </c>
      <c r="D16" s="12">
        <v>138</v>
      </c>
      <c r="E16" s="12">
        <v>279</v>
      </c>
      <c r="F16" s="12">
        <v>350</v>
      </c>
      <c r="G16" s="12">
        <v>165</v>
      </c>
      <c r="H16" s="12">
        <v>320</v>
      </c>
      <c r="I16" s="12">
        <v>418</v>
      </c>
      <c r="J16" s="12">
        <v>98</v>
      </c>
      <c r="K16" s="12">
        <v>280</v>
      </c>
      <c r="L16" s="12">
        <v>156</v>
      </c>
      <c r="M16" s="12">
        <v>136</v>
      </c>
      <c r="N16" s="12">
        <v>136</v>
      </c>
      <c r="O16" s="12">
        <v>201</v>
      </c>
      <c r="P16" s="12">
        <v>209</v>
      </c>
      <c r="Q16" s="12">
        <v>218</v>
      </c>
      <c r="R16" s="12">
        <v>32</v>
      </c>
      <c r="S16" s="12">
        <v>137</v>
      </c>
      <c r="T16" s="12">
        <v>162</v>
      </c>
      <c r="U16" s="12">
        <v>51</v>
      </c>
      <c r="V16" s="12">
        <v>206</v>
      </c>
      <c r="W16" s="12">
        <v>62</v>
      </c>
      <c r="X16" s="12">
        <v>177</v>
      </c>
      <c r="Y16" s="12">
        <v>317</v>
      </c>
      <c r="Z16" s="12">
        <v>368</v>
      </c>
      <c r="AA16" s="12">
        <v>197</v>
      </c>
      <c r="AB16" s="12">
        <v>228</v>
      </c>
      <c r="AC16" s="12">
        <v>154</v>
      </c>
      <c r="AD16" s="12">
        <v>176</v>
      </c>
      <c r="AE16" s="12">
        <v>222</v>
      </c>
      <c r="AF16" s="12">
        <v>168</v>
      </c>
    </row>
    <row r="17" spans="1:32" x14ac:dyDescent="0.25">
      <c r="A17" s="19"/>
      <c r="B17" s="13" t="s">
        <v>321</v>
      </c>
      <c r="C17" s="14">
        <v>0.22</v>
      </c>
      <c r="D17" s="14">
        <v>0.14000000000000001</v>
      </c>
      <c r="E17" s="14">
        <v>0.26</v>
      </c>
      <c r="F17" s="14">
        <v>0.33</v>
      </c>
      <c r="G17" s="14">
        <v>0.16</v>
      </c>
      <c r="H17" s="14">
        <v>0.26</v>
      </c>
      <c r="I17" s="14">
        <v>0.27</v>
      </c>
      <c r="J17" s="14">
        <v>0.33</v>
      </c>
      <c r="K17" s="14">
        <v>0.28000000000000003</v>
      </c>
      <c r="L17" s="14">
        <v>0.15</v>
      </c>
      <c r="M17" s="14">
        <v>0.13</v>
      </c>
      <c r="N17" s="14">
        <v>0.14000000000000001</v>
      </c>
      <c r="O17" s="14">
        <v>0.2</v>
      </c>
      <c r="P17" s="14">
        <v>0.21</v>
      </c>
      <c r="Q17" s="14">
        <v>0.21</v>
      </c>
      <c r="R17" s="14">
        <v>0.06</v>
      </c>
      <c r="S17" s="14">
        <v>0.14000000000000001</v>
      </c>
      <c r="T17" s="14">
        <v>0.16</v>
      </c>
      <c r="U17" s="14">
        <v>0.1</v>
      </c>
      <c r="V17" s="14">
        <v>0.2</v>
      </c>
      <c r="W17" s="14">
        <v>0.12</v>
      </c>
      <c r="X17" s="14">
        <v>0.17</v>
      </c>
      <c r="Y17" s="14">
        <v>0.32</v>
      </c>
      <c r="Z17" s="14">
        <v>0.36</v>
      </c>
      <c r="AA17" s="14">
        <v>0.19</v>
      </c>
      <c r="AB17" s="14">
        <v>0.22</v>
      </c>
      <c r="AC17" s="14">
        <v>0.15</v>
      </c>
      <c r="AD17" s="14">
        <v>0.18</v>
      </c>
      <c r="AE17" s="14">
        <v>0.22</v>
      </c>
      <c r="AF17" s="14">
        <v>0.16</v>
      </c>
    </row>
    <row r="18" spans="1:32" x14ac:dyDescent="0.25">
      <c r="A18" s="19"/>
      <c r="B18" s="11" t="s">
        <v>224</v>
      </c>
      <c r="C18" s="12">
        <v>478</v>
      </c>
      <c r="D18" s="12">
        <v>9</v>
      </c>
      <c r="E18" s="12">
        <v>18</v>
      </c>
      <c r="F18" s="12">
        <v>20</v>
      </c>
      <c r="G18" s="12">
        <v>23</v>
      </c>
      <c r="H18" s="12">
        <v>12</v>
      </c>
      <c r="I18" s="12">
        <v>14</v>
      </c>
      <c r="J18" s="12">
        <v>2</v>
      </c>
      <c r="K18" s="12">
        <v>32</v>
      </c>
      <c r="L18" s="12">
        <v>16</v>
      </c>
      <c r="M18" s="12">
        <v>15</v>
      </c>
      <c r="N18" s="12">
        <v>32</v>
      </c>
      <c r="O18" s="12">
        <v>24</v>
      </c>
      <c r="P18" s="12">
        <v>6</v>
      </c>
      <c r="Q18" s="12">
        <v>23</v>
      </c>
      <c r="R18" s="12">
        <v>3</v>
      </c>
      <c r="S18" s="12">
        <v>36</v>
      </c>
      <c r="T18" s="12">
        <v>36</v>
      </c>
      <c r="U18" s="12">
        <v>11</v>
      </c>
      <c r="V18" s="12">
        <v>10</v>
      </c>
      <c r="W18" s="12">
        <v>0</v>
      </c>
      <c r="X18" s="12">
        <v>5</v>
      </c>
      <c r="Y18" s="12">
        <v>9</v>
      </c>
      <c r="Z18" s="12">
        <v>8</v>
      </c>
      <c r="AA18" s="12">
        <v>40</v>
      </c>
      <c r="AB18" s="12">
        <v>39</v>
      </c>
      <c r="AC18" s="12">
        <v>6</v>
      </c>
      <c r="AD18" s="12">
        <v>4</v>
      </c>
      <c r="AE18" s="12">
        <v>14</v>
      </c>
      <c r="AF18" s="12">
        <v>4</v>
      </c>
    </row>
    <row r="19" spans="1:32" x14ac:dyDescent="0.25">
      <c r="A19" s="19"/>
      <c r="B19" s="13" t="s">
        <v>237</v>
      </c>
      <c r="C19" s="14">
        <v>0.02</v>
      </c>
      <c r="D19" s="14">
        <v>0.01</v>
      </c>
      <c r="E19" s="14">
        <v>0.02</v>
      </c>
      <c r="F19" s="14">
        <v>0.02</v>
      </c>
      <c r="G19" s="14">
        <v>0.02</v>
      </c>
      <c r="H19" s="14">
        <v>0.01</v>
      </c>
      <c r="I19" s="14">
        <v>0.01</v>
      </c>
      <c r="J19" s="14">
        <v>0.01</v>
      </c>
      <c r="K19" s="14">
        <v>0.03</v>
      </c>
      <c r="L19" s="14">
        <v>0.02</v>
      </c>
      <c r="M19" s="14">
        <v>0.02</v>
      </c>
      <c r="N19" s="14">
        <v>0.03</v>
      </c>
      <c r="O19" s="14">
        <v>0.02</v>
      </c>
      <c r="P19" s="14">
        <v>0.01</v>
      </c>
      <c r="Q19" s="14">
        <v>0.02</v>
      </c>
      <c r="R19" s="14">
        <v>0.01</v>
      </c>
      <c r="S19" s="14">
        <v>0.04</v>
      </c>
      <c r="T19" s="14">
        <v>0.03</v>
      </c>
      <c r="U19" s="14">
        <v>0.02</v>
      </c>
      <c r="V19" s="14">
        <v>0.01</v>
      </c>
      <c r="W19" s="15" t="s">
        <v>213</v>
      </c>
      <c r="X19" s="14">
        <v>0.01</v>
      </c>
      <c r="Y19" s="14">
        <v>0.01</v>
      </c>
      <c r="Z19" s="14">
        <v>0.01</v>
      </c>
      <c r="AA19" s="14">
        <v>0.04</v>
      </c>
      <c r="AB19" s="14">
        <v>0.04</v>
      </c>
      <c r="AC19" s="14">
        <v>0.01</v>
      </c>
      <c r="AD19" s="15" t="s">
        <v>213</v>
      </c>
      <c r="AE19" s="14">
        <v>0.02</v>
      </c>
      <c r="AF19" s="14">
        <v>0.01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322</v>
      </c>
      <c r="C3" s="18"/>
      <c r="D3" s="18"/>
      <c r="E3" s="18"/>
      <c r="F3" s="18"/>
      <c r="H3" s="18" t="s">
        <v>323</v>
      </c>
      <c r="I3" s="18"/>
      <c r="J3" s="18"/>
      <c r="K3" s="18"/>
      <c r="L3" s="18"/>
    </row>
    <row r="4" spans="1:32" ht="27" customHeight="1" x14ac:dyDescent="0.25">
      <c r="B4" s="18" t="s">
        <v>324</v>
      </c>
      <c r="C4" s="18"/>
      <c r="D4" s="18"/>
      <c r="E4" s="18"/>
      <c r="F4" s="18"/>
      <c r="H4" s="18" t="s">
        <v>325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13004</v>
      </c>
      <c r="D12" s="12">
        <v>514</v>
      </c>
      <c r="E12" s="12">
        <v>409</v>
      </c>
      <c r="F12" s="12">
        <v>311</v>
      </c>
      <c r="G12" s="12">
        <v>792</v>
      </c>
      <c r="H12" s="12">
        <v>715</v>
      </c>
      <c r="I12" s="12">
        <v>867</v>
      </c>
      <c r="J12" s="12">
        <v>152</v>
      </c>
      <c r="K12" s="12">
        <v>415</v>
      </c>
      <c r="L12" s="12">
        <v>605</v>
      </c>
      <c r="M12" s="12">
        <v>518</v>
      </c>
      <c r="N12" s="12">
        <v>688</v>
      </c>
      <c r="O12" s="12">
        <v>514</v>
      </c>
      <c r="P12" s="12">
        <v>385</v>
      </c>
      <c r="Q12" s="12">
        <v>393</v>
      </c>
      <c r="R12" s="12">
        <v>407</v>
      </c>
      <c r="S12" s="12">
        <v>667</v>
      </c>
      <c r="T12" s="12">
        <v>598</v>
      </c>
      <c r="U12" s="12">
        <v>361</v>
      </c>
      <c r="V12" s="12">
        <v>352</v>
      </c>
      <c r="W12" s="12">
        <v>344</v>
      </c>
      <c r="X12" s="12">
        <v>567</v>
      </c>
      <c r="Y12" s="12">
        <v>436</v>
      </c>
      <c r="Z12" s="12">
        <v>293</v>
      </c>
      <c r="AA12" s="12">
        <v>402</v>
      </c>
      <c r="AB12" s="12">
        <v>300</v>
      </c>
      <c r="AC12" s="12">
        <v>613</v>
      </c>
      <c r="AD12" s="12">
        <v>577</v>
      </c>
      <c r="AE12" s="12">
        <v>521</v>
      </c>
      <c r="AF12" s="12">
        <v>638</v>
      </c>
    </row>
    <row r="13" spans="1:32" x14ac:dyDescent="0.25">
      <c r="A13" s="19"/>
      <c r="B13" s="13" t="s">
        <v>327</v>
      </c>
      <c r="C13" s="14">
        <v>0.49</v>
      </c>
      <c r="D13" s="14">
        <v>0.5</v>
      </c>
      <c r="E13" s="14">
        <v>0.39</v>
      </c>
      <c r="F13" s="14">
        <v>0.28999999999999998</v>
      </c>
      <c r="G13" s="14">
        <v>0.78</v>
      </c>
      <c r="H13" s="14">
        <v>0.57999999999999996</v>
      </c>
      <c r="I13" s="14">
        <v>0.57000000000000006</v>
      </c>
      <c r="J13" s="14">
        <v>0.51</v>
      </c>
      <c r="K13" s="14">
        <v>0.41</v>
      </c>
      <c r="L13" s="14">
        <v>0.6</v>
      </c>
      <c r="M13" s="14">
        <v>0.51</v>
      </c>
      <c r="N13" s="14">
        <v>0.68</v>
      </c>
      <c r="O13" s="14">
        <v>0.51</v>
      </c>
      <c r="P13" s="14">
        <v>0.38</v>
      </c>
      <c r="Q13" s="14">
        <v>0.38</v>
      </c>
      <c r="R13" s="14">
        <v>0.81</v>
      </c>
      <c r="S13" s="14">
        <v>0.66</v>
      </c>
      <c r="T13" s="14">
        <v>0.59</v>
      </c>
      <c r="U13" s="14">
        <v>0.71</v>
      </c>
      <c r="V13" s="14">
        <v>0.34</v>
      </c>
      <c r="W13" s="14">
        <v>0.68</v>
      </c>
      <c r="X13" s="14">
        <v>0.56000000000000005</v>
      </c>
      <c r="Y13" s="14">
        <v>0.44</v>
      </c>
      <c r="Z13" s="14">
        <v>0.28999999999999998</v>
      </c>
      <c r="AA13" s="14">
        <v>0.39</v>
      </c>
      <c r="AB13" s="14">
        <v>0.28999999999999998</v>
      </c>
      <c r="AC13" s="14">
        <v>0.61</v>
      </c>
      <c r="AD13" s="14">
        <v>0.57000000000000006</v>
      </c>
      <c r="AE13" s="14">
        <v>0.52</v>
      </c>
      <c r="AF13" s="14">
        <v>0.62</v>
      </c>
    </row>
    <row r="14" spans="1:32" x14ac:dyDescent="0.25">
      <c r="A14" s="19"/>
      <c r="B14" s="11" t="s">
        <v>328</v>
      </c>
      <c r="C14" s="12">
        <v>10661</v>
      </c>
      <c r="D14" s="12">
        <v>426</v>
      </c>
      <c r="E14" s="12">
        <v>428</v>
      </c>
      <c r="F14" s="12">
        <v>503</v>
      </c>
      <c r="G14" s="12">
        <v>195</v>
      </c>
      <c r="H14" s="12">
        <v>404</v>
      </c>
      <c r="I14" s="12">
        <v>502</v>
      </c>
      <c r="J14" s="12">
        <v>97</v>
      </c>
      <c r="K14" s="12">
        <v>477</v>
      </c>
      <c r="L14" s="12">
        <v>332</v>
      </c>
      <c r="M14" s="12">
        <v>421</v>
      </c>
      <c r="N14" s="12">
        <v>254</v>
      </c>
      <c r="O14" s="12">
        <v>393</v>
      </c>
      <c r="P14" s="12">
        <v>502</v>
      </c>
      <c r="Q14" s="12">
        <v>541</v>
      </c>
      <c r="R14" s="12">
        <v>69</v>
      </c>
      <c r="S14" s="12">
        <v>252</v>
      </c>
      <c r="T14" s="12">
        <v>357</v>
      </c>
      <c r="U14" s="12">
        <v>127</v>
      </c>
      <c r="V14" s="12">
        <v>523</v>
      </c>
      <c r="W14" s="12">
        <v>141</v>
      </c>
      <c r="X14" s="12">
        <v>363</v>
      </c>
      <c r="Y14" s="12">
        <v>419</v>
      </c>
      <c r="Z14" s="12">
        <v>571</v>
      </c>
      <c r="AA14" s="12">
        <v>588</v>
      </c>
      <c r="AB14" s="12">
        <v>491</v>
      </c>
      <c r="AC14" s="12">
        <v>324</v>
      </c>
      <c r="AD14" s="12">
        <v>348</v>
      </c>
      <c r="AE14" s="12">
        <v>394</v>
      </c>
      <c r="AF14" s="12">
        <v>346</v>
      </c>
    </row>
    <row r="15" spans="1:32" x14ac:dyDescent="0.25">
      <c r="A15" s="19"/>
      <c r="B15" s="13" t="s">
        <v>329</v>
      </c>
      <c r="C15" s="14">
        <v>0.4</v>
      </c>
      <c r="D15" s="14">
        <v>0.42</v>
      </c>
      <c r="E15" s="14">
        <v>0.41</v>
      </c>
      <c r="F15" s="14">
        <v>0.47</v>
      </c>
      <c r="G15" s="14">
        <v>0.19</v>
      </c>
      <c r="H15" s="14">
        <v>0.33</v>
      </c>
      <c r="I15" s="14">
        <v>0.33</v>
      </c>
      <c r="J15" s="14">
        <v>0.33</v>
      </c>
      <c r="K15" s="14">
        <v>0.48</v>
      </c>
      <c r="L15" s="14">
        <v>0.33</v>
      </c>
      <c r="M15" s="14">
        <v>0.42</v>
      </c>
      <c r="N15" s="14">
        <v>0.25</v>
      </c>
      <c r="O15" s="14">
        <v>0.39</v>
      </c>
      <c r="P15" s="14">
        <v>0.5</v>
      </c>
      <c r="Q15" s="14">
        <v>0.53</v>
      </c>
      <c r="R15" s="14">
        <v>0.14000000000000001</v>
      </c>
      <c r="S15" s="14">
        <v>0.25</v>
      </c>
      <c r="T15" s="14">
        <v>0.35</v>
      </c>
      <c r="U15" s="14">
        <v>0.25</v>
      </c>
      <c r="V15" s="14">
        <v>0.51</v>
      </c>
      <c r="W15" s="14">
        <v>0.28000000000000003</v>
      </c>
      <c r="X15" s="14">
        <v>0.36</v>
      </c>
      <c r="Y15" s="14">
        <v>0.42</v>
      </c>
      <c r="Z15" s="14">
        <v>0.56000000000000005</v>
      </c>
      <c r="AA15" s="14">
        <v>0.57000000000000006</v>
      </c>
      <c r="AB15" s="14">
        <v>0.47</v>
      </c>
      <c r="AC15" s="14">
        <v>0.32</v>
      </c>
      <c r="AD15" s="14">
        <v>0.35</v>
      </c>
      <c r="AE15" s="14">
        <v>0.4</v>
      </c>
      <c r="AF15" s="14">
        <v>0.34</v>
      </c>
    </row>
    <row r="16" spans="1:32" x14ac:dyDescent="0.25">
      <c r="A16" s="19"/>
      <c r="B16" s="11" t="s">
        <v>330</v>
      </c>
      <c r="C16" s="12">
        <v>1896</v>
      </c>
      <c r="D16" s="12">
        <v>58</v>
      </c>
      <c r="E16" s="12">
        <v>119</v>
      </c>
      <c r="F16" s="12">
        <v>192</v>
      </c>
      <c r="G16" s="12">
        <v>13</v>
      </c>
      <c r="H16" s="12">
        <v>82</v>
      </c>
      <c r="I16" s="12">
        <v>119</v>
      </c>
      <c r="J16" s="12">
        <v>37</v>
      </c>
      <c r="K16" s="12">
        <v>61</v>
      </c>
      <c r="L16" s="12">
        <v>29</v>
      </c>
      <c r="M16" s="12">
        <v>54</v>
      </c>
      <c r="N16" s="12">
        <v>38</v>
      </c>
      <c r="O16" s="12">
        <v>57</v>
      </c>
      <c r="P16" s="12">
        <v>90</v>
      </c>
      <c r="Q16" s="12">
        <v>65</v>
      </c>
      <c r="R16" s="12">
        <v>11</v>
      </c>
      <c r="S16" s="12">
        <v>47</v>
      </c>
      <c r="T16" s="12">
        <v>24</v>
      </c>
      <c r="U16" s="12">
        <v>10</v>
      </c>
      <c r="V16" s="12">
        <v>116</v>
      </c>
      <c r="W16" s="12">
        <v>12</v>
      </c>
      <c r="X16" s="12">
        <v>52</v>
      </c>
      <c r="Y16" s="12">
        <v>102</v>
      </c>
      <c r="Z16" s="12">
        <v>117</v>
      </c>
      <c r="AA16" s="12">
        <v>5</v>
      </c>
      <c r="AB16" s="12">
        <v>178</v>
      </c>
      <c r="AC16" s="12">
        <v>47</v>
      </c>
      <c r="AD16" s="12">
        <v>51</v>
      </c>
      <c r="AE16" s="12">
        <v>61</v>
      </c>
      <c r="AF16" s="12">
        <v>33</v>
      </c>
    </row>
    <row r="17" spans="1:32" x14ac:dyDescent="0.25">
      <c r="A17" s="19"/>
      <c r="B17" s="13" t="s">
        <v>331</v>
      </c>
      <c r="C17" s="14">
        <v>7.0000000000000007E-2</v>
      </c>
      <c r="D17" s="14">
        <v>0.05</v>
      </c>
      <c r="E17" s="14">
        <v>0.12</v>
      </c>
      <c r="F17" s="14">
        <v>0.18</v>
      </c>
      <c r="G17" s="14">
        <v>0.01</v>
      </c>
      <c r="H17" s="14">
        <v>7.0000000000000007E-2</v>
      </c>
      <c r="I17" s="14">
        <v>0.08</v>
      </c>
      <c r="J17" s="14">
        <v>0.12</v>
      </c>
      <c r="K17" s="14">
        <v>0.06</v>
      </c>
      <c r="L17" s="14">
        <v>0.03</v>
      </c>
      <c r="M17" s="14">
        <v>0.05</v>
      </c>
      <c r="N17" s="14">
        <v>0.04</v>
      </c>
      <c r="O17" s="14">
        <v>0.06</v>
      </c>
      <c r="P17" s="14">
        <v>0.09</v>
      </c>
      <c r="Q17" s="14">
        <v>0.06</v>
      </c>
      <c r="R17" s="14">
        <v>0.02</v>
      </c>
      <c r="S17" s="14">
        <v>0.05</v>
      </c>
      <c r="T17" s="14">
        <v>0.02</v>
      </c>
      <c r="U17" s="14">
        <v>0.02</v>
      </c>
      <c r="V17" s="14">
        <v>0.11</v>
      </c>
      <c r="W17" s="14">
        <v>0.02</v>
      </c>
      <c r="X17" s="14">
        <v>0.05</v>
      </c>
      <c r="Y17" s="14">
        <v>0.1</v>
      </c>
      <c r="Z17" s="14">
        <v>0.11</v>
      </c>
      <c r="AA17" s="15" t="s">
        <v>213</v>
      </c>
      <c r="AB17" s="14">
        <v>0.17</v>
      </c>
      <c r="AC17" s="14">
        <v>0.05</v>
      </c>
      <c r="AD17" s="14">
        <v>0.05</v>
      </c>
      <c r="AE17" s="14">
        <v>0.06</v>
      </c>
      <c r="AF17" s="14">
        <v>0.03</v>
      </c>
    </row>
    <row r="18" spans="1:32" x14ac:dyDescent="0.25">
      <c r="A18" s="19"/>
      <c r="B18" s="11" t="s">
        <v>332</v>
      </c>
      <c r="C18" s="12">
        <v>420</v>
      </c>
      <c r="D18" s="12">
        <v>17</v>
      </c>
      <c r="E18" s="12">
        <v>25</v>
      </c>
      <c r="F18" s="12">
        <v>29</v>
      </c>
      <c r="G18" s="12">
        <v>8</v>
      </c>
      <c r="H18" s="12">
        <v>14</v>
      </c>
      <c r="I18" s="12">
        <v>22</v>
      </c>
      <c r="J18" s="12">
        <v>8</v>
      </c>
      <c r="K18" s="12">
        <v>30</v>
      </c>
      <c r="L18" s="12">
        <v>15</v>
      </c>
      <c r="M18" s="12">
        <v>7</v>
      </c>
      <c r="N18" s="12">
        <v>13</v>
      </c>
      <c r="O18" s="12">
        <v>20</v>
      </c>
      <c r="P18" s="12">
        <v>16</v>
      </c>
      <c r="Q18" s="12">
        <v>14</v>
      </c>
      <c r="R18" s="12">
        <v>2</v>
      </c>
      <c r="S18" s="12">
        <v>14</v>
      </c>
      <c r="T18" s="12">
        <v>14</v>
      </c>
      <c r="U18" s="12">
        <v>4</v>
      </c>
      <c r="V18" s="12">
        <v>20</v>
      </c>
      <c r="W18" s="12">
        <v>2</v>
      </c>
      <c r="X18" s="12">
        <v>22</v>
      </c>
      <c r="Y18" s="12">
        <v>31</v>
      </c>
      <c r="Z18" s="12">
        <v>6</v>
      </c>
      <c r="AA18" s="12">
        <v>2</v>
      </c>
      <c r="AB18" s="12">
        <v>37</v>
      </c>
      <c r="AC18" s="12">
        <v>16</v>
      </c>
      <c r="AD18" s="12">
        <v>18</v>
      </c>
      <c r="AE18" s="12">
        <v>14</v>
      </c>
      <c r="AF18" s="12">
        <v>12</v>
      </c>
    </row>
    <row r="19" spans="1:32" x14ac:dyDescent="0.25">
      <c r="A19" s="19"/>
      <c r="B19" s="13" t="s">
        <v>333</v>
      </c>
      <c r="C19" s="14">
        <v>0.02</v>
      </c>
      <c r="D19" s="14">
        <v>0.02</v>
      </c>
      <c r="E19" s="14">
        <v>0.02</v>
      </c>
      <c r="F19" s="14">
        <v>0.03</v>
      </c>
      <c r="G19" s="14">
        <v>0.01</v>
      </c>
      <c r="H19" s="14">
        <v>0.01</v>
      </c>
      <c r="I19" s="14">
        <v>0.01</v>
      </c>
      <c r="J19" s="14">
        <v>0.03</v>
      </c>
      <c r="K19" s="14">
        <v>0.03</v>
      </c>
      <c r="L19" s="14">
        <v>0.02</v>
      </c>
      <c r="M19" s="14">
        <v>0.01</v>
      </c>
      <c r="N19" s="14">
        <v>0.01</v>
      </c>
      <c r="O19" s="14">
        <v>0.02</v>
      </c>
      <c r="P19" s="14">
        <v>0.02</v>
      </c>
      <c r="Q19" s="14">
        <v>0.01</v>
      </c>
      <c r="R19" s="15" t="s">
        <v>213</v>
      </c>
      <c r="S19" s="14">
        <v>0.01</v>
      </c>
      <c r="T19" s="14">
        <v>0.01</v>
      </c>
      <c r="U19" s="14">
        <v>0.01</v>
      </c>
      <c r="V19" s="14">
        <v>0.02</v>
      </c>
      <c r="W19" s="14">
        <v>0.01</v>
      </c>
      <c r="X19" s="14">
        <v>0.02</v>
      </c>
      <c r="Y19" s="14">
        <v>0.03</v>
      </c>
      <c r="Z19" s="14">
        <v>0.01</v>
      </c>
      <c r="AA19" s="15" t="s">
        <v>213</v>
      </c>
      <c r="AB19" s="14">
        <v>0.04</v>
      </c>
      <c r="AC19" s="14">
        <v>0.02</v>
      </c>
      <c r="AD19" s="14">
        <v>0.02</v>
      </c>
      <c r="AE19" s="14">
        <v>0.01</v>
      </c>
      <c r="AF19" s="14">
        <v>0.01</v>
      </c>
    </row>
    <row r="20" spans="1:32" x14ac:dyDescent="0.25">
      <c r="A20" s="19"/>
      <c r="B20" s="11" t="s">
        <v>224</v>
      </c>
      <c r="C20" s="12">
        <v>471</v>
      </c>
      <c r="D20" s="12">
        <v>7</v>
      </c>
      <c r="E20" s="12">
        <v>64</v>
      </c>
      <c r="F20" s="12">
        <v>29</v>
      </c>
      <c r="G20" s="12">
        <v>8</v>
      </c>
      <c r="H20" s="12">
        <v>15</v>
      </c>
      <c r="I20" s="12">
        <v>17</v>
      </c>
      <c r="J20" s="12">
        <v>3</v>
      </c>
      <c r="K20" s="12">
        <v>22</v>
      </c>
      <c r="L20" s="12">
        <v>24</v>
      </c>
      <c r="M20" s="12">
        <v>7</v>
      </c>
      <c r="N20" s="12">
        <v>17</v>
      </c>
      <c r="O20" s="12">
        <v>19</v>
      </c>
      <c r="P20" s="12">
        <v>9</v>
      </c>
      <c r="Q20" s="12">
        <v>19</v>
      </c>
      <c r="R20" s="12">
        <v>13</v>
      </c>
      <c r="S20" s="12">
        <v>24</v>
      </c>
      <c r="T20" s="12">
        <v>30</v>
      </c>
      <c r="U20" s="12">
        <v>5</v>
      </c>
      <c r="V20" s="12">
        <v>15</v>
      </c>
      <c r="W20" s="12">
        <v>3</v>
      </c>
      <c r="X20" s="12">
        <v>6</v>
      </c>
      <c r="Y20" s="12">
        <v>14</v>
      </c>
      <c r="Z20" s="12">
        <v>28</v>
      </c>
      <c r="AA20" s="12">
        <v>40</v>
      </c>
      <c r="AB20" s="12">
        <v>34</v>
      </c>
      <c r="AC20" s="12">
        <v>5</v>
      </c>
      <c r="AD20" s="12">
        <v>8</v>
      </c>
      <c r="AE20" s="12">
        <v>12</v>
      </c>
      <c r="AF20" s="12">
        <v>1</v>
      </c>
    </row>
    <row r="21" spans="1:32" x14ac:dyDescent="0.25">
      <c r="A21" s="19"/>
      <c r="B21" s="13" t="s">
        <v>237</v>
      </c>
      <c r="C21" s="14">
        <v>0.02</v>
      </c>
      <c r="D21" s="14">
        <v>0.01</v>
      </c>
      <c r="E21" s="14">
        <v>0.06</v>
      </c>
      <c r="F21" s="14">
        <v>0.03</v>
      </c>
      <c r="G21" s="14">
        <v>0.01</v>
      </c>
      <c r="H21" s="14">
        <v>0.01</v>
      </c>
      <c r="I21" s="14">
        <v>0.01</v>
      </c>
      <c r="J21" s="14">
        <v>0.01</v>
      </c>
      <c r="K21" s="14">
        <v>0.02</v>
      </c>
      <c r="L21" s="14">
        <v>0.02</v>
      </c>
      <c r="M21" s="14">
        <v>0.01</v>
      </c>
      <c r="N21" s="14">
        <v>0.02</v>
      </c>
      <c r="O21" s="14">
        <v>0.02</v>
      </c>
      <c r="P21" s="14">
        <v>0.01</v>
      </c>
      <c r="Q21" s="14">
        <v>0.02</v>
      </c>
      <c r="R21" s="14">
        <v>0.03</v>
      </c>
      <c r="S21" s="14">
        <v>0.03</v>
      </c>
      <c r="T21" s="14">
        <v>0.03</v>
      </c>
      <c r="U21" s="14">
        <v>0.01</v>
      </c>
      <c r="V21" s="14">
        <v>0.02</v>
      </c>
      <c r="W21" s="14">
        <v>0.01</v>
      </c>
      <c r="X21" s="14">
        <v>0.01</v>
      </c>
      <c r="Y21" s="14">
        <v>0.01</v>
      </c>
      <c r="Z21" s="14">
        <v>0.03</v>
      </c>
      <c r="AA21" s="14">
        <v>0.04</v>
      </c>
      <c r="AB21" s="14">
        <v>0.03</v>
      </c>
      <c r="AC21" s="15" t="s">
        <v>213</v>
      </c>
      <c r="AD21" s="14">
        <v>0.01</v>
      </c>
      <c r="AE21" s="14">
        <v>0.01</v>
      </c>
      <c r="AF21" s="15" t="s">
        <v>213</v>
      </c>
    </row>
    <row r="22" spans="1:32" x14ac:dyDescent="0.25">
      <c r="A22" s="19"/>
      <c r="B22" s="11" t="s">
        <v>334</v>
      </c>
      <c r="C22" s="12">
        <v>23665</v>
      </c>
      <c r="D22" s="12">
        <v>940</v>
      </c>
      <c r="E22" s="12">
        <v>837</v>
      </c>
      <c r="F22" s="12">
        <v>814</v>
      </c>
      <c r="G22" s="12">
        <v>987</v>
      </c>
      <c r="H22" s="12">
        <v>1119</v>
      </c>
      <c r="I22" s="12">
        <v>1369</v>
      </c>
      <c r="J22" s="12">
        <v>249</v>
      </c>
      <c r="K22" s="12">
        <v>892</v>
      </c>
      <c r="L22" s="12">
        <v>937</v>
      </c>
      <c r="M22" s="12">
        <v>939</v>
      </c>
      <c r="N22" s="12">
        <v>942</v>
      </c>
      <c r="O22" s="12">
        <v>907</v>
      </c>
      <c r="P22" s="12">
        <v>887</v>
      </c>
      <c r="Q22" s="12">
        <v>934</v>
      </c>
      <c r="R22" s="12">
        <v>476</v>
      </c>
      <c r="S22" s="12">
        <v>919</v>
      </c>
      <c r="T22" s="12">
        <v>955</v>
      </c>
      <c r="U22" s="12">
        <v>488</v>
      </c>
      <c r="V22" s="12">
        <v>875</v>
      </c>
      <c r="W22" s="12">
        <v>485</v>
      </c>
      <c r="X22" s="12">
        <v>930</v>
      </c>
      <c r="Y22" s="12">
        <v>855</v>
      </c>
      <c r="Z22" s="12">
        <v>864</v>
      </c>
      <c r="AA22" s="12">
        <v>990</v>
      </c>
      <c r="AB22" s="12">
        <v>791</v>
      </c>
      <c r="AC22" s="12">
        <v>937</v>
      </c>
      <c r="AD22" s="12">
        <v>925</v>
      </c>
      <c r="AE22" s="12">
        <v>915</v>
      </c>
      <c r="AF22" s="12">
        <v>984</v>
      </c>
    </row>
    <row r="23" spans="1:32" x14ac:dyDescent="0.25">
      <c r="A23" s="19"/>
      <c r="B23" s="13" t="s">
        <v>335</v>
      </c>
      <c r="C23" s="14">
        <v>0.89</v>
      </c>
      <c r="D23" s="14">
        <v>0.92</v>
      </c>
      <c r="E23" s="14">
        <v>0.8</v>
      </c>
      <c r="F23" s="14">
        <v>0.76</v>
      </c>
      <c r="G23" s="14">
        <v>0.97</v>
      </c>
      <c r="H23" s="14">
        <v>0.91</v>
      </c>
      <c r="I23" s="14">
        <v>0.9</v>
      </c>
      <c r="J23" s="14">
        <v>0.84</v>
      </c>
      <c r="K23" s="14">
        <v>0.89</v>
      </c>
      <c r="L23" s="14">
        <v>0.93</v>
      </c>
      <c r="M23" s="14">
        <v>0.93</v>
      </c>
      <c r="N23" s="14">
        <v>0.93</v>
      </c>
      <c r="O23" s="14">
        <v>0.9</v>
      </c>
      <c r="P23" s="14">
        <v>0.88</v>
      </c>
      <c r="Q23" s="14">
        <v>0.91</v>
      </c>
      <c r="R23" s="14">
        <v>0.95000000000000007</v>
      </c>
      <c r="S23" s="14">
        <v>0.91</v>
      </c>
      <c r="T23" s="14">
        <v>0.94000000000000006</v>
      </c>
      <c r="U23" s="14">
        <v>0.96</v>
      </c>
      <c r="V23" s="14">
        <v>0.85</v>
      </c>
      <c r="W23" s="14">
        <v>0.96</v>
      </c>
      <c r="X23" s="14">
        <v>0.92</v>
      </c>
      <c r="Y23" s="14">
        <v>0.86</v>
      </c>
      <c r="Z23" s="14">
        <v>0.85</v>
      </c>
      <c r="AA23" s="14">
        <v>0.96</v>
      </c>
      <c r="AB23" s="14">
        <v>0.76</v>
      </c>
      <c r="AC23" s="14">
        <v>0.93</v>
      </c>
      <c r="AD23" s="14">
        <v>0.92</v>
      </c>
      <c r="AE23" s="14">
        <v>0.92</v>
      </c>
      <c r="AF23" s="14">
        <v>0.96</v>
      </c>
    </row>
    <row r="24" spans="1:32" x14ac:dyDescent="0.25">
      <c r="A24" s="19"/>
      <c r="B24" s="11" t="s">
        <v>336</v>
      </c>
      <c r="C24" s="12">
        <v>2316</v>
      </c>
      <c r="D24" s="12">
        <v>75</v>
      </c>
      <c r="E24" s="12">
        <v>144</v>
      </c>
      <c r="F24" s="12">
        <v>221</v>
      </c>
      <c r="G24" s="12">
        <v>21</v>
      </c>
      <c r="H24" s="12">
        <v>96</v>
      </c>
      <c r="I24" s="12">
        <v>141</v>
      </c>
      <c r="J24" s="12">
        <v>45</v>
      </c>
      <c r="K24" s="12">
        <v>91</v>
      </c>
      <c r="L24" s="12">
        <v>44</v>
      </c>
      <c r="M24" s="12">
        <v>61</v>
      </c>
      <c r="N24" s="12">
        <v>51</v>
      </c>
      <c r="O24" s="12">
        <v>77</v>
      </c>
      <c r="P24" s="12">
        <v>106</v>
      </c>
      <c r="Q24" s="12">
        <v>79</v>
      </c>
      <c r="R24" s="12">
        <v>13</v>
      </c>
      <c r="S24" s="12">
        <v>61</v>
      </c>
      <c r="T24" s="12">
        <v>38</v>
      </c>
      <c r="U24" s="12">
        <v>14</v>
      </c>
      <c r="V24" s="12">
        <v>136</v>
      </c>
      <c r="W24" s="12">
        <v>14</v>
      </c>
      <c r="X24" s="12">
        <v>74</v>
      </c>
      <c r="Y24" s="12">
        <v>133</v>
      </c>
      <c r="Z24" s="12">
        <v>123</v>
      </c>
      <c r="AA24" s="12">
        <v>7</v>
      </c>
      <c r="AB24" s="12">
        <v>215</v>
      </c>
      <c r="AC24" s="12">
        <v>63</v>
      </c>
      <c r="AD24" s="12">
        <v>69</v>
      </c>
      <c r="AE24" s="12">
        <v>75</v>
      </c>
      <c r="AF24" s="12">
        <v>45</v>
      </c>
    </row>
    <row r="25" spans="1:32" x14ac:dyDescent="0.25">
      <c r="A25" s="19"/>
      <c r="B25" s="13" t="s">
        <v>337</v>
      </c>
      <c r="C25" s="14">
        <v>0.09</v>
      </c>
      <c r="D25" s="14">
        <v>7.0000000000000007E-2</v>
      </c>
      <c r="E25" s="14">
        <v>0.14000000000000001</v>
      </c>
      <c r="F25" s="14">
        <v>0.21</v>
      </c>
      <c r="G25" s="14">
        <v>0.02</v>
      </c>
      <c r="H25" s="14">
        <v>0.08</v>
      </c>
      <c r="I25" s="14">
        <v>0.09</v>
      </c>
      <c r="J25" s="14">
        <v>0.15</v>
      </c>
      <c r="K25" s="14">
        <v>0.09</v>
      </c>
      <c r="L25" s="14">
        <v>0.05</v>
      </c>
      <c r="M25" s="14">
        <v>0.06</v>
      </c>
      <c r="N25" s="14">
        <v>0.05</v>
      </c>
      <c r="O25" s="14">
        <v>0.08</v>
      </c>
      <c r="P25" s="14">
        <v>0.11</v>
      </c>
      <c r="Q25" s="14">
        <v>7.0000000000000007E-2</v>
      </c>
      <c r="R25" s="14">
        <v>0.02</v>
      </c>
      <c r="S25" s="14">
        <v>0.06</v>
      </c>
      <c r="T25" s="14">
        <v>0.03</v>
      </c>
      <c r="U25" s="14">
        <v>0.03</v>
      </c>
      <c r="V25" s="14">
        <v>0.13</v>
      </c>
      <c r="W25" s="14">
        <v>0.03</v>
      </c>
      <c r="X25" s="14">
        <v>7.0000000000000007E-2</v>
      </c>
      <c r="Y25" s="14">
        <v>0.13</v>
      </c>
      <c r="Z25" s="14">
        <v>0.12</v>
      </c>
      <c r="AA25" s="15" t="s">
        <v>213</v>
      </c>
      <c r="AB25" s="14">
        <v>0.21</v>
      </c>
      <c r="AC25" s="14">
        <v>7.0000000000000007E-2</v>
      </c>
      <c r="AD25" s="14">
        <v>7.0000000000000007E-2</v>
      </c>
      <c r="AE25" s="14">
        <v>7.0000000000000007E-2</v>
      </c>
      <c r="AF25" s="14">
        <v>0.04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338</v>
      </c>
      <c r="C3" s="18"/>
      <c r="D3" s="18"/>
      <c r="E3" s="18"/>
      <c r="F3" s="18"/>
      <c r="H3" s="18" t="s">
        <v>339</v>
      </c>
      <c r="I3" s="18"/>
      <c r="J3" s="18"/>
      <c r="K3" s="18"/>
      <c r="L3" s="18"/>
    </row>
    <row r="4" spans="1:32" ht="27" customHeight="1" x14ac:dyDescent="0.25">
      <c r="B4" s="18" t="s">
        <v>340</v>
      </c>
      <c r="C4" s="18"/>
      <c r="D4" s="18"/>
      <c r="E4" s="18"/>
      <c r="F4" s="18"/>
      <c r="H4" s="18" t="s">
        <v>341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HYPERLINK("#Content!A19","&lt;&lt;Back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8220</v>
      </c>
      <c r="D12" s="12">
        <v>289</v>
      </c>
      <c r="E12" s="12">
        <v>304</v>
      </c>
      <c r="F12" s="12">
        <v>187</v>
      </c>
      <c r="G12" s="12">
        <v>283</v>
      </c>
      <c r="H12" s="12">
        <v>288</v>
      </c>
      <c r="I12" s="12">
        <v>356</v>
      </c>
      <c r="J12" s="12">
        <v>68</v>
      </c>
      <c r="K12" s="12">
        <v>261</v>
      </c>
      <c r="L12" s="12">
        <v>470</v>
      </c>
      <c r="M12" s="12">
        <v>420</v>
      </c>
      <c r="N12" s="12">
        <v>514</v>
      </c>
      <c r="O12" s="12">
        <v>304</v>
      </c>
      <c r="P12" s="12">
        <v>332</v>
      </c>
      <c r="Q12" s="12">
        <v>334</v>
      </c>
      <c r="R12" s="12">
        <v>304</v>
      </c>
      <c r="S12" s="12">
        <v>408</v>
      </c>
      <c r="T12" s="12">
        <v>441</v>
      </c>
      <c r="U12" s="12">
        <v>216</v>
      </c>
      <c r="V12" s="12">
        <v>327</v>
      </c>
      <c r="W12" s="12">
        <v>292</v>
      </c>
      <c r="X12" s="12">
        <v>266</v>
      </c>
      <c r="Y12" s="12">
        <v>299</v>
      </c>
      <c r="Z12" s="12">
        <v>232</v>
      </c>
      <c r="AA12" s="12">
        <v>321</v>
      </c>
      <c r="AB12" s="12">
        <v>301</v>
      </c>
      <c r="AC12" s="12">
        <v>325</v>
      </c>
      <c r="AD12" s="12">
        <v>293</v>
      </c>
      <c r="AE12" s="12">
        <v>455</v>
      </c>
      <c r="AF12" s="12">
        <v>232</v>
      </c>
    </row>
    <row r="13" spans="1:32" x14ac:dyDescent="0.25">
      <c r="A13" s="19"/>
      <c r="B13" s="13" t="s">
        <v>327</v>
      </c>
      <c r="C13" s="14">
        <v>0.31</v>
      </c>
      <c r="D13" s="14">
        <v>0.28000000000000003</v>
      </c>
      <c r="E13" s="14">
        <v>0.28999999999999998</v>
      </c>
      <c r="F13" s="14">
        <v>0.17</v>
      </c>
      <c r="G13" s="14">
        <v>0.28000000000000003</v>
      </c>
      <c r="H13" s="14">
        <v>0.23</v>
      </c>
      <c r="I13" s="14">
        <v>0.23</v>
      </c>
      <c r="J13" s="14">
        <v>0.23</v>
      </c>
      <c r="K13" s="14">
        <v>0.26</v>
      </c>
      <c r="L13" s="14">
        <v>0.47</v>
      </c>
      <c r="M13" s="14">
        <v>0.42</v>
      </c>
      <c r="N13" s="14">
        <v>0.51</v>
      </c>
      <c r="O13" s="14">
        <v>0.3</v>
      </c>
      <c r="P13" s="14">
        <v>0.33</v>
      </c>
      <c r="Q13" s="14">
        <v>0.32</v>
      </c>
      <c r="R13" s="14">
        <v>0.61</v>
      </c>
      <c r="S13" s="14">
        <v>0.41</v>
      </c>
      <c r="T13" s="14">
        <v>0.43</v>
      </c>
      <c r="U13" s="14">
        <v>0.43</v>
      </c>
      <c r="V13" s="14">
        <v>0.32</v>
      </c>
      <c r="W13" s="14">
        <v>0.57999999999999996</v>
      </c>
      <c r="X13" s="14">
        <v>0.26</v>
      </c>
      <c r="Y13" s="14">
        <v>0.3</v>
      </c>
      <c r="Z13" s="14">
        <v>0.23</v>
      </c>
      <c r="AA13" s="14">
        <v>0.31</v>
      </c>
      <c r="AB13" s="14">
        <v>0.28999999999999998</v>
      </c>
      <c r="AC13" s="14">
        <v>0.32</v>
      </c>
      <c r="AD13" s="14">
        <v>0.28999999999999998</v>
      </c>
      <c r="AE13" s="14">
        <v>0.45</v>
      </c>
      <c r="AF13" s="14">
        <v>0.23</v>
      </c>
    </row>
    <row r="14" spans="1:32" x14ac:dyDescent="0.25">
      <c r="A14" s="19"/>
      <c r="B14" s="11" t="s">
        <v>328</v>
      </c>
      <c r="C14" s="12">
        <v>11197</v>
      </c>
      <c r="D14" s="12">
        <v>449</v>
      </c>
      <c r="E14" s="12">
        <v>366</v>
      </c>
      <c r="F14" s="12">
        <v>408</v>
      </c>
      <c r="G14" s="12">
        <v>409</v>
      </c>
      <c r="H14" s="12">
        <v>498</v>
      </c>
      <c r="I14" s="12">
        <v>608</v>
      </c>
      <c r="J14" s="12">
        <v>109</v>
      </c>
      <c r="K14" s="12">
        <v>391</v>
      </c>
      <c r="L14" s="12">
        <v>368</v>
      </c>
      <c r="M14" s="12">
        <v>406</v>
      </c>
      <c r="N14" s="12">
        <v>326</v>
      </c>
      <c r="O14" s="12">
        <v>404</v>
      </c>
      <c r="P14" s="12">
        <v>502</v>
      </c>
      <c r="Q14" s="12">
        <v>490</v>
      </c>
      <c r="R14" s="12">
        <v>123</v>
      </c>
      <c r="S14" s="12">
        <v>333</v>
      </c>
      <c r="T14" s="12">
        <v>438</v>
      </c>
      <c r="U14" s="12">
        <v>172</v>
      </c>
      <c r="V14" s="12">
        <v>500</v>
      </c>
      <c r="W14" s="12">
        <v>169</v>
      </c>
      <c r="X14" s="12">
        <v>504</v>
      </c>
      <c r="Y14" s="12">
        <v>345</v>
      </c>
      <c r="Z14" s="12">
        <v>536</v>
      </c>
      <c r="AA14" s="12">
        <v>608</v>
      </c>
      <c r="AB14" s="12">
        <v>432</v>
      </c>
      <c r="AC14" s="12">
        <v>349</v>
      </c>
      <c r="AD14" s="12">
        <v>389</v>
      </c>
      <c r="AE14" s="12">
        <v>438</v>
      </c>
      <c r="AF14" s="12">
        <v>489</v>
      </c>
    </row>
    <row r="15" spans="1:32" x14ac:dyDescent="0.25">
      <c r="A15" s="19"/>
      <c r="B15" s="13" t="s">
        <v>329</v>
      </c>
      <c r="C15" s="14">
        <v>0.42</v>
      </c>
      <c r="D15" s="14">
        <v>0.44</v>
      </c>
      <c r="E15" s="14">
        <v>0.35</v>
      </c>
      <c r="F15" s="14">
        <v>0.38</v>
      </c>
      <c r="G15" s="14">
        <v>0.4</v>
      </c>
      <c r="H15" s="14">
        <v>0.41</v>
      </c>
      <c r="I15" s="14">
        <v>0.4</v>
      </c>
      <c r="J15" s="14">
        <v>0.37</v>
      </c>
      <c r="K15" s="14">
        <v>0.39</v>
      </c>
      <c r="L15" s="14">
        <v>0.36</v>
      </c>
      <c r="M15" s="14">
        <v>0.4</v>
      </c>
      <c r="N15" s="14">
        <v>0.32</v>
      </c>
      <c r="O15" s="14">
        <v>0.4</v>
      </c>
      <c r="P15" s="14">
        <v>0.5</v>
      </c>
      <c r="Q15" s="14">
        <v>0.48</v>
      </c>
      <c r="R15" s="14">
        <v>0.25</v>
      </c>
      <c r="S15" s="14">
        <v>0.33</v>
      </c>
      <c r="T15" s="14">
        <v>0.43</v>
      </c>
      <c r="U15" s="14">
        <v>0.34</v>
      </c>
      <c r="V15" s="14">
        <v>0.49</v>
      </c>
      <c r="W15" s="14">
        <v>0.34</v>
      </c>
      <c r="X15" s="14">
        <v>0.5</v>
      </c>
      <c r="Y15" s="14">
        <v>0.34</v>
      </c>
      <c r="Z15" s="14">
        <v>0.53</v>
      </c>
      <c r="AA15" s="14">
        <v>0.59</v>
      </c>
      <c r="AB15" s="14">
        <v>0.41</v>
      </c>
      <c r="AC15" s="14">
        <v>0.35</v>
      </c>
      <c r="AD15" s="14">
        <v>0.39</v>
      </c>
      <c r="AE15" s="14">
        <v>0.44</v>
      </c>
      <c r="AF15" s="14">
        <v>0.47</v>
      </c>
    </row>
    <row r="16" spans="1:32" x14ac:dyDescent="0.25">
      <c r="A16" s="19"/>
      <c r="B16" s="11" t="s">
        <v>330</v>
      </c>
      <c r="C16" s="12">
        <v>4206</v>
      </c>
      <c r="D16" s="12">
        <v>195</v>
      </c>
      <c r="E16" s="12">
        <v>167</v>
      </c>
      <c r="F16" s="12">
        <v>286</v>
      </c>
      <c r="G16" s="12">
        <v>157</v>
      </c>
      <c r="H16" s="12">
        <v>273</v>
      </c>
      <c r="I16" s="12">
        <v>348</v>
      </c>
      <c r="J16" s="12">
        <v>75</v>
      </c>
      <c r="K16" s="12">
        <v>192</v>
      </c>
      <c r="L16" s="12">
        <v>67</v>
      </c>
      <c r="M16" s="12">
        <v>115</v>
      </c>
      <c r="N16" s="12">
        <v>98</v>
      </c>
      <c r="O16" s="12">
        <v>157</v>
      </c>
      <c r="P16" s="12">
        <v>129</v>
      </c>
      <c r="Q16" s="12">
        <v>136</v>
      </c>
      <c r="R16" s="12">
        <v>35</v>
      </c>
      <c r="S16" s="12">
        <v>142</v>
      </c>
      <c r="T16" s="12">
        <v>70</v>
      </c>
      <c r="U16" s="12">
        <v>72</v>
      </c>
      <c r="V16" s="12">
        <v>133</v>
      </c>
      <c r="W16" s="12">
        <v>30</v>
      </c>
      <c r="X16" s="12">
        <v>153</v>
      </c>
      <c r="Y16" s="12">
        <v>169</v>
      </c>
      <c r="Z16" s="12">
        <v>168</v>
      </c>
      <c r="AA16" s="12">
        <v>18</v>
      </c>
      <c r="AB16" s="12">
        <v>216</v>
      </c>
      <c r="AC16" s="12">
        <v>210</v>
      </c>
      <c r="AD16" s="12">
        <v>168</v>
      </c>
      <c r="AE16" s="12">
        <v>59</v>
      </c>
      <c r="AF16" s="12">
        <v>179</v>
      </c>
    </row>
    <row r="17" spans="1:32" x14ac:dyDescent="0.25">
      <c r="A17" s="19"/>
      <c r="B17" s="13" t="s">
        <v>331</v>
      </c>
      <c r="C17" s="14">
        <v>0.16</v>
      </c>
      <c r="D17" s="14">
        <v>0.19</v>
      </c>
      <c r="E17" s="14">
        <v>0.16</v>
      </c>
      <c r="F17" s="14">
        <v>0.27</v>
      </c>
      <c r="G17" s="14">
        <v>0.15</v>
      </c>
      <c r="H17" s="14">
        <v>0.22</v>
      </c>
      <c r="I17" s="14">
        <v>0.23</v>
      </c>
      <c r="J17" s="14">
        <v>0.25</v>
      </c>
      <c r="K17" s="14">
        <v>0.19</v>
      </c>
      <c r="L17" s="14">
        <v>7.0000000000000007E-2</v>
      </c>
      <c r="M17" s="14">
        <v>0.12</v>
      </c>
      <c r="N17" s="14">
        <v>0.1</v>
      </c>
      <c r="O17" s="14">
        <v>0.16</v>
      </c>
      <c r="P17" s="14">
        <v>0.13</v>
      </c>
      <c r="Q17" s="14">
        <v>0.13</v>
      </c>
      <c r="R17" s="14">
        <v>7.0000000000000007E-2</v>
      </c>
      <c r="S17" s="14">
        <v>0.14000000000000001</v>
      </c>
      <c r="T17" s="14">
        <v>7.0000000000000007E-2</v>
      </c>
      <c r="U17" s="14">
        <v>0.14000000000000001</v>
      </c>
      <c r="V17" s="14">
        <v>0.13</v>
      </c>
      <c r="W17" s="14">
        <v>0.06</v>
      </c>
      <c r="X17" s="14">
        <v>0.15</v>
      </c>
      <c r="Y17" s="14">
        <v>0.17</v>
      </c>
      <c r="Z17" s="14">
        <v>0.16</v>
      </c>
      <c r="AA17" s="14">
        <v>0.02</v>
      </c>
      <c r="AB17" s="14">
        <v>0.21</v>
      </c>
      <c r="AC17" s="14">
        <v>0.21</v>
      </c>
      <c r="AD17" s="14">
        <v>0.17</v>
      </c>
      <c r="AE17" s="14">
        <v>0.06</v>
      </c>
      <c r="AF17" s="14">
        <v>0.17</v>
      </c>
    </row>
    <row r="18" spans="1:32" x14ac:dyDescent="0.25">
      <c r="A18" s="19"/>
      <c r="B18" s="11" t="s">
        <v>332</v>
      </c>
      <c r="C18" s="12">
        <v>1505</v>
      </c>
      <c r="D18" s="12">
        <v>66</v>
      </c>
      <c r="E18" s="12">
        <v>89</v>
      </c>
      <c r="F18" s="12">
        <v>123</v>
      </c>
      <c r="G18" s="12">
        <v>69</v>
      </c>
      <c r="H18" s="12">
        <v>110</v>
      </c>
      <c r="I18" s="12">
        <v>145</v>
      </c>
      <c r="J18" s="12">
        <v>35</v>
      </c>
      <c r="K18" s="12">
        <v>79</v>
      </c>
      <c r="L18" s="12">
        <v>33</v>
      </c>
      <c r="M18" s="12">
        <v>31</v>
      </c>
      <c r="N18" s="12">
        <v>38</v>
      </c>
      <c r="O18" s="12">
        <v>67</v>
      </c>
      <c r="P18" s="12">
        <v>23</v>
      </c>
      <c r="Q18" s="12">
        <v>23</v>
      </c>
      <c r="R18" s="12">
        <v>12</v>
      </c>
      <c r="S18" s="12">
        <v>48</v>
      </c>
      <c r="T18" s="12">
        <v>28</v>
      </c>
      <c r="U18" s="12">
        <v>32</v>
      </c>
      <c r="V18" s="12">
        <v>32</v>
      </c>
      <c r="W18" s="12">
        <v>8</v>
      </c>
      <c r="X18" s="12">
        <v>42</v>
      </c>
      <c r="Y18" s="12">
        <v>141</v>
      </c>
      <c r="Z18" s="12">
        <v>28</v>
      </c>
      <c r="AA18" s="12">
        <v>5</v>
      </c>
      <c r="AB18" s="12">
        <v>53</v>
      </c>
      <c r="AC18" s="12">
        <v>96</v>
      </c>
      <c r="AD18" s="12">
        <v>99</v>
      </c>
      <c r="AE18" s="12">
        <v>26</v>
      </c>
      <c r="AF18" s="12">
        <v>83</v>
      </c>
    </row>
    <row r="19" spans="1:32" x14ac:dyDescent="0.25">
      <c r="A19" s="19"/>
      <c r="B19" s="13" t="s">
        <v>333</v>
      </c>
      <c r="C19" s="14">
        <v>0.06</v>
      </c>
      <c r="D19" s="14">
        <v>7.0000000000000007E-2</v>
      </c>
      <c r="E19" s="14">
        <v>0.08</v>
      </c>
      <c r="F19" s="14">
        <v>0.12</v>
      </c>
      <c r="G19" s="14">
        <v>7.0000000000000007E-2</v>
      </c>
      <c r="H19" s="14">
        <v>0.09</v>
      </c>
      <c r="I19" s="14">
        <v>0.09</v>
      </c>
      <c r="J19" s="14">
        <v>0.12</v>
      </c>
      <c r="K19" s="14">
        <v>0.08</v>
      </c>
      <c r="L19" s="14">
        <v>0.03</v>
      </c>
      <c r="M19" s="14">
        <v>0.03</v>
      </c>
      <c r="N19" s="14">
        <v>0.04</v>
      </c>
      <c r="O19" s="14">
        <v>7.0000000000000007E-2</v>
      </c>
      <c r="P19" s="14">
        <v>0.02</v>
      </c>
      <c r="Q19" s="14">
        <v>0.02</v>
      </c>
      <c r="R19" s="14">
        <v>0.02</v>
      </c>
      <c r="S19" s="14">
        <v>0.05</v>
      </c>
      <c r="T19" s="14">
        <v>0.03</v>
      </c>
      <c r="U19" s="14">
        <v>0.06</v>
      </c>
      <c r="V19" s="14">
        <v>0.03</v>
      </c>
      <c r="W19" s="14">
        <v>0.02</v>
      </c>
      <c r="X19" s="14">
        <v>0.04</v>
      </c>
      <c r="Y19" s="14">
        <v>0.14000000000000001</v>
      </c>
      <c r="Z19" s="14">
        <v>0.03</v>
      </c>
      <c r="AA19" s="15" t="s">
        <v>213</v>
      </c>
      <c r="AB19" s="14">
        <v>0.05</v>
      </c>
      <c r="AC19" s="14">
        <v>0.1</v>
      </c>
      <c r="AD19" s="14">
        <v>0.1</v>
      </c>
      <c r="AE19" s="14">
        <v>0.03</v>
      </c>
      <c r="AF19" s="14">
        <v>0.08</v>
      </c>
    </row>
    <row r="20" spans="1:32" x14ac:dyDescent="0.25">
      <c r="A20" s="19"/>
      <c r="B20" s="11" t="s">
        <v>224</v>
      </c>
      <c r="C20" s="12">
        <v>1324</v>
      </c>
      <c r="D20" s="12">
        <v>22</v>
      </c>
      <c r="E20" s="12">
        <v>121</v>
      </c>
      <c r="F20" s="12">
        <v>60</v>
      </c>
      <c r="G20" s="12">
        <v>98</v>
      </c>
      <c r="H20" s="12">
        <v>60</v>
      </c>
      <c r="I20" s="12">
        <v>70</v>
      </c>
      <c r="J20" s="12">
        <v>10</v>
      </c>
      <c r="K20" s="12">
        <v>83</v>
      </c>
      <c r="L20" s="12">
        <v>69</v>
      </c>
      <c r="M20" s="12">
        <v>35</v>
      </c>
      <c r="N20" s="12">
        <v>34</v>
      </c>
      <c r="O20" s="12">
        <v>72</v>
      </c>
      <c r="P20" s="12">
        <v>16</v>
      </c>
      <c r="Q20" s="12">
        <v>48</v>
      </c>
      <c r="R20" s="12">
        <v>27</v>
      </c>
      <c r="S20" s="12">
        <v>73</v>
      </c>
      <c r="T20" s="12">
        <v>46</v>
      </c>
      <c r="U20" s="12">
        <v>16</v>
      </c>
      <c r="V20" s="12">
        <v>33</v>
      </c>
      <c r="W20" s="12">
        <v>3</v>
      </c>
      <c r="X20" s="12">
        <v>45</v>
      </c>
      <c r="Y20" s="12">
        <v>48</v>
      </c>
      <c r="Z20" s="12">
        <v>53</v>
      </c>
      <c r="AA20" s="12">
        <v>85</v>
      </c>
      <c r="AB20" s="12">
        <v>40</v>
      </c>
      <c r="AC20" s="12">
        <v>24</v>
      </c>
      <c r="AD20" s="12">
        <v>54</v>
      </c>
      <c r="AE20" s="12">
        <v>22</v>
      </c>
      <c r="AF20" s="12">
        <v>48</v>
      </c>
    </row>
    <row r="21" spans="1:32" x14ac:dyDescent="0.25">
      <c r="A21" s="19"/>
      <c r="B21" s="13" t="s">
        <v>237</v>
      </c>
      <c r="C21" s="14">
        <v>0.05</v>
      </c>
      <c r="D21" s="14">
        <v>0.02</v>
      </c>
      <c r="E21" s="14">
        <v>0.12</v>
      </c>
      <c r="F21" s="14">
        <v>0.06</v>
      </c>
      <c r="G21" s="14">
        <v>0.1</v>
      </c>
      <c r="H21" s="14">
        <v>0.05</v>
      </c>
      <c r="I21" s="14">
        <v>0.05</v>
      </c>
      <c r="J21" s="14">
        <v>0.03</v>
      </c>
      <c r="K21" s="14">
        <v>0.08</v>
      </c>
      <c r="L21" s="14">
        <v>7.0000000000000007E-2</v>
      </c>
      <c r="M21" s="14">
        <v>0.03</v>
      </c>
      <c r="N21" s="14">
        <v>0.03</v>
      </c>
      <c r="O21" s="14">
        <v>7.0000000000000007E-2</v>
      </c>
      <c r="P21" s="14">
        <v>0.02</v>
      </c>
      <c r="Q21" s="14">
        <v>0.05</v>
      </c>
      <c r="R21" s="14">
        <v>0.05</v>
      </c>
      <c r="S21" s="14">
        <v>7.0000000000000007E-2</v>
      </c>
      <c r="T21" s="14">
        <v>0.04</v>
      </c>
      <c r="U21" s="14">
        <v>0.03</v>
      </c>
      <c r="V21" s="14">
        <v>0.03</v>
      </c>
      <c r="W21" s="15" t="s">
        <v>213</v>
      </c>
      <c r="X21" s="14">
        <v>0.05</v>
      </c>
      <c r="Y21" s="14">
        <v>0.05</v>
      </c>
      <c r="Z21" s="14">
        <v>0.05</v>
      </c>
      <c r="AA21" s="14">
        <v>0.08</v>
      </c>
      <c r="AB21" s="14">
        <v>0.04</v>
      </c>
      <c r="AC21" s="14">
        <v>0.02</v>
      </c>
      <c r="AD21" s="14">
        <v>0.05</v>
      </c>
      <c r="AE21" s="14">
        <v>0.02</v>
      </c>
      <c r="AF21" s="14">
        <v>0.05</v>
      </c>
    </row>
    <row r="22" spans="1:32" x14ac:dyDescent="0.25">
      <c r="A22" s="19"/>
      <c r="B22" s="11" t="s">
        <v>334</v>
      </c>
      <c r="C22" s="12">
        <v>19417</v>
      </c>
      <c r="D22" s="12">
        <v>738</v>
      </c>
      <c r="E22" s="12">
        <v>670</v>
      </c>
      <c r="F22" s="12">
        <v>595</v>
      </c>
      <c r="G22" s="12">
        <v>692</v>
      </c>
      <c r="H22" s="12">
        <v>786</v>
      </c>
      <c r="I22" s="12">
        <v>964</v>
      </c>
      <c r="J22" s="12">
        <v>177</v>
      </c>
      <c r="K22" s="12">
        <v>652</v>
      </c>
      <c r="L22" s="12">
        <v>838</v>
      </c>
      <c r="M22" s="12">
        <v>826</v>
      </c>
      <c r="N22" s="12">
        <v>840</v>
      </c>
      <c r="O22" s="12">
        <v>708</v>
      </c>
      <c r="P22" s="12">
        <v>834</v>
      </c>
      <c r="Q22" s="12">
        <v>824</v>
      </c>
      <c r="R22" s="12">
        <v>427</v>
      </c>
      <c r="S22" s="12">
        <v>741</v>
      </c>
      <c r="T22" s="12">
        <v>879</v>
      </c>
      <c r="U22" s="12">
        <v>388</v>
      </c>
      <c r="V22" s="12">
        <v>827</v>
      </c>
      <c r="W22" s="12">
        <v>461</v>
      </c>
      <c r="X22" s="12">
        <v>770</v>
      </c>
      <c r="Y22" s="12">
        <v>644</v>
      </c>
      <c r="Z22" s="12">
        <v>768</v>
      </c>
      <c r="AA22" s="12">
        <v>929</v>
      </c>
      <c r="AB22" s="12">
        <v>733</v>
      </c>
      <c r="AC22" s="12">
        <v>674</v>
      </c>
      <c r="AD22" s="12">
        <v>682</v>
      </c>
      <c r="AE22" s="12">
        <v>893</v>
      </c>
      <c r="AF22" s="12">
        <v>721</v>
      </c>
    </row>
    <row r="23" spans="1:32" x14ac:dyDescent="0.25">
      <c r="A23" s="19"/>
      <c r="B23" s="13" t="s">
        <v>335</v>
      </c>
      <c r="C23" s="14">
        <v>0.73</v>
      </c>
      <c r="D23" s="14">
        <v>0.72</v>
      </c>
      <c r="E23" s="14">
        <v>0.64</v>
      </c>
      <c r="F23" s="14">
        <v>0.55000000000000004</v>
      </c>
      <c r="G23" s="14">
        <v>0.68</v>
      </c>
      <c r="H23" s="14">
        <v>0.64</v>
      </c>
      <c r="I23" s="14">
        <v>0.63</v>
      </c>
      <c r="J23" s="14">
        <v>0.6</v>
      </c>
      <c r="K23" s="14">
        <v>0.65</v>
      </c>
      <c r="L23" s="14">
        <v>0.83000000000000007</v>
      </c>
      <c r="M23" s="14">
        <v>0.82000000000000006</v>
      </c>
      <c r="N23" s="14">
        <v>0.83000000000000007</v>
      </c>
      <c r="O23" s="14">
        <v>0.70000000000000007</v>
      </c>
      <c r="P23" s="14">
        <v>0.83000000000000007</v>
      </c>
      <c r="Q23" s="14">
        <v>0.8</v>
      </c>
      <c r="R23" s="14">
        <v>0.86</v>
      </c>
      <c r="S23" s="14">
        <v>0.74</v>
      </c>
      <c r="T23" s="14">
        <v>0.86</v>
      </c>
      <c r="U23" s="14">
        <v>0.77</v>
      </c>
      <c r="V23" s="14">
        <v>0.81</v>
      </c>
      <c r="W23" s="14">
        <v>0.92</v>
      </c>
      <c r="X23" s="14">
        <v>0.76</v>
      </c>
      <c r="Y23" s="14">
        <v>0.64</v>
      </c>
      <c r="Z23" s="14">
        <v>0.76</v>
      </c>
      <c r="AA23" s="14">
        <v>0.9</v>
      </c>
      <c r="AB23" s="14">
        <v>0.70000000000000007</v>
      </c>
      <c r="AC23" s="14">
        <v>0.67</v>
      </c>
      <c r="AD23" s="14">
        <v>0.68</v>
      </c>
      <c r="AE23" s="14">
        <v>0.89</v>
      </c>
      <c r="AF23" s="14">
        <v>0.70000000000000007</v>
      </c>
    </row>
    <row r="24" spans="1:32" x14ac:dyDescent="0.25">
      <c r="A24" s="19"/>
      <c r="B24" s="11" t="s">
        <v>336</v>
      </c>
      <c r="C24" s="12">
        <v>5711</v>
      </c>
      <c r="D24" s="12">
        <v>261</v>
      </c>
      <c r="E24" s="12">
        <v>256</v>
      </c>
      <c r="F24" s="12">
        <v>409</v>
      </c>
      <c r="G24" s="12">
        <v>226</v>
      </c>
      <c r="H24" s="12">
        <v>383</v>
      </c>
      <c r="I24" s="12">
        <v>493</v>
      </c>
      <c r="J24" s="12">
        <v>110</v>
      </c>
      <c r="K24" s="12">
        <v>271</v>
      </c>
      <c r="L24" s="12">
        <v>100</v>
      </c>
      <c r="M24" s="12">
        <v>146</v>
      </c>
      <c r="N24" s="12">
        <v>136</v>
      </c>
      <c r="O24" s="12">
        <v>224</v>
      </c>
      <c r="P24" s="12">
        <v>152</v>
      </c>
      <c r="Q24" s="12">
        <v>159</v>
      </c>
      <c r="R24" s="12">
        <v>47</v>
      </c>
      <c r="S24" s="12">
        <v>190</v>
      </c>
      <c r="T24" s="12">
        <v>98</v>
      </c>
      <c r="U24" s="12">
        <v>104</v>
      </c>
      <c r="V24" s="12">
        <v>165</v>
      </c>
      <c r="W24" s="12">
        <v>38</v>
      </c>
      <c r="X24" s="12">
        <v>195</v>
      </c>
      <c r="Y24" s="12">
        <v>310</v>
      </c>
      <c r="Z24" s="12">
        <v>196</v>
      </c>
      <c r="AA24" s="12">
        <v>23</v>
      </c>
      <c r="AB24" s="12">
        <v>269</v>
      </c>
      <c r="AC24" s="12">
        <v>306</v>
      </c>
      <c r="AD24" s="12">
        <v>267</v>
      </c>
      <c r="AE24" s="12">
        <v>85</v>
      </c>
      <c r="AF24" s="12">
        <v>262</v>
      </c>
    </row>
    <row r="25" spans="1:32" x14ac:dyDescent="0.25">
      <c r="A25" s="19"/>
      <c r="B25" s="13" t="s">
        <v>337</v>
      </c>
      <c r="C25" s="14">
        <v>0.22</v>
      </c>
      <c r="D25" s="14">
        <v>0.26</v>
      </c>
      <c r="E25" s="14">
        <v>0.24</v>
      </c>
      <c r="F25" s="14">
        <v>0.39</v>
      </c>
      <c r="G25" s="14">
        <v>0.22</v>
      </c>
      <c r="H25" s="14">
        <v>0.31</v>
      </c>
      <c r="I25" s="14">
        <v>0.32</v>
      </c>
      <c r="J25" s="14">
        <v>0.37</v>
      </c>
      <c r="K25" s="14">
        <v>0.27</v>
      </c>
      <c r="L25" s="14">
        <v>0.1</v>
      </c>
      <c r="M25" s="14">
        <v>0.15</v>
      </c>
      <c r="N25" s="14">
        <v>0.14000000000000001</v>
      </c>
      <c r="O25" s="14">
        <v>0.23</v>
      </c>
      <c r="P25" s="14">
        <v>0.15</v>
      </c>
      <c r="Q25" s="14">
        <v>0.15</v>
      </c>
      <c r="R25" s="14">
        <v>0.09</v>
      </c>
      <c r="S25" s="14">
        <v>0.19</v>
      </c>
      <c r="T25" s="14">
        <v>0.1</v>
      </c>
      <c r="U25" s="14">
        <v>0.2</v>
      </c>
      <c r="V25" s="14">
        <v>0.16</v>
      </c>
      <c r="W25" s="14">
        <v>0.08</v>
      </c>
      <c r="X25" s="14">
        <v>0.19</v>
      </c>
      <c r="Y25" s="14">
        <v>0.31</v>
      </c>
      <c r="Z25" s="14">
        <v>0.19</v>
      </c>
      <c r="AA25" s="14">
        <v>0.02</v>
      </c>
      <c r="AB25" s="14">
        <v>0.26</v>
      </c>
      <c r="AC25" s="14">
        <v>0.31</v>
      </c>
      <c r="AD25" s="14">
        <v>0.27</v>
      </c>
      <c r="AE25" s="14">
        <v>0.09</v>
      </c>
      <c r="AF25" s="14">
        <v>0.25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342</v>
      </c>
      <c r="C3" s="18"/>
      <c r="D3" s="18"/>
      <c r="E3" s="18"/>
      <c r="F3" s="18"/>
      <c r="H3" s="18" t="s">
        <v>343</v>
      </c>
      <c r="I3" s="18"/>
      <c r="J3" s="18"/>
      <c r="K3" s="18"/>
      <c r="L3" s="18"/>
    </row>
    <row r="4" spans="1:32" ht="27" customHeight="1" x14ac:dyDescent="0.25">
      <c r="B4" s="18" t="s">
        <v>344</v>
      </c>
      <c r="C4" s="18"/>
      <c r="D4" s="18"/>
      <c r="E4" s="18"/>
      <c r="F4" s="18"/>
      <c r="H4" s="18" t="s">
        <v>345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11680</v>
      </c>
      <c r="D12" s="12">
        <v>486</v>
      </c>
      <c r="E12" s="12">
        <v>385</v>
      </c>
      <c r="F12" s="12">
        <v>305</v>
      </c>
      <c r="G12" s="12">
        <v>596</v>
      </c>
      <c r="H12" s="12">
        <v>576</v>
      </c>
      <c r="I12" s="12">
        <v>696</v>
      </c>
      <c r="J12" s="12">
        <v>121</v>
      </c>
      <c r="K12" s="12">
        <v>347</v>
      </c>
      <c r="L12" s="12">
        <v>550</v>
      </c>
      <c r="M12" s="12">
        <v>518</v>
      </c>
      <c r="N12" s="12">
        <v>617</v>
      </c>
      <c r="O12" s="12">
        <v>438</v>
      </c>
      <c r="P12" s="12">
        <v>335</v>
      </c>
      <c r="Q12" s="12">
        <v>433</v>
      </c>
      <c r="R12" s="12">
        <v>362</v>
      </c>
      <c r="S12" s="12">
        <v>631</v>
      </c>
      <c r="T12" s="12">
        <v>522</v>
      </c>
      <c r="U12" s="12">
        <v>337</v>
      </c>
      <c r="V12" s="12">
        <v>314</v>
      </c>
      <c r="W12" s="12">
        <v>340</v>
      </c>
      <c r="X12" s="12">
        <v>498</v>
      </c>
      <c r="Y12" s="12">
        <v>454</v>
      </c>
      <c r="Z12" s="12">
        <v>287</v>
      </c>
      <c r="AA12" s="12">
        <v>408</v>
      </c>
      <c r="AB12" s="12">
        <v>301</v>
      </c>
      <c r="AC12" s="12">
        <v>545</v>
      </c>
      <c r="AD12" s="12">
        <v>534</v>
      </c>
      <c r="AE12" s="12">
        <v>476</v>
      </c>
      <c r="AF12" s="12">
        <v>429</v>
      </c>
    </row>
    <row r="13" spans="1:32" x14ac:dyDescent="0.25">
      <c r="A13" s="19"/>
      <c r="B13" s="13" t="s">
        <v>327</v>
      </c>
      <c r="C13" s="14">
        <v>0.44</v>
      </c>
      <c r="D13" s="14">
        <v>0.48</v>
      </c>
      <c r="E13" s="14">
        <v>0.37</v>
      </c>
      <c r="F13" s="14">
        <v>0.28999999999999998</v>
      </c>
      <c r="G13" s="14">
        <v>0.59</v>
      </c>
      <c r="H13" s="14">
        <v>0.47</v>
      </c>
      <c r="I13" s="14">
        <v>0.46</v>
      </c>
      <c r="J13" s="14">
        <v>0.41</v>
      </c>
      <c r="K13" s="14">
        <v>0.34</v>
      </c>
      <c r="L13" s="14">
        <v>0.55000000000000004</v>
      </c>
      <c r="M13" s="14">
        <v>0.51</v>
      </c>
      <c r="N13" s="14">
        <v>0.61</v>
      </c>
      <c r="O13" s="14">
        <v>0.43</v>
      </c>
      <c r="P13" s="14">
        <v>0.33</v>
      </c>
      <c r="Q13" s="14">
        <v>0.42</v>
      </c>
      <c r="R13" s="14">
        <v>0.72</v>
      </c>
      <c r="S13" s="14">
        <v>0.63</v>
      </c>
      <c r="T13" s="14">
        <v>0.51</v>
      </c>
      <c r="U13" s="14">
        <v>0.66</v>
      </c>
      <c r="V13" s="14">
        <v>0.31</v>
      </c>
      <c r="W13" s="14">
        <v>0.68</v>
      </c>
      <c r="X13" s="14">
        <v>0.49</v>
      </c>
      <c r="Y13" s="14">
        <v>0.45</v>
      </c>
      <c r="Z13" s="14">
        <v>0.28000000000000003</v>
      </c>
      <c r="AA13" s="14">
        <v>0.39</v>
      </c>
      <c r="AB13" s="14">
        <v>0.28999999999999998</v>
      </c>
      <c r="AC13" s="14">
        <v>0.54</v>
      </c>
      <c r="AD13" s="14">
        <v>0.53</v>
      </c>
      <c r="AE13" s="14">
        <v>0.48</v>
      </c>
      <c r="AF13" s="14">
        <v>0.42</v>
      </c>
    </row>
    <row r="14" spans="1:32" x14ac:dyDescent="0.25">
      <c r="A14" s="19"/>
      <c r="B14" s="11" t="s">
        <v>328</v>
      </c>
      <c r="C14" s="12">
        <v>11199</v>
      </c>
      <c r="D14" s="12">
        <v>420</v>
      </c>
      <c r="E14" s="12">
        <v>432</v>
      </c>
      <c r="F14" s="12">
        <v>503</v>
      </c>
      <c r="G14" s="12">
        <v>335</v>
      </c>
      <c r="H14" s="12">
        <v>528</v>
      </c>
      <c r="I14" s="12">
        <v>653</v>
      </c>
      <c r="J14" s="12">
        <v>125</v>
      </c>
      <c r="K14" s="12">
        <v>446</v>
      </c>
      <c r="L14" s="12">
        <v>354</v>
      </c>
      <c r="M14" s="12">
        <v>389</v>
      </c>
      <c r="N14" s="12">
        <v>298</v>
      </c>
      <c r="O14" s="12">
        <v>418</v>
      </c>
      <c r="P14" s="12">
        <v>531</v>
      </c>
      <c r="Q14" s="12">
        <v>482</v>
      </c>
      <c r="R14" s="12">
        <v>112</v>
      </c>
      <c r="S14" s="12">
        <v>264</v>
      </c>
      <c r="T14" s="12">
        <v>400</v>
      </c>
      <c r="U14" s="12">
        <v>140</v>
      </c>
      <c r="V14" s="12">
        <v>537</v>
      </c>
      <c r="W14" s="12">
        <v>134</v>
      </c>
      <c r="X14" s="12">
        <v>395</v>
      </c>
      <c r="Y14" s="12">
        <v>390</v>
      </c>
      <c r="Z14" s="12">
        <v>552</v>
      </c>
      <c r="AA14" s="12">
        <v>568</v>
      </c>
      <c r="AB14" s="12">
        <v>420</v>
      </c>
      <c r="AC14" s="12">
        <v>347</v>
      </c>
      <c r="AD14" s="12">
        <v>390</v>
      </c>
      <c r="AE14" s="12">
        <v>401</v>
      </c>
      <c r="AF14" s="12">
        <v>456</v>
      </c>
    </row>
    <row r="15" spans="1:32" x14ac:dyDescent="0.25">
      <c r="A15" s="19"/>
      <c r="B15" s="13" t="s">
        <v>329</v>
      </c>
      <c r="C15" s="14">
        <v>0.42</v>
      </c>
      <c r="D15" s="14">
        <v>0.41</v>
      </c>
      <c r="E15" s="14">
        <v>0.41</v>
      </c>
      <c r="F15" s="14">
        <v>0.47</v>
      </c>
      <c r="G15" s="14">
        <v>0.33</v>
      </c>
      <c r="H15" s="14">
        <v>0.43</v>
      </c>
      <c r="I15" s="14">
        <v>0.43</v>
      </c>
      <c r="J15" s="14">
        <v>0.42</v>
      </c>
      <c r="K15" s="14">
        <v>0.44</v>
      </c>
      <c r="L15" s="14">
        <v>0.35</v>
      </c>
      <c r="M15" s="14">
        <v>0.39</v>
      </c>
      <c r="N15" s="14">
        <v>0.28999999999999998</v>
      </c>
      <c r="O15" s="14">
        <v>0.42</v>
      </c>
      <c r="P15" s="14">
        <v>0.53</v>
      </c>
      <c r="Q15" s="14">
        <v>0.47</v>
      </c>
      <c r="R15" s="14">
        <v>0.22</v>
      </c>
      <c r="S15" s="14">
        <v>0.26</v>
      </c>
      <c r="T15" s="14">
        <v>0.39</v>
      </c>
      <c r="U15" s="14">
        <v>0.28000000000000003</v>
      </c>
      <c r="V15" s="14">
        <v>0.52</v>
      </c>
      <c r="W15" s="14">
        <v>0.26</v>
      </c>
      <c r="X15" s="14">
        <v>0.39</v>
      </c>
      <c r="Y15" s="14">
        <v>0.39</v>
      </c>
      <c r="Z15" s="14">
        <v>0.54</v>
      </c>
      <c r="AA15" s="14">
        <v>0.55000000000000004</v>
      </c>
      <c r="AB15" s="14">
        <v>0.4</v>
      </c>
      <c r="AC15" s="14">
        <v>0.34</v>
      </c>
      <c r="AD15" s="14">
        <v>0.39</v>
      </c>
      <c r="AE15" s="14">
        <v>0.4</v>
      </c>
      <c r="AF15" s="14">
        <v>0.44</v>
      </c>
    </row>
    <row r="16" spans="1:32" x14ac:dyDescent="0.25">
      <c r="A16" s="19"/>
      <c r="B16" s="11" t="s">
        <v>330</v>
      </c>
      <c r="C16" s="12">
        <v>2110</v>
      </c>
      <c r="D16" s="12">
        <v>75</v>
      </c>
      <c r="E16" s="12">
        <v>119</v>
      </c>
      <c r="F16" s="12">
        <v>197</v>
      </c>
      <c r="G16" s="12">
        <v>45</v>
      </c>
      <c r="H16" s="12">
        <v>79</v>
      </c>
      <c r="I16" s="12">
        <v>112</v>
      </c>
      <c r="J16" s="12">
        <v>33</v>
      </c>
      <c r="K16" s="12">
        <v>106</v>
      </c>
      <c r="L16" s="12">
        <v>43</v>
      </c>
      <c r="M16" s="12">
        <v>68</v>
      </c>
      <c r="N16" s="12">
        <v>46</v>
      </c>
      <c r="O16" s="12">
        <v>65</v>
      </c>
      <c r="P16" s="12">
        <v>95</v>
      </c>
      <c r="Q16" s="12">
        <v>77</v>
      </c>
      <c r="R16" s="12">
        <v>12</v>
      </c>
      <c r="S16" s="12">
        <v>40</v>
      </c>
      <c r="T16" s="12">
        <v>54</v>
      </c>
      <c r="U16" s="12">
        <v>21</v>
      </c>
      <c r="V16" s="12">
        <v>113</v>
      </c>
      <c r="W16" s="12">
        <v>21</v>
      </c>
      <c r="X16" s="12">
        <v>76</v>
      </c>
      <c r="Y16" s="12">
        <v>80</v>
      </c>
      <c r="Z16" s="12">
        <v>114</v>
      </c>
      <c r="AA16" s="12">
        <v>5</v>
      </c>
      <c r="AB16" s="12">
        <v>218</v>
      </c>
      <c r="AC16" s="12">
        <v>76</v>
      </c>
      <c r="AD16" s="12">
        <v>45</v>
      </c>
      <c r="AE16" s="12">
        <v>72</v>
      </c>
      <c r="AF16" s="12">
        <v>98</v>
      </c>
    </row>
    <row r="17" spans="1:32" x14ac:dyDescent="0.25">
      <c r="A17" s="19"/>
      <c r="B17" s="13" t="s">
        <v>331</v>
      </c>
      <c r="C17" s="14">
        <v>0.08</v>
      </c>
      <c r="D17" s="14">
        <v>7.0000000000000007E-2</v>
      </c>
      <c r="E17" s="14">
        <v>0.11</v>
      </c>
      <c r="F17" s="14">
        <v>0.18</v>
      </c>
      <c r="G17" s="14">
        <v>0.04</v>
      </c>
      <c r="H17" s="14">
        <v>0.06</v>
      </c>
      <c r="I17" s="14">
        <v>7.0000000000000007E-2</v>
      </c>
      <c r="J17" s="14">
        <v>0.11</v>
      </c>
      <c r="K17" s="14">
        <v>0.11</v>
      </c>
      <c r="L17" s="14">
        <v>0.04</v>
      </c>
      <c r="M17" s="14">
        <v>7.0000000000000007E-2</v>
      </c>
      <c r="N17" s="14">
        <v>0.05</v>
      </c>
      <c r="O17" s="14">
        <v>0.06</v>
      </c>
      <c r="P17" s="14">
        <v>0.1</v>
      </c>
      <c r="Q17" s="14">
        <v>0.08</v>
      </c>
      <c r="R17" s="14">
        <v>0.03</v>
      </c>
      <c r="S17" s="14">
        <v>0.04</v>
      </c>
      <c r="T17" s="14">
        <v>0.05</v>
      </c>
      <c r="U17" s="14">
        <v>0.04</v>
      </c>
      <c r="V17" s="14">
        <v>0.11</v>
      </c>
      <c r="W17" s="14">
        <v>0.04</v>
      </c>
      <c r="X17" s="14">
        <v>0.08</v>
      </c>
      <c r="Y17" s="14">
        <v>0.08</v>
      </c>
      <c r="Z17" s="14">
        <v>0.11</v>
      </c>
      <c r="AA17" s="15" t="s">
        <v>213</v>
      </c>
      <c r="AB17" s="14">
        <v>0.21</v>
      </c>
      <c r="AC17" s="14">
        <v>0.08</v>
      </c>
      <c r="AD17" s="14">
        <v>0.04</v>
      </c>
      <c r="AE17" s="14">
        <v>7.0000000000000007E-2</v>
      </c>
      <c r="AF17" s="14">
        <v>0.09</v>
      </c>
    </row>
    <row r="18" spans="1:32" x14ac:dyDescent="0.25">
      <c r="A18" s="19"/>
      <c r="B18" s="11" t="s">
        <v>332</v>
      </c>
      <c r="C18" s="12">
        <v>620</v>
      </c>
      <c r="D18" s="12">
        <v>27</v>
      </c>
      <c r="E18" s="12">
        <v>43</v>
      </c>
      <c r="F18" s="12">
        <v>32</v>
      </c>
      <c r="G18" s="12">
        <v>19</v>
      </c>
      <c r="H18" s="12">
        <v>19</v>
      </c>
      <c r="I18" s="12">
        <v>32</v>
      </c>
      <c r="J18" s="12">
        <v>13</v>
      </c>
      <c r="K18" s="12">
        <v>47</v>
      </c>
      <c r="L18" s="12">
        <v>16</v>
      </c>
      <c r="M18" s="12">
        <v>13</v>
      </c>
      <c r="N18" s="12">
        <v>18</v>
      </c>
      <c r="O18" s="12">
        <v>26</v>
      </c>
      <c r="P18" s="12">
        <v>25</v>
      </c>
      <c r="Q18" s="12">
        <v>14</v>
      </c>
      <c r="R18" s="12">
        <v>4</v>
      </c>
      <c r="S18" s="12">
        <v>25</v>
      </c>
      <c r="T18" s="12">
        <v>9</v>
      </c>
      <c r="U18" s="12">
        <v>3</v>
      </c>
      <c r="V18" s="12">
        <v>45</v>
      </c>
      <c r="W18" s="12">
        <v>5</v>
      </c>
      <c r="X18" s="12">
        <v>27</v>
      </c>
      <c r="Y18" s="12">
        <v>58</v>
      </c>
      <c r="Z18" s="12">
        <v>19</v>
      </c>
      <c r="AA18" s="12">
        <v>1</v>
      </c>
      <c r="AB18" s="12">
        <v>61</v>
      </c>
      <c r="AC18" s="12">
        <v>20</v>
      </c>
      <c r="AD18" s="12">
        <v>25</v>
      </c>
      <c r="AE18" s="12">
        <v>26</v>
      </c>
      <c r="AF18" s="12">
        <v>28</v>
      </c>
    </row>
    <row r="19" spans="1:32" x14ac:dyDescent="0.25">
      <c r="A19" s="19"/>
      <c r="B19" s="13" t="s">
        <v>333</v>
      </c>
      <c r="C19" s="14">
        <v>0.03</v>
      </c>
      <c r="D19" s="14">
        <v>0.03</v>
      </c>
      <c r="E19" s="14">
        <v>0.04</v>
      </c>
      <c r="F19" s="14">
        <v>0.03</v>
      </c>
      <c r="G19" s="14">
        <v>0.02</v>
      </c>
      <c r="H19" s="14">
        <v>0.02</v>
      </c>
      <c r="I19" s="14">
        <v>0.02</v>
      </c>
      <c r="J19" s="14">
        <v>0.04</v>
      </c>
      <c r="K19" s="14">
        <v>0.05</v>
      </c>
      <c r="L19" s="14">
        <v>0.02</v>
      </c>
      <c r="M19" s="14">
        <v>0.01</v>
      </c>
      <c r="N19" s="14">
        <v>0.02</v>
      </c>
      <c r="O19" s="14">
        <v>0.03</v>
      </c>
      <c r="P19" s="14">
        <v>0.02</v>
      </c>
      <c r="Q19" s="14">
        <v>0.01</v>
      </c>
      <c r="R19" s="14">
        <v>0.01</v>
      </c>
      <c r="S19" s="14">
        <v>0.03</v>
      </c>
      <c r="T19" s="14">
        <v>0.01</v>
      </c>
      <c r="U19" s="14">
        <v>0.01</v>
      </c>
      <c r="V19" s="14">
        <v>0.04</v>
      </c>
      <c r="W19" s="14">
        <v>0.01</v>
      </c>
      <c r="X19" s="14">
        <v>0.03</v>
      </c>
      <c r="Y19" s="14">
        <v>0.06</v>
      </c>
      <c r="Z19" s="14">
        <v>0.02</v>
      </c>
      <c r="AA19" s="15" t="s">
        <v>213</v>
      </c>
      <c r="AB19" s="14">
        <v>0.06</v>
      </c>
      <c r="AC19" s="14">
        <v>0.02</v>
      </c>
      <c r="AD19" s="14">
        <v>0.03</v>
      </c>
      <c r="AE19" s="14">
        <v>0.03</v>
      </c>
      <c r="AF19" s="14">
        <v>0.03</v>
      </c>
    </row>
    <row r="20" spans="1:32" x14ac:dyDescent="0.25">
      <c r="A20" s="19"/>
      <c r="B20" s="11" t="s">
        <v>224</v>
      </c>
      <c r="C20" s="12">
        <v>843</v>
      </c>
      <c r="D20" s="12">
        <v>12</v>
      </c>
      <c r="E20" s="12">
        <v>67</v>
      </c>
      <c r="F20" s="12">
        <v>27</v>
      </c>
      <c r="G20" s="12">
        <v>21</v>
      </c>
      <c r="H20" s="12">
        <v>28</v>
      </c>
      <c r="I20" s="12">
        <v>34</v>
      </c>
      <c r="J20" s="12">
        <v>5</v>
      </c>
      <c r="K20" s="12">
        <v>61</v>
      </c>
      <c r="L20" s="12">
        <v>43</v>
      </c>
      <c r="M20" s="12">
        <v>19</v>
      </c>
      <c r="N20" s="12">
        <v>32</v>
      </c>
      <c r="O20" s="12">
        <v>56</v>
      </c>
      <c r="P20" s="12">
        <v>17</v>
      </c>
      <c r="Q20" s="12">
        <v>25</v>
      </c>
      <c r="R20" s="12">
        <v>10</v>
      </c>
      <c r="S20" s="12">
        <v>44</v>
      </c>
      <c r="T20" s="12">
        <v>38</v>
      </c>
      <c r="U20" s="12">
        <v>7</v>
      </c>
      <c r="V20" s="12">
        <v>17</v>
      </c>
      <c r="W20" s="12">
        <v>3</v>
      </c>
      <c r="X20" s="12">
        <v>14</v>
      </c>
      <c r="Y20" s="12">
        <v>21</v>
      </c>
      <c r="Z20" s="12">
        <v>45</v>
      </c>
      <c r="AA20" s="12">
        <v>56</v>
      </c>
      <c r="AB20" s="12">
        <v>41</v>
      </c>
      <c r="AC20" s="12">
        <v>17</v>
      </c>
      <c r="AD20" s="12">
        <v>10</v>
      </c>
      <c r="AE20" s="12">
        <v>25</v>
      </c>
      <c r="AF20" s="12">
        <v>20</v>
      </c>
    </row>
    <row r="21" spans="1:32" x14ac:dyDescent="0.25">
      <c r="A21" s="19"/>
      <c r="B21" s="13" t="s">
        <v>237</v>
      </c>
      <c r="C21" s="14">
        <v>0.03</v>
      </c>
      <c r="D21" s="14">
        <v>0.01</v>
      </c>
      <c r="E21" s="14">
        <v>7.0000000000000007E-2</v>
      </c>
      <c r="F21" s="14">
        <v>0.03</v>
      </c>
      <c r="G21" s="14">
        <v>0.02</v>
      </c>
      <c r="H21" s="14">
        <v>0.02</v>
      </c>
      <c r="I21" s="14">
        <v>0.02</v>
      </c>
      <c r="J21" s="14">
        <v>0.02</v>
      </c>
      <c r="K21" s="14">
        <v>0.06</v>
      </c>
      <c r="L21" s="14">
        <v>0.04</v>
      </c>
      <c r="M21" s="14">
        <v>0.02</v>
      </c>
      <c r="N21" s="14">
        <v>0.03</v>
      </c>
      <c r="O21" s="14">
        <v>0.06</v>
      </c>
      <c r="P21" s="14">
        <v>0.02</v>
      </c>
      <c r="Q21" s="14">
        <v>0.02</v>
      </c>
      <c r="R21" s="14">
        <v>0.02</v>
      </c>
      <c r="S21" s="14">
        <v>0.04</v>
      </c>
      <c r="T21" s="14">
        <v>0.04</v>
      </c>
      <c r="U21" s="14">
        <v>0.01</v>
      </c>
      <c r="V21" s="14">
        <v>0.02</v>
      </c>
      <c r="W21" s="14">
        <v>0.01</v>
      </c>
      <c r="X21" s="14">
        <v>0.01</v>
      </c>
      <c r="Y21" s="14">
        <v>0.02</v>
      </c>
      <c r="Z21" s="14">
        <v>0.05</v>
      </c>
      <c r="AA21" s="14">
        <v>0.06</v>
      </c>
      <c r="AB21" s="14">
        <v>0.04</v>
      </c>
      <c r="AC21" s="14">
        <v>0.02</v>
      </c>
      <c r="AD21" s="14">
        <v>0.01</v>
      </c>
      <c r="AE21" s="14">
        <v>0.02</v>
      </c>
      <c r="AF21" s="14">
        <v>0.02</v>
      </c>
    </row>
    <row r="22" spans="1:32" x14ac:dyDescent="0.25">
      <c r="A22" s="19"/>
      <c r="B22" s="11" t="s">
        <v>334</v>
      </c>
      <c r="C22" s="12">
        <v>22879</v>
      </c>
      <c r="D22" s="12">
        <v>906</v>
      </c>
      <c r="E22" s="12">
        <v>817</v>
      </c>
      <c r="F22" s="12">
        <v>808</v>
      </c>
      <c r="G22" s="12">
        <v>931</v>
      </c>
      <c r="H22" s="12">
        <v>1104</v>
      </c>
      <c r="I22" s="12">
        <v>1349</v>
      </c>
      <c r="J22" s="12">
        <v>246</v>
      </c>
      <c r="K22" s="12">
        <v>793</v>
      </c>
      <c r="L22" s="12">
        <v>904</v>
      </c>
      <c r="M22" s="12">
        <v>907</v>
      </c>
      <c r="N22" s="12">
        <v>915</v>
      </c>
      <c r="O22" s="12">
        <v>856</v>
      </c>
      <c r="P22" s="12">
        <v>866</v>
      </c>
      <c r="Q22" s="12">
        <v>915</v>
      </c>
      <c r="R22" s="12">
        <v>474</v>
      </c>
      <c r="S22" s="12">
        <v>895</v>
      </c>
      <c r="T22" s="12">
        <v>922</v>
      </c>
      <c r="U22" s="12">
        <v>477</v>
      </c>
      <c r="V22" s="12">
        <v>851</v>
      </c>
      <c r="W22" s="12">
        <v>474</v>
      </c>
      <c r="X22" s="12">
        <v>893</v>
      </c>
      <c r="Y22" s="12">
        <v>844</v>
      </c>
      <c r="Z22" s="12">
        <v>839</v>
      </c>
      <c r="AA22" s="12">
        <v>976</v>
      </c>
      <c r="AB22" s="12">
        <v>721</v>
      </c>
      <c r="AC22" s="12">
        <v>892</v>
      </c>
      <c r="AD22" s="12">
        <v>924</v>
      </c>
      <c r="AE22" s="12">
        <v>877</v>
      </c>
      <c r="AF22" s="12">
        <v>885</v>
      </c>
    </row>
    <row r="23" spans="1:32" x14ac:dyDescent="0.25">
      <c r="A23" s="19"/>
      <c r="B23" s="13" t="s">
        <v>335</v>
      </c>
      <c r="C23" s="14">
        <v>0.86</v>
      </c>
      <c r="D23" s="14">
        <v>0.89</v>
      </c>
      <c r="E23" s="14">
        <v>0.78</v>
      </c>
      <c r="F23" s="14">
        <v>0.76</v>
      </c>
      <c r="G23" s="14">
        <v>0.92</v>
      </c>
      <c r="H23" s="14">
        <v>0.9</v>
      </c>
      <c r="I23" s="14">
        <v>0.89</v>
      </c>
      <c r="J23" s="14">
        <v>0.83000000000000007</v>
      </c>
      <c r="K23" s="14">
        <v>0.78</v>
      </c>
      <c r="L23" s="14">
        <v>0.9</v>
      </c>
      <c r="M23" s="14">
        <v>0.9</v>
      </c>
      <c r="N23" s="14">
        <v>0.9</v>
      </c>
      <c r="O23" s="14">
        <v>0.85</v>
      </c>
      <c r="P23" s="14">
        <v>0.86</v>
      </c>
      <c r="Q23" s="14">
        <v>0.89</v>
      </c>
      <c r="R23" s="14">
        <v>0.94000000000000006</v>
      </c>
      <c r="S23" s="14">
        <v>0.89</v>
      </c>
      <c r="T23" s="14">
        <v>0.9</v>
      </c>
      <c r="U23" s="14">
        <v>0.94000000000000006</v>
      </c>
      <c r="V23" s="14">
        <v>0.83000000000000007</v>
      </c>
      <c r="W23" s="14">
        <v>0.94000000000000006</v>
      </c>
      <c r="X23" s="14">
        <v>0.88</v>
      </c>
      <c r="Y23" s="14">
        <v>0.84</v>
      </c>
      <c r="Z23" s="14">
        <v>0.82000000000000006</v>
      </c>
      <c r="AA23" s="14">
        <v>0.94000000000000006</v>
      </c>
      <c r="AB23" s="14">
        <v>0.69000000000000006</v>
      </c>
      <c r="AC23" s="14">
        <v>0.88</v>
      </c>
      <c r="AD23" s="14">
        <v>0.92</v>
      </c>
      <c r="AE23" s="14">
        <v>0.88</v>
      </c>
      <c r="AF23" s="14">
        <v>0.86</v>
      </c>
    </row>
    <row r="24" spans="1:32" x14ac:dyDescent="0.25">
      <c r="A24" s="19"/>
      <c r="B24" s="11" t="s">
        <v>336</v>
      </c>
      <c r="C24" s="12">
        <v>2730</v>
      </c>
      <c r="D24" s="12">
        <v>102</v>
      </c>
      <c r="E24" s="12">
        <v>162</v>
      </c>
      <c r="F24" s="12">
        <v>229</v>
      </c>
      <c r="G24" s="12">
        <v>64</v>
      </c>
      <c r="H24" s="12">
        <v>98</v>
      </c>
      <c r="I24" s="12">
        <v>144</v>
      </c>
      <c r="J24" s="12">
        <v>46</v>
      </c>
      <c r="K24" s="12">
        <v>153</v>
      </c>
      <c r="L24" s="12">
        <v>59</v>
      </c>
      <c r="M24" s="12">
        <v>81</v>
      </c>
      <c r="N24" s="12">
        <v>64</v>
      </c>
      <c r="O24" s="12">
        <v>91</v>
      </c>
      <c r="P24" s="12">
        <v>120</v>
      </c>
      <c r="Q24" s="12">
        <v>91</v>
      </c>
      <c r="R24" s="12">
        <v>16</v>
      </c>
      <c r="S24" s="12">
        <v>65</v>
      </c>
      <c r="T24" s="12">
        <v>63</v>
      </c>
      <c r="U24" s="12">
        <v>24</v>
      </c>
      <c r="V24" s="12">
        <v>158</v>
      </c>
      <c r="W24" s="12">
        <v>26</v>
      </c>
      <c r="X24" s="12">
        <v>103</v>
      </c>
      <c r="Y24" s="12">
        <v>138</v>
      </c>
      <c r="Z24" s="12">
        <v>133</v>
      </c>
      <c r="AA24" s="12">
        <v>6</v>
      </c>
      <c r="AB24" s="12">
        <v>279</v>
      </c>
      <c r="AC24" s="12">
        <v>96</v>
      </c>
      <c r="AD24" s="12">
        <v>70</v>
      </c>
      <c r="AE24" s="12">
        <v>98</v>
      </c>
      <c r="AF24" s="12">
        <v>126</v>
      </c>
    </row>
    <row r="25" spans="1:32" x14ac:dyDescent="0.25">
      <c r="A25" s="19"/>
      <c r="B25" s="13" t="s">
        <v>337</v>
      </c>
      <c r="C25" s="14">
        <v>0.11</v>
      </c>
      <c r="D25" s="14">
        <v>0.1</v>
      </c>
      <c r="E25" s="14">
        <v>0.15</v>
      </c>
      <c r="F25" s="14">
        <v>0.21</v>
      </c>
      <c r="G25" s="14">
        <v>0.06</v>
      </c>
      <c r="H25" s="14">
        <v>0.08</v>
      </c>
      <c r="I25" s="14">
        <v>0.09</v>
      </c>
      <c r="J25" s="14">
        <v>0.15</v>
      </c>
      <c r="K25" s="14">
        <v>0.16</v>
      </c>
      <c r="L25" s="14">
        <v>0.06</v>
      </c>
      <c r="M25" s="14">
        <v>0.08</v>
      </c>
      <c r="N25" s="14">
        <v>7.0000000000000007E-2</v>
      </c>
      <c r="O25" s="14">
        <v>0.09</v>
      </c>
      <c r="P25" s="14">
        <v>0.12</v>
      </c>
      <c r="Q25" s="14">
        <v>0.09</v>
      </c>
      <c r="R25" s="14">
        <v>0.04</v>
      </c>
      <c r="S25" s="14">
        <v>7.0000000000000007E-2</v>
      </c>
      <c r="T25" s="14">
        <v>0.06</v>
      </c>
      <c r="U25" s="14">
        <v>0.05</v>
      </c>
      <c r="V25" s="14">
        <v>0.15</v>
      </c>
      <c r="W25" s="14">
        <v>0.05</v>
      </c>
      <c r="X25" s="14">
        <v>0.11</v>
      </c>
      <c r="Y25" s="14">
        <v>0.14000000000000001</v>
      </c>
      <c r="Z25" s="14">
        <v>0.13</v>
      </c>
      <c r="AA25" s="15" t="s">
        <v>213</v>
      </c>
      <c r="AB25" s="14">
        <v>0.27</v>
      </c>
      <c r="AC25" s="14">
        <v>0.1</v>
      </c>
      <c r="AD25" s="14">
        <v>7.0000000000000007E-2</v>
      </c>
      <c r="AE25" s="14">
        <v>0.1</v>
      </c>
      <c r="AF25" s="14">
        <v>0.12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5"/>
  <sheetViews>
    <sheetView workbookViewId="0">
      <pane xSplit="3" ySplit="9" topLeftCell="D10" activePane="bottomRight" state="frozen"/>
      <selection pane="topRight"/>
      <selection pane="bottomLeft"/>
      <selection pane="bottomRight" activeCell="B3" sqref="B3:F3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839</v>
      </c>
      <c r="C3" s="18"/>
      <c r="D3" s="18"/>
      <c r="E3" s="18"/>
      <c r="F3" s="18"/>
      <c r="H3" s="18" t="s">
        <v>40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45.75" x14ac:dyDescent="0.25">
      <c r="A12" s="19"/>
      <c r="B12" s="11" t="s">
        <v>346</v>
      </c>
      <c r="C12" s="12">
        <v>2515</v>
      </c>
      <c r="D12" s="12">
        <v>107</v>
      </c>
      <c r="E12" s="12">
        <v>130</v>
      </c>
      <c r="F12" s="12">
        <v>169</v>
      </c>
      <c r="G12" s="12">
        <v>108</v>
      </c>
      <c r="H12" s="12">
        <v>101</v>
      </c>
      <c r="I12" s="12">
        <v>128</v>
      </c>
      <c r="J12" s="12">
        <v>27</v>
      </c>
      <c r="K12" s="12">
        <v>101</v>
      </c>
      <c r="L12" s="12">
        <v>91</v>
      </c>
      <c r="M12" s="12">
        <v>78</v>
      </c>
      <c r="N12" s="12">
        <v>78</v>
      </c>
      <c r="O12" s="12">
        <v>90</v>
      </c>
      <c r="P12" s="12">
        <v>102</v>
      </c>
      <c r="Q12" s="12">
        <v>116</v>
      </c>
      <c r="R12" s="12">
        <v>38</v>
      </c>
      <c r="S12" s="12">
        <v>93</v>
      </c>
      <c r="T12" s="12">
        <v>69</v>
      </c>
      <c r="U12" s="12">
        <v>49</v>
      </c>
      <c r="V12" s="12">
        <v>110</v>
      </c>
      <c r="W12" s="12">
        <v>37</v>
      </c>
      <c r="X12" s="12">
        <v>103</v>
      </c>
      <c r="Y12" s="12">
        <v>73</v>
      </c>
      <c r="Z12" s="12">
        <v>96</v>
      </c>
      <c r="AA12" s="12">
        <v>104</v>
      </c>
      <c r="AB12" s="12">
        <v>95</v>
      </c>
      <c r="AC12" s="12">
        <v>128</v>
      </c>
      <c r="AD12" s="12">
        <v>140</v>
      </c>
      <c r="AE12" s="12">
        <v>115</v>
      </c>
      <c r="AF12" s="12">
        <v>94</v>
      </c>
    </row>
    <row r="13" spans="1:32" ht="34.5" x14ac:dyDescent="0.25">
      <c r="A13" s="19"/>
      <c r="B13" s="13" t="s">
        <v>347</v>
      </c>
      <c r="C13" s="14">
        <v>0.1</v>
      </c>
      <c r="D13" s="14">
        <v>0.11</v>
      </c>
      <c r="E13" s="14">
        <v>0.12</v>
      </c>
      <c r="F13" s="14">
        <v>0.16</v>
      </c>
      <c r="G13" s="14">
        <v>0.11</v>
      </c>
      <c r="H13" s="14">
        <v>0.08</v>
      </c>
      <c r="I13" s="14">
        <v>0.08</v>
      </c>
      <c r="J13" s="14">
        <v>0.09</v>
      </c>
      <c r="K13" s="14">
        <v>0.1</v>
      </c>
      <c r="L13" s="14">
        <v>0.09</v>
      </c>
      <c r="M13" s="14">
        <v>0.08</v>
      </c>
      <c r="N13" s="14">
        <v>0.08</v>
      </c>
      <c r="O13" s="14">
        <v>0.09</v>
      </c>
      <c r="P13" s="14">
        <v>0.1</v>
      </c>
      <c r="Q13" s="14">
        <v>0.11</v>
      </c>
      <c r="R13" s="14">
        <v>7.0000000000000007E-2</v>
      </c>
      <c r="S13" s="14">
        <v>0.09</v>
      </c>
      <c r="T13" s="14">
        <v>7.0000000000000007E-2</v>
      </c>
      <c r="U13" s="14">
        <v>0.1</v>
      </c>
      <c r="V13" s="14">
        <v>0.11</v>
      </c>
      <c r="W13" s="14">
        <v>7.0000000000000007E-2</v>
      </c>
      <c r="X13" s="14">
        <v>0.1</v>
      </c>
      <c r="Y13" s="14">
        <v>7.0000000000000007E-2</v>
      </c>
      <c r="Z13" s="14">
        <v>0.09</v>
      </c>
      <c r="AA13" s="14">
        <v>0.1</v>
      </c>
      <c r="AB13" s="14">
        <v>0.09</v>
      </c>
      <c r="AC13" s="14">
        <v>0.13</v>
      </c>
      <c r="AD13" s="14">
        <v>0.14000000000000001</v>
      </c>
      <c r="AE13" s="14">
        <v>0.11</v>
      </c>
      <c r="AF13" s="14">
        <v>0.09</v>
      </c>
    </row>
    <row r="14" spans="1:32" x14ac:dyDescent="0.25">
      <c r="A14" s="19"/>
      <c r="B14" s="11" t="s">
        <v>348</v>
      </c>
      <c r="C14" s="12">
        <v>5252</v>
      </c>
      <c r="D14" s="12">
        <v>201</v>
      </c>
      <c r="E14" s="12">
        <v>91</v>
      </c>
      <c r="F14" s="12">
        <v>192</v>
      </c>
      <c r="G14" s="12">
        <v>240</v>
      </c>
      <c r="H14" s="12">
        <v>277</v>
      </c>
      <c r="I14" s="12">
        <v>334</v>
      </c>
      <c r="J14" s="12">
        <v>57</v>
      </c>
      <c r="K14" s="12">
        <v>164</v>
      </c>
      <c r="L14" s="12">
        <v>152</v>
      </c>
      <c r="M14" s="12">
        <v>150</v>
      </c>
      <c r="N14" s="12">
        <v>109</v>
      </c>
      <c r="O14" s="12">
        <v>221</v>
      </c>
      <c r="P14" s="12">
        <v>133</v>
      </c>
      <c r="Q14" s="12">
        <v>236</v>
      </c>
      <c r="R14" s="12">
        <v>107</v>
      </c>
      <c r="S14" s="12">
        <v>245</v>
      </c>
      <c r="T14" s="12">
        <v>334</v>
      </c>
      <c r="U14" s="12">
        <v>109</v>
      </c>
      <c r="V14" s="12">
        <v>155</v>
      </c>
      <c r="W14" s="12">
        <v>76</v>
      </c>
      <c r="X14" s="12">
        <v>252</v>
      </c>
      <c r="Y14" s="12">
        <v>152</v>
      </c>
      <c r="Z14" s="12">
        <v>302</v>
      </c>
      <c r="AA14" s="12">
        <v>121</v>
      </c>
      <c r="AB14" s="12">
        <v>150</v>
      </c>
      <c r="AC14" s="12">
        <v>116</v>
      </c>
      <c r="AD14" s="12">
        <v>120</v>
      </c>
      <c r="AE14" s="12">
        <v>242</v>
      </c>
      <c r="AF14" s="12">
        <v>154</v>
      </c>
    </row>
    <row r="15" spans="1:32" x14ac:dyDescent="0.25">
      <c r="A15" s="19"/>
      <c r="B15" s="13" t="s">
        <v>349</v>
      </c>
      <c r="C15" s="14">
        <v>0.2</v>
      </c>
      <c r="D15" s="14">
        <v>0.2</v>
      </c>
      <c r="E15" s="14">
        <v>0.09</v>
      </c>
      <c r="F15" s="14">
        <v>0.18</v>
      </c>
      <c r="G15" s="14">
        <v>0.24</v>
      </c>
      <c r="H15" s="14">
        <v>0.23</v>
      </c>
      <c r="I15" s="14">
        <v>0.22</v>
      </c>
      <c r="J15" s="14">
        <v>0.19</v>
      </c>
      <c r="K15" s="14">
        <v>0.16</v>
      </c>
      <c r="L15" s="14">
        <v>0.15</v>
      </c>
      <c r="M15" s="14">
        <v>0.15</v>
      </c>
      <c r="N15" s="14">
        <v>0.11</v>
      </c>
      <c r="O15" s="14">
        <v>0.22</v>
      </c>
      <c r="P15" s="14">
        <v>0.13</v>
      </c>
      <c r="Q15" s="14">
        <v>0.23</v>
      </c>
      <c r="R15" s="14">
        <v>0.21</v>
      </c>
      <c r="S15" s="14">
        <v>0.24</v>
      </c>
      <c r="T15" s="14">
        <v>0.33</v>
      </c>
      <c r="U15" s="14">
        <v>0.21</v>
      </c>
      <c r="V15" s="14">
        <v>0.15</v>
      </c>
      <c r="W15" s="14">
        <v>0.15</v>
      </c>
      <c r="X15" s="14">
        <v>0.25</v>
      </c>
      <c r="Y15" s="14">
        <v>0.15</v>
      </c>
      <c r="Z15" s="14">
        <v>0.3</v>
      </c>
      <c r="AA15" s="14">
        <v>0.12</v>
      </c>
      <c r="AB15" s="14">
        <v>0.14000000000000001</v>
      </c>
      <c r="AC15" s="14">
        <v>0.11</v>
      </c>
      <c r="AD15" s="14">
        <v>0.12</v>
      </c>
      <c r="AE15" s="14">
        <v>0.24</v>
      </c>
      <c r="AF15" s="14">
        <v>0.15</v>
      </c>
    </row>
    <row r="16" spans="1:32" ht="34.5" x14ac:dyDescent="0.25">
      <c r="A16" s="19"/>
      <c r="B16" s="11" t="s">
        <v>350</v>
      </c>
      <c r="C16" s="12">
        <v>1570</v>
      </c>
      <c r="D16" s="12">
        <v>52</v>
      </c>
      <c r="E16" s="12">
        <v>104</v>
      </c>
      <c r="F16" s="12">
        <v>74</v>
      </c>
      <c r="G16" s="12">
        <v>61</v>
      </c>
      <c r="H16" s="12">
        <v>83</v>
      </c>
      <c r="I16" s="12">
        <v>98</v>
      </c>
      <c r="J16" s="12">
        <v>15</v>
      </c>
      <c r="K16" s="12">
        <v>72</v>
      </c>
      <c r="L16" s="12">
        <v>47</v>
      </c>
      <c r="M16" s="12">
        <v>64</v>
      </c>
      <c r="N16" s="12">
        <v>45</v>
      </c>
      <c r="O16" s="12">
        <v>64</v>
      </c>
      <c r="P16" s="12">
        <v>53</v>
      </c>
      <c r="Q16" s="12">
        <v>65</v>
      </c>
      <c r="R16" s="12">
        <v>33</v>
      </c>
      <c r="S16" s="12">
        <v>100</v>
      </c>
      <c r="T16" s="12">
        <v>100</v>
      </c>
      <c r="U16" s="12">
        <v>50</v>
      </c>
      <c r="V16" s="12">
        <v>58</v>
      </c>
      <c r="W16" s="12">
        <v>18</v>
      </c>
      <c r="X16" s="12">
        <v>42</v>
      </c>
      <c r="Y16" s="12">
        <v>44</v>
      </c>
      <c r="Z16" s="12">
        <v>59</v>
      </c>
      <c r="AA16" s="12">
        <v>17</v>
      </c>
      <c r="AB16" s="12">
        <v>74</v>
      </c>
      <c r="AC16" s="12">
        <v>77</v>
      </c>
      <c r="AD16" s="12">
        <v>76</v>
      </c>
      <c r="AE16" s="12">
        <v>85</v>
      </c>
      <c r="AF16" s="12">
        <v>50</v>
      </c>
    </row>
    <row r="17" spans="1:32" ht="23.25" x14ac:dyDescent="0.25">
      <c r="A17" s="19"/>
      <c r="B17" s="13" t="s">
        <v>351</v>
      </c>
      <c r="C17" s="14">
        <v>0.06</v>
      </c>
      <c r="D17" s="14">
        <v>0.05</v>
      </c>
      <c r="E17" s="14">
        <v>0.1</v>
      </c>
      <c r="F17" s="14">
        <v>7.0000000000000007E-2</v>
      </c>
      <c r="G17" s="14">
        <v>0.06</v>
      </c>
      <c r="H17" s="14">
        <v>7.0000000000000007E-2</v>
      </c>
      <c r="I17" s="14">
        <v>0.06</v>
      </c>
      <c r="J17" s="14">
        <v>0.05</v>
      </c>
      <c r="K17" s="14">
        <v>7.0000000000000007E-2</v>
      </c>
      <c r="L17" s="14">
        <v>0.05</v>
      </c>
      <c r="M17" s="14">
        <v>0.06</v>
      </c>
      <c r="N17" s="14">
        <v>0.04</v>
      </c>
      <c r="O17" s="14">
        <v>0.06</v>
      </c>
      <c r="P17" s="14">
        <v>0.05</v>
      </c>
      <c r="Q17" s="14">
        <v>0.06</v>
      </c>
      <c r="R17" s="14">
        <v>7.0000000000000007E-2</v>
      </c>
      <c r="S17" s="14">
        <v>0.1</v>
      </c>
      <c r="T17" s="14">
        <v>0.1</v>
      </c>
      <c r="U17" s="14">
        <v>0.1</v>
      </c>
      <c r="V17" s="14">
        <v>0.06</v>
      </c>
      <c r="W17" s="14">
        <v>0.04</v>
      </c>
      <c r="X17" s="14">
        <v>0.04</v>
      </c>
      <c r="Y17" s="14">
        <v>0.04</v>
      </c>
      <c r="Z17" s="14">
        <v>0.06</v>
      </c>
      <c r="AA17" s="14">
        <v>0.02</v>
      </c>
      <c r="AB17" s="14">
        <v>7.0000000000000007E-2</v>
      </c>
      <c r="AC17" s="14">
        <v>0.08</v>
      </c>
      <c r="AD17" s="14">
        <v>7.0000000000000007E-2</v>
      </c>
      <c r="AE17" s="14">
        <v>0.09</v>
      </c>
      <c r="AF17" s="14">
        <v>0.05</v>
      </c>
    </row>
    <row r="18" spans="1:32" ht="34.5" x14ac:dyDescent="0.25">
      <c r="A18" s="19"/>
      <c r="B18" s="11" t="s">
        <v>352</v>
      </c>
      <c r="C18" s="12">
        <v>592</v>
      </c>
      <c r="D18" s="12">
        <v>23</v>
      </c>
      <c r="E18" s="12">
        <v>37</v>
      </c>
      <c r="F18" s="12">
        <v>31</v>
      </c>
      <c r="G18" s="12">
        <v>20</v>
      </c>
      <c r="H18" s="12">
        <v>31</v>
      </c>
      <c r="I18" s="12">
        <v>35</v>
      </c>
      <c r="J18" s="12">
        <v>4</v>
      </c>
      <c r="K18" s="12">
        <v>40</v>
      </c>
      <c r="L18" s="12">
        <v>22</v>
      </c>
      <c r="M18" s="12">
        <v>19</v>
      </c>
      <c r="N18" s="12">
        <v>16</v>
      </c>
      <c r="O18" s="12">
        <v>15</v>
      </c>
      <c r="P18" s="12">
        <v>32</v>
      </c>
      <c r="Q18" s="12">
        <v>26</v>
      </c>
      <c r="R18" s="12">
        <v>5</v>
      </c>
      <c r="S18" s="12">
        <v>43</v>
      </c>
      <c r="T18" s="12">
        <v>60</v>
      </c>
      <c r="U18" s="12">
        <v>21</v>
      </c>
      <c r="V18" s="12">
        <v>33</v>
      </c>
      <c r="W18" s="12">
        <v>15</v>
      </c>
      <c r="X18" s="12">
        <v>10</v>
      </c>
      <c r="Y18" s="12">
        <v>25</v>
      </c>
      <c r="Z18" s="12">
        <v>30</v>
      </c>
      <c r="AA18" s="12">
        <v>17</v>
      </c>
      <c r="AB18" s="12">
        <v>36</v>
      </c>
      <c r="AC18" s="12">
        <v>36</v>
      </c>
      <c r="AD18" s="12">
        <v>41</v>
      </c>
      <c r="AE18" s="12">
        <v>14</v>
      </c>
      <c r="AF18" s="12">
        <v>12</v>
      </c>
    </row>
    <row r="19" spans="1:32" ht="23.25" x14ac:dyDescent="0.25">
      <c r="A19" s="19"/>
      <c r="B19" s="13" t="s">
        <v>353</v>
      </c>
      <c r="C19" s="14">
        <v>0.02</v>
      </c>
      <c r="D19" s="14">
        <v>0.02</v>
      </c>
      <c r="E19" s="14">
        <v>0.04</v>
      </c>
      <c r="F19" s="14">
        <v>0.03</v>
      </c>
      <c r="G19" s="14">
        <v>0.02</v>
      </c>
      <c r="H19" s="14">
        <v>0.02</v>
      </c>
      <c r="I19" s="14">
        <v>0.02</v>
      </c>
      <c r="J19" s="14">
        <v>0.02</v>
      </c>
      <c r="K19" s="14">
        <v>0.04</v>
      </c>
      <c r="L19" s="14">
        <v>0.02</v>
      </c>
      <c r="M19" s="14">
        <v>0.02</v>
      </c>
      <c r="N19" s="14">
        <v>0.02</v>
      </c>
      <c r="O19" s="14">
        <v>0.02</v>
      </c>
      <c r="P19" s="14">
        <v>0.03</v>
      </c>
      <c r="Q19" s="14">
        <v>0.03</v>
      </c>
      <c r="R19" s="14">
        <v>0.01</v>
      </c>
      <c r="S19" s="14">
        <v>0.04</v>
      </c>
      <c r="T19" s="14">
        <v>0.06</v>
      </c>
      <c r="U19" s="14">
        <v>0.04</v>
      </c>
      <c r="V19" s="14">
        <v>0.03</v>
      </c>
      <c r="W19" s="14">
        <v>0.03</v>
      </c>
      <c r="X19" s="14">
        <v>0.01</v>
      </c>
      <c r="Y19" s="14">
        <v>0.02</v>
      </c>
      <c r="Z19" s="14">
        <v>0.03</v>
      </c>
      <c r="AA19" s="14">
        <v>0.02</v>
      </c>
      <c r="AB19" s="14">
        <v>0.04</v>
      </c>
      <c r="AC19" s="14">
        <v>0.04</v>
      </c>
      <c r="AD19" s="14">
        <v>0.04</v>
      </c>
      <c r="AE19" s="14">
        <v>0.01</v>
      </c>
      <c r="AF19" s="14">
        <v>0.01</v>
      </c>
    </row>
    <row r="20" spans="1:32" ht="34.5" x14ac:dyDescent="0.25">
      <c r="A20" s="19"/>
      <c r="B20" s="11" t="s">
        <v>354</v>
      </c>
      <c r="C20" s="12">
        <v>1042</v>
      </c>
      <c r="D20" s="12">
        <v>55</v>
      </c>
      <c r="E20" s="12">
        <v>42</v>
      </c>
      <c r="F20" s="12">
        <v>48</v>
      </c>
      <c r="G20" s="12">
        <v>57</v>
      </c>
      <c r="H20" s="12">
        <v>46</v>
      </c>
      <c r="I20" s="12">
        <v>54</v>
      </c>
      <c r="J20" s="12">
        <v>8</v>
      </c>
      <c r="K20" s="12">
        <v>60</v>
      </c>
      <c r="L20" s="12">
        <v>36</v>
      </c>
      <c r="M20" s="12">
        <v>20</v>
      </c>
      <c r="N20" s="12">
        <v>47</v>
      </c>
      <c r="O20" s="12">
        <v>32</v>
      </c>
      <c r="P20" s="12">
        <v>49</v>
      </c>
      <c r="Q20" s="12">
        <v>46</v>
      </c>
      <c r="R20" s="12">
        <v>13</v>
      </c>
      <c r="S20" s="12">
        <v>34</v>
      </c>
      <c r="T20" s="12">
        <v>41</v>
      </c>
      <c r="U20" s="12">
        <v>12</v>
      </c>
      <c r="V20" s="12">
        <v>40</v>
      </c>
      <c r="W20" s="12">
        <v>37</v>
      </c>
      <c r="X20" s="12">
        <v>78</v>
      </c>
      <c r="Y20" s="12">
        <v>47</v>
      </c>
      <c r="Z20" s="12">
        <v>30</v>
      </c>
      <c r="AA20" s="12">
        <v>20</v>
      </c>
      <c r="AB20" s="12">
        <v>31</v>
      </c>
      <c r="AC20" s="12">
        <v>57</v>
      </c>
      <c r="AD20" s="12">
        <v>29</v>
      </c>
      <c r="AE20" s="12">
        <v>46</v>
      </c>
      <c r="AF20" s="12">
        <v>42</v>
      </c>
    </row>
    <row r="21" spans="1:32" ht="34.5" x14ac:dyDescent="0.25">
      <c r="A21" s="19"/>
      <c r="B21" s="13" t="s">
        <v>355</v>
      </c>
      <c r="C21" s="14">
        <v>0.04</v>
      </c>
      <c r="D21" s="14">
        <v>0.05</v>
      </c>
      <c r="E21" s="14">
        <v>0.04</v>
      </c>
      <c r="F21" s="14">
        <v>0.05</v>
      </c>
      <c r="G21" s="14">
        <v>0.06</v>
      </c>
      <c r="H21" s="14">
        <v>0.04</v>
      </c>
      <c r="I21" s="14">
        <v>0.04</v>
      </c>
      <c r="J21" s="14">
        <v>0.03</v>
      </c>
      <c r="K21" s="14">
        <v>0.06</v>
      </c>
      <c r="L21" s="14">
        <v>0.04</v>
      </c>
      <c r="M21" s="14">
        <v>0.02</v>
      </c>
      <c r="N21" s="14">
        <v>0.05</v>
      </c>
      <c r="O21" s="14">
        <v>0.03</v>
      </c>
      <c r="P21" s="14">
        <v>0.05</v>
      </c>
      <c r="Q21" s="14">
        <v>0.04</v>
      </c>
      <c r="R21" s="14">
        <v>0.03</v>
      </c>
      <c r="S21" s="14">
        <v>0.04</v>
      </c>
      <c r="T21" s="14">
        <v>0.04</v>
      </c>
      <c r="U21" s="14">
        <v>0.02</v>
      </c>
      <c r="V21" s="14">
        <v>0.04</v>
      </c>
      <c r="W21" s="14">
        <v>7.0000000000000007E-2</v>
      </c>
      <c r="X21" s="14">
        <v>0.08</v>
      </c>
      <c r="Y21" s="14">
        <v>0.05</v>
      </c>
      <c r="Z21" s="14">
        <v>0.03</v>
      </c>
      <c r="AA21" s="14">
        <v>0.02</v>
      </c>
      <c r="AB21" s="14">
        <v>0.03</v>
      </c>
      <c r="AC21" s="14">
        <v>0.06</v>
      </c>
      <c r="AD21" s="14">
        <v>0.03</v>
      </c>
      <c r="AE21" s="14">
        <v>0.05</v>
      </c>
      <c r="AF21" s="14">
        <v>0.04</v>
      </c>
    </row>
    <row r="22" spans="1:32" ht="45.75" x14ac:dyDescent="0.25">
      <c r="A22" s="19"/>
      <c r="B22" s="11" t="s">
        <v>356</v>
      </c>
      <c r="C22" s="12">
        <v>2099</v>
      </c>
      <c r="D22" s="12">
        <v>92</v>
      </c>
      <c r="E22" s="12">
        <v>73</v>
      </c>
      <c r="F22" s="12">
        <v>67</v>
      </c>
      <c r="G22" s="12">
        <v>117</v>
      </c>
      <c r="H22" s="12">
        <v>112</v>
      </c>
      <c r="I22" s="12">
        <v>136</v>
      </c>
      <c r="J22" s="12">
        <v>24</v>
      </c>
      <c r="K22" s="12">
        <v>76</v>
      </c>
      <c r="L22" s="12">
        <v>86</v>
      </c>
      <c r="M22" s="12">
        <v>70</v>
      </c>
      <c r="N22" s="12">
        <v>97</v>
      </c>
      <c r="O22" s="12">
        <v>85</v>
      </c>
      <c r="P22" s="12">
        <v>43</v>
      </c>
      <c r="Q22" s="12">
        <v>41</v>
      </c>
      <c r="R22" s="12">
        <v>35</v>
      </c>
      <c r="S22" s="12">
        <v>54</v>
      </c>
      <c r="T22" s="12">
        <v>43</v>
      </c>
      <c r="U22" s="12">
        <v>38</v>
      </c>
      <c r="V22" s="12">
        <v>83</v>
      </c>
      <c r="W22" s="12">
        <v>40</v>
      </c>
      <c r="X22" s="12">
        <v>111</v>
      </c>
      <c r="Y22" s="12">
        <v>140</v>
      </c>
      <c r="Z22" s="12">
        <v>46</v>
      </c>
      <c r="AA22" s="12">
        <v>85</v>
      </c>
      <c r="AB22" s="12">
        <v>71</v>
      </c>
      <c r="AC22" s="12">
        <v>72</v>
      </c>
      <c r="AD22" s="12">
        <v>95</v>
      </c>
      <c r="AE22" s="12">
        <v>84</v>
      </c>
      <c r="AF22" s="12">
        <v>179</v>
      </c>
    </row>
    <row r="23" spans="1:32" ht="34.5" x14ac:dyDescent="0.25">
      <c r="A23" s="19"/>
      <c r="B23" s="13" t="s">
        <v>357</v>
      </c>
      <c r="C23" s="14">
        <v>0.08</v>
      </c>
      <c r="D23" s="14">
        <v>0.09</v>
      </c>
      <c r="E23" s="14">
        <v>7.0000000000000007E-2</v>
      </c>
      <c r="F23" s="14">
        <v>0.06</v>
      </c>
      <c r="G23" s="14">
        <v>0.11</v>
      </c>
      <c r="H23" s="14">
        <v>0.09</v>
      </c>
      <c r="I23" s="14">
        <v>0.09</v>
      </c>
      <c r="J23" s="14">
        <v>0.08</v>
      </c>
      <c r="K23" s="14">
        <v>0.08</v>
      </c>
      <c r="L23" s="14">
        <v>0.09</v>
      </c>
      <c r="M23" s="14">
        <v>7.0000000000000007E-2</v>
      </c>
      <c r="N23" s="14">
        <v>0.1</v>
      </c>
      <c r="O23" s="14">
        <v>0.08</v>
      </c>
      <c r="P23" s="14">
        <v>0.04</v>
      </c>
      <c r="Q23" s="14">
        <v>0.04</v>
      </c>
      <c r="R23" s="14">
        <v>7.0000000000000007E-2</v>
      </c>
      <c r="S23" s="14">
        <v>0.05</v>
      </c>
      <c r="T23" s="14">
        <v>0.04</v>
      </c>
      <c r="U23" s="14">
        <v>7.0000000000000007E-2</v>
      </c>
      <c r="V23" s="14">
        <v>0.08</v>
      </c>
      <c r="W23" s="14">
        <v>0.08</v>
      </c>
      <c r="X23" s="14">
        <v>0.11</v>
      </c>
      <c r="Y23" s="14">
        <v>0.14000000000000001</v>
      </c>
      <c r="Z23" s="14">
        <v>0.04</v>
      </c>
      <c r="AA23" s="14">
        <v>0.08</v>
      </c>
      <c r="AB23" s="14">
        <v>7.0000000000000007E-2</v>
      </c>
      <c r="AC23" s="14">
        <v>7.0000000000000007E-2</v>
      </c>
      <c r="AD23" s="14">
        <v>0.09</v>
      </c>
      <c r="AE23" s="14">
        <v>0.08</v>
      </c>
      <c r="AF23" s="14">
        <v>0.18</v>
      </c>
    </row>
    <row r="24" spans="1:32" ht="23.25" x14ac:dyDescent="0.25">
      <c r="A24" s="19"/>
      <c r="B24" s="11" t="s">
        <v>358</v>
      </c>
      <c r="C24" s="12">
        <v>3487</v>
      </c>
      <c r="D24" s="12">
        <v>105</v>
      </c>
      <c r="E24" s="12">
        <v>170</v>
      </c>
      <c r="F24" s="12">
        <v>146</v>
      </c>
      <c r="G24" s="12">
        <v>117</v>
      </c>
      <c r="H24" s="12">
        <v>206</v>
      </c>
      <c r="I24" s="12">
        <v>265</v>
      </c>
      <c r="J24" s="12">
        <v>59</v>
      </c>
      <c r="K24" s="12">
        <v>133</v>
      </c>
      <c r="L24" s="12">
        <v>108</v>
      </c>
      <c r="M24" s="12">
        <v>238</v>
      </c>
      <c r="N24" s="12">
        <v>123</v>
      </c>
      <c r="O24" s="12">
        <v>98</v>
      </c>
      <c r="P24" s="12">
        <v>144</v>
      </c>
      <c r="Q24" s="12">
        <v>137</v>
      </c>
      <c r="R24" s="12">
        <v>35</v>
      </c>
      <c r="S24" s="12">
        <v>120</v>
      </c>
      <c r="T24" s="12">
        <v>96</v>
      </c>
      <c r="U24" s="12">
        <v>68</v>
      </c>
      <c r="V24" s="12">
        <v>136</v>
      </c>
      <c r="W24" s="12">
        <v>46</v>
      </c>
      <c r="X24" s="12">
        <v>86</v>
      </c>
      <c r="Y24" s="12">
        <v>127</v>
      </c>
      <c r="Z24" s="12">
        <v>86</v>
      </c>
      <c r="AA24" s="12">
        <v>234</v>
      </c>
      <c r="AB24" s="12">
        <v>128</v>
      </c>
      <c r="AC24" s="12">
        <v>135</v>
      </c>
      <c r="AD24" s="12">
        <v>162</v>
      </c>
      <c r="AE24" s="12">
        <v>168</v>
      </c>
      <c r="AF24" s="12">
        <v>129</v>
      </c>
    </row>
    <row r="25" spans="1:32" ht="23.25" x14ac:dyDescent="0.25">
      <c r="A25" s="19"/>
      <c r="B25" s="13" t="s">
        <v>359</v>
      </c>
      <c r="C25" s="14">
        <v>0.13</v>
      </c>
      <c r="D25" s="14">
        <v>0.1</v>
      </c>
      <c r="E25" s="14">
        <v>0.16</v>
      </c>
      <c r="F25" s="14">
        <v>0.14000000000000001</v>
      </c>
      <c r="G25" s="14">
        <v>0.11</v>
      </c>
      <c r="H25" s="14">
        <v>0.17</v>
      </c>
      <c r="I25" s="14">
        <v>0.17</v>
      </c>
      <c r="J25" s="14">
        <v>0.2</v>
      </c>
      <c r="K25" s="14">
        <v>0.13</v>
      </c>
      <c r="L25" s="14">
        <v>0.11</v>
      </c>
      <c r="M25" s="14">
        <v>0.24</v>
      </c>
      <c r="N25" s="14">
        <v>0.12</v>
      </c>
      <c r="O25" s="14">
        <v>0.1</v>
      </c>
      <c r="P25" s="14">
        <v>0.14000000000000001</v>
      </c>
      <c r="Q25" s="14">
        <v>0.13</v>
      </c>
      <c r="R25" s="14">
        <v>7.0000000000000007E-2</v>
      </c>
      <c r="S25" s="14">
        <v>0.12</v>
      </c>
      <c r="T25" s="14">
        <v>0.09</v>
      </c>
      <c r="U25" s="14">
        <v>0.13</v>
      </c>
      <c r="V25" s="14">
        <v>0.13</v>
      </c>
      <c r="W25" s="14">
        <v>0.09</v>
      </c>
      <c r="X25" s="14">
        <v>0.09</v>
      </c>
      <c r="Y25" s="14">
        <v>0.13</v>
      </c>
      <c r="Z25" s="14">
        <v>0.09</v>
      </c>
      <c r="AA25" s="14">
        <v>0.22</v>
      </c>
      <c r="AB25" s="14">
        <v>0.12</v>
      </c>
      <c r="AC25" s="14">
        <v>0.13</v>
      </c>
      <c r="AD25" s="14">
        <v>0.16</v>
      </c>
      <c r="AE25" s="14">
        <v>0.17</v>
      </c>
      <c r="AF25" s="14">
        <v>0.13</v>
      </c>
    </row>
    <row r="26" spans="1:32" x14ac:dyDescent="0.25">
      <c r="A26" s="19"/>
      <c r="B26" s="11" t="s">
        <v>360</v>
      </c>
      <c r="C26" s="12">
        <v>1188</v>
      </c>
      <c r="D26" s="12">
        <v>68</v>
      </c>
      <c r="E26" s="12">
        <v>40</v>
      </c>
      <c r="F26" s="12">
        <v>55</v>
      </c>
      <c r="G26" s="12">
        <v>66</v>
      </c>
      <c r="H26" s="12">
        <v>78</v>
      </c>
      <c r="I26" s="12">
        <v>93</v>
      </c>
      <c r="J26" s="12">
        <v>15</v>
      </c>
      <c r="K26" s="12">
        <v>37</v>
      </c>
      <c r="L26" s="12">
        <v>62</v>
      </c>
      <c r="M26" s="12">
        <v>23</v>
      </c>
      <c r="N26" s="12">
        <v>47</v>
      </c>
      <c r="O26" s="12">
        <v>34</v>
      </c>
      <c r="P26" s="12">
        <v>37</v>
      </c>
      <c r="Q26" s="12">
        <v>41</v>
      </c>
      <c r="R26" s="12">
        <v>8</v>
      </c>
      <c r="S26" s="12">
        <v>52</v>
      </c>
      <c r="T26" s="12">
        <v>22</v>
      </c>
      <c r="U26" s="12">
        <v>18</v>
      </c>
      <c r="V26" s="12">
        <v>47</v>
      </c>
      <c r="W26" s="12">
        <v>25</v>
      </c>
      <c r="X26" s="12">
        <v>47</v>
      </c>
      <c r="Y26" s="12">
        <v>39</v>
      </c>
      <c r="Z26" s="12">
        <v>47</v>
      </c>
      <c r="AA26" s="12">
        <v>30</v>
      </c>
      <c r="AB26" s="12">
        <v>41</v>
      </c>
      <c r="AC26" s="12">
        <v>51</v>
      </c>
      <c r="AD26" s="12">
        <v>37</v>
      </c>
      <c r="AE26" s="12">
        <v>27</v>
      </c>
      <c r="AF26" s="12">
        <v>41</v>
      </c>
    </row>
    <row r="27" spans="1:32" x14ac:dyDescent="0.25">
      <c r="A27" s="19"/>
      <c r="B27" s="13" t="s">
        <v>361</v>
      </c>
      <c r="C27" s="14">
        <v>0.05</v>
      </c>
      <c r="D27" s="14">
        <v>7.0000000000000007E-2</v>
      </c>
      <c r="E27" s="14">
        <v>0.04</v>
      </c>
      <c r="F27" s="14">
        <v>0.05</v>
      </c>
      <c r="G27" s="14">
        <v>0.06</v>
      </c>
      <c r="H27" s="14">
        <v>0.06</v>
      </c>
      <c r="I27" s="14">
        <v>0.06</v>
      </c>
      <c r="J27" s="14">
        <v>0.05</v>
      </c>
      <c r="K27" s="14">
        <v>0.04</v>
      </c>
      <c r="L27" s="14">
        <v>0.06</v>
      </c>
      <c r="M27" s="14">
        <v>0.02</v>
      </c>
      <c r="N27" s="14">
        <v>0.05</v>
      </c>
      <c r="O27" s="14">
        <v>0.03</v>
      </c>
      <c r="P27" s="14">
        <v>0.04</v>
      </c>
      <c r="Q27" s="14">
        <v>0.04</v>
      </c>
      <c r="R27" s="14">
        <v>0.02</v>
      </c>
      <c r="S27" s="14">
        <v>0.05</v>
      </c>
      <c r="T27" s="14">
        <v>0.02</v>
      </c>
      <c r="U27" s="14">
        <v>0.04</v>
      </c>
      <c r="V27" s="14">
        <v>0.05</v>
      </c>
      <c r="W27" s="14">
        <v>0.05</v>
      </c>
      <c r="X27" s="14">
        <v>0.05</v>
      </c>
      <c r="Y27" s="14">
        <v>0.04</v>
      </c>
      <c r="Z27" s="14">
        <v>0.05</v>
      </c>
      <c r="AA27" s="14">
        <v>0.03</v>
      </c>
      <c r="AB27" s="14">
        <v>0.04</v>
      </c>
      <c r="AC27" s="14">
        <v>0.05</v>
      </c>
      <c r="AD27" s="14">
        <v>0.04</v>
      </c>
      <c r="AE27" s="14">
        <v>0.03</v>
      </c>
      <c r="AF27" s="14">
        <v>0.04</v>
      </c>
    </row>
    <row r="28" spans="1:32" x14ac:dyDescent="0.25">
      <c r="A28" s="19"/>
      <c r="B28" s="11" t="s">
        <v>362</v>
      </c>
      <c r="C28" s="12">
        <v>799</v>
      </c>
      <c r="D28" s="12">
        <v>60</v>
      </c>
      <c r="E28" s="12">
        <v>34</v>
      </c>
      <c r="F28" s="12">
        <v>13</v>
      </c>
      <c r="G28" s="12">
        <v>4</v>
      </c>
      <c r="H28" s="12">
        <v>35</v>
      </c>
      <c r="I28" s="12">
        <v>41</v>
      </c>
      <c r="J28" s="12">
        <v>6</v>
      </c>
      <c r="K28" s="12">
        <v>30</v>
      </c>
      <c r="L28" s="12">
        <v>33</v>
      </c>
      <c r="M28" s="12">
        <v>15</v>
      </c>
      <c r="N28" s="12">
        <v>24</v>
      </c>
      <c r="O28" s="12">
        <v>31</v>
      </c>
      <c r="P28" s="12">
        <v>32</v>
      </c>
      <c r="Q28" s="12">
        <v>62</v>
      </c>
      <c r="R28" s="12">
        <v>14</v>
      </c>
      <c r="S28" s="12">
        <v>11</v>
      </c>
      <c r="T28" s="12">
        <v>19</v>
      </c>
      <c r="U28" s="12">
        <v>10</v>
      </c>
      <c r="V28" s="12">
        <v>54</v>
      </c>
      <c r="W28" s="12">
        <v>15</v>
      </c>
      <c r="X28" s="12">
        <v>15</v>
      </c>
      <c r="Y28" s="12">
        <v>33</v>
      </c>
      <c r="Z28" s="12">
        <v>7</v>
      </c>
      <c r="AA28" s="12">
        <v>41</v>
      </c>
      <c r="AB28" s="12">
        <v>35</v>
      </c>
      <c r="AC28" s="12">
        <v>59</v>
      </c>
      <c r="AD28" s="12">
        <v>31</v>
      </c>
      <c r="AE28" s="12">
        <v>7</v>
      </c>
      <c r="AF28" s="12">
        <v>4</v>
      </c>
    </row>
    <row r="29" spans="1:32" x14ac:dyDescent="0.25">
      <c r="A29" s="19"/>
      <c r="B29" s="13" t="s">
        <v>363</v>
      </c>
      <c r="C29" s="14">
        <v>0.03</v>
      </c>
      <c r="D29" s="14">
        <v>0.06</v>
      </c>
      <c r="E29" s="14">
        <v>0.03</v>
      </c>
      <c r="F29" s="14">
        <v>0.01</v>
      </c>
      <c r="G29" s="15" t="s">
        <v>213</v>
      </c>
      <c r="H29" s="14">
        <v>0.03</v>
      </c>
      <c r="I29" s="14">
        <v>0.03</v>
      </c>
      <c r="J29" s="14">
        <v>0.02</v>
      </c>
      <c r="K29" s="14">
        <v>0.03</v>
      </c>
      <c r="L29" s="14">
        <v>0.03</v>
      </c>
      <c r="M29" s="14">
        <v>0.01</v>
      </c>
      <c r="N29" s="14">
        <v>0.02</v>
      </c>
      <c r="O29" s="14">
        <v>0.03</v>
      </c>
      <c r="P29" s="14">
        <v>0.03</v>
      </c>
      <c r="Q29" s="14">
        <v>0.06</v>
      </c>
      <c r="R29" s="14">
        <v>0.03</v>
      </c>
      <c r="S29" s="14">
        <v>0.01</v>
      </c>
      <c r="T29" s="14">
        <v>0.02</v>
      </c>
      <c r="U29" s="14">
        <v>0.02</v>
      </c>
      <c r="V29" s="14">
        <v>0.05</v>
      </c>
      <c r="W29" s="14">
        <v>0.03</v>
      </c>
      <c r="X29" s="14">
        <v>0.02</v>
      </c>
      <c r="Y29" s="14">
        <v>0.03</v>
      </c>
      <c r="Z29" s="14">
        <v>0.01</v>
      </c>
      <c r="AA29" s="14">
        <v>0.04</v>
      </c>
      <c r="AB29" s="14">
        <v>0.03</v>
      </c>
      <c r="AC29" s="14">
        <v>0.06</v>
      </c>
      <c r="AD29" s="14">
        <v>0.03</v>
      </c>
      <c r="AE29" s="14">
        <v>0.01</v>
      </c>
      <c r="AF29" s="15" t="s">
        <v>213</v>
      </c>
    </row>
    <row r="30" spans="1:32" ht="34.5" x14ac:dyDescent="0.25">
      <c r="A30" s="19"/>
      <c r="B30" s="11" t="s">
        <v>364</v>
      </c>
      <c r="C30" s="12">
        <v>1500</v>
      </c>
      <c r="D30" s="12">
        <v>59</v>
      </c>
      <c r="E30" s="12">
        <v>25</v>
      </c>
      <c r="F30" s="12">
        <v>23</v>
      </c>
      <c r="G30" s="12">
        <v>98</v>
      </c>
      <c r="H30" s="12">
        <v>64</v>
      </c>
      <c r="I30" s="12">
        <v>77</v>
      </c>
      <c r="J30" s="12">
        <v>13</v>
      </c>
      <c r="K30" s="12">
        <v>16</v>
      </c>
      <c r="L30" s="12">
        <v>85</v>
      </c>
      <c r="M30" s="12">
        <v>45</v>
      </c>
      <c r="N30" s="12">
        <v>49</v>
      </c>
      <c r="O30" s="12">
        <v>68</v>
      </c>
      <c r="P30" s="12">
        <v>46</v>
      </c>
      <c r="Q30" s="12">
        <v>51</v>
      </c>
      <c r="R30" s="12">
        <v>19</v>
      </c>
      <c r="S30" s="12">
        <v>5</v>
      </c>
      <c r="T30" s="12">
        <v>10</v>
      </c>
      <c r="U30" s="12">
        <v>16</v>
      </c>
      <c r="V30" s="12">
        <v>49</v>
      </c>
      <c r="W30" s="12">
        <v>31</v>
      </c>
      <c r="X30" s="12">
        <v>104</v>
      </c>
      <c r="Y30" s="12">
        <v>53</v>
      </c>
      <c r="Z30" s="12">
        <v>54</v>
      </c>
      <c r="AA30" s="12">
        <v>62</v>
      </c>
      <c r="AB30" s="12">
        <v>38</v>
      </c>
      <c r="AC30" s="12">
        <v>25</v>
      </c>
      <c r="AD30" s="12">
        <v>28</v>
      </c>
      <c r="AE30" s="12">
        <v>64</v>
      </c>
      <c r="AF30" s="12">
        <v>187</v>
      </c>
    </row>
    <row r="31" spans="1:32" ht="23.25" x14ac:dyDescent="0.25">
      <c r="A31" s="19"/>
      <c r="B31" s="13" t="s">
        <v>365</v>
      </c>
      <c r="C31" s="14">
        <v>0.06</v>
      </c>
      <c r="D31" s="14">
        <v>0.06</v>
      </c>
      <c r="E31" s="14">
        <v>0.02</v>
      </c>
      <c r="F31" s="14">
        <v>0.02</v>
      </c>
      <c r="G31" s="14">
        <v>0.1</v>
      </c>
      <c r="H31" s="14">
        <v>0.05</v>
      </c>
      <c r="I31" s="14">
        <v>0.05</v>
      </c>
      <c r="J31" s="14">
        <v>0.05</v>
      </c>
      <c r="K31" s="14">
        <v>0.02</v>
      </c>
      <c r="L31" s="14">
        <v>0.08</v>
      </c>
      <c r="M31" s="14">
        <v>0.04</v>
      </c>
      <c r="N31" s="14">
        <v>0.05</v>
      </c>
      <c r="O31" s="14">
        <v>7.0000000000000007E-2</v>
      </c>
      <c r="P31" s="14">
        <v>0.05</v>
      </c>
      <c r="Q31" s="14">
        <v>0.05</v>
      </c>
      <c r="R31" s="14">
        <v>0.04</v>
      </c>
      <c r="S31" s="14">
        <v>0.01</v>
      </c>
      <c r="T31" s="14">
        <v>0.01</v>
      </c>
      <c r="U31" s="14">
        <v>0.03</v>
      </c>
      <c r="V31" s="14">
        <v>0.05</v>
      </c>
      <c r="W31" s="14">
        <v>0.06</v>
      </c>
      <c r="X31" s="14">
        <v>0.1</v>
      </c>
      <c r="Y31" s="14">
        <v>0.05</v>
      </c>
      <c r="Z31" s="14">
        <v>0.05</v>
      </c>
      <c r="AA31" s="14">
        <v>0.06</v>
      </c>
      <c r="AB31" s="14">
        <v>0.04</v>
      </c>
      <c r="AC31" s="14">
        <v>0.02</v>
      </c>
      <c r="AD31" s="14">
        <v>0.03</v>
      </c>
      <c r="AE31" s="14">
        <v>0.06</v>
      </c>
      <c r="AF31" s="14">
        <v>0.18</v>
      </c>
    </row>
    <row r="32" spans="1:32" ht="23.25" x14ac:dyDescent="0.25">
      <c r="A32" s="19"/>
      <c r="B32" s="11" t="s">
        <v>366</v>
      </c>
      <c r="C32" s="12">
        <v>1871</v>
      </c>
      <c r="D32" s="12">
        <v>61</v>
      </c>
      <c r="E32" s="12">
        <v>87</v>
      </c>
      <c r="F32" s="12">
        <v>82</v>
      </c>
      <c r="G32" s="12">
        <v>37</v>
      </c>
      <c r="H32" s="12">
        <v>36</v>
      </c>
      <c r="I32" s="12">
        <v>48</v>
      </c>
      <c r="J32" s="12">
        <v>12</v>
      </c>
      <c r="K32" s="12">
        <v>84</v>
      </c>
      <c r="L32" s="12">
        <v>99</v>
      </c>
      <c r="M32" s="12">
        <v>79</v>
      </c>
      <c r="N32" s="12">
        <v>68</v>
      </c>
      <c r="O32" s="12">
        <v>78</v>
      </c>
      <c r="P32" s="12">
        <v>138</v>
      </c>
      <c r="Q32" s="12">
        <v>58</v>
      </c>
      <c r="R32" s="12">
        <v>16</v>
      </c>
      <c r="S32" s="12">
        <v>43</v>
      </c>
      <c r="T32" s="12">
        <v>49</v>
      </c>
      <c r="U32" s="12">
        <v>41</v>
      </c>
      <c r="V32" s="12">
        <v>110</v>
      </c>
      <c r="W32" s="12">
        <v>31</v>
      </c>
      <c r="X32" s="12">
        <v>54</v>
      </c>
      <c r="Y32" s="12">
        <v>94</v>
      </c>
      <c r="Z32" s="12">
        <v>124</v>
      </c>
      <c r="AA32" s="12">
        <v>98</v>
      </c>
      <c r="AB32" s="12">
        <v>132</v>
      </c>
      <c r="AC32" s="12">
        <v>142</v>
      </c>
      <c r="AD32" s="12">
        <v>134</v>
      </c>
      <c r="AE32" s="12">
        <v>68</v>
      </c>
      <c r="AF32" s="12">
        <v>59</v>
      </c>
    </row>
    <row r="33" spans="1:32" ht="23.25" x14ac:dyDescent="0.25">
      <c r="A33" s="19"/>
      <c r="B33" s="13" t="s">
        <v>367</v>
      </c>
      <c r="C33" s="14">
        <v>7.0000000000000007E-2</v>
      </c>
      <c r="D33" s="14">
        <v>0.06</v>
      </c>
      <c r="E33" s="14">
        <v>0.08</v>
      </c>
      <c r="F33" s="14">
        <v>0.08</v>
      </c>
      <c r="G33" s="14">
        <v>0.04</v>
      </c>
      <c r="H33" s="14">
        <v>0.03</v>
      </c>
      <c r="I33" s="14">
        <v>0.03</v>
      </c>
      <c r="J33" s="14">
        <v>0.04</v>
      </c>
      <c r="K33" s="14">
        <v>0.08</v>
      </c>
      <c r="L33" s="14">
        <v>0.1</v>
      </c>
      <c r="M33" s="14">
        <v>0.08</v>
      </c>
      <c r="N33" s="14">
        <v>7.0000000000000007E-2</v>
      </c>
      <c r="O33" s="14">
        <v>0.08</v>
      </c>
      <c r="P33" s="14">
        <v>0.14000000000000001</v>
      </c>
      <c r="Q33" s="14">
        <v>0.06</v>
      </c>
      <c r="R33" s="14">
        <v>0.03</v>
      </c>
      <c r="S33" s="14">
        <v>0.04</v>
      </c>
      <c r="T33" s="14">
        <v>0.05</v>
      </c>
      <c r="U33" s="14">
        <v>0.08</v>
      </c>
      <c r="V33" s="14">
        <v>0.11</v>
      </c>
      <c r="W33" s="14">
        <v>0.06</v>
      </c>
      <c r="X33" s="14">
        <v>0.05</v>
      </c>
      <c r="Y33" s="14">
        <v>0.09</v>
      </c>
      <c r="Z33" s="14">
        <v>0.12</v>
      </c>
      <c r="AA33" s="14">
        <v>0.09</v>
      </c>
      <c r="AB33" s="14">
        <v>0.13</v>
      </c>
      <c r="AC33" s="14">
        <v>0.14000000000000001</v>
      </c>
      <c r="AD33" s="14">
        <v>0.13</v>
      </c>
      <c r="AE33" s="14">
        <v>7.0000000000000007E-2</v>
      </c>
      <c r="AF33" s="14">
        <v>0.06</v>
      </c>
    </row>
    <row r="34" spans="1:32" ht="23.25" x14ac:dyDescent="0.25">
      <c r="A34" s="19"/>
      <c r="B34" s="11" t="s">
        <v>368</v>
      </c>
      <c r="C34" s="12">
        <v>2027</v>
      </c>
      <c r="D34" s="12">
        <v>76</v>
      </c>
      <c r="E34" s="12">
        <v>26</v>
      </c>
      <c r="F34" s="12">
        <v>58</v>
      </c>
      <c r="G34" s="12">
        <v>52</v>
      </c>
      <c r="H34" s="12">
        <v>85</v>
      </c>
      <c r="I34" s="12">
        <v>112</v>
      </c>
      <c r="J34" s="12">
        <v>27</v>
      </c>
      <c r="K34" s="12">
        <v>75</v>
      </c>
      <c r="L34" s="12">
        <v>74</v>
      </c>
      <c r="M34" s="12">
        <v>89</v>
      </c>
      <c r="N34" s="12">
        <v>161</v>
      </c>
      <c r="O34" s="12">
        <v>91</v>
      </c>
      <c r="P34" s="12">
        <v>55</v>
      </c>
      <c r="Q34" s="12">
        <v>60</v>
      </c>
      <c r="R34" s="12">
        <v>70</v>
      </c>
      <c r="S34" s="12">
        <v>64</v>
      </c>
      <c r="T34" s="12">
        <v>74</v>
      </c>
      <c r="U34" s="12">
        <v>40</v>
      </c>
      <c r="V34" s="12">
        <v>58</v>
      </c>
      <c r="W34" s="12">
        <v>53</v>
      </c>
      <c r="X34" s="12">
        <v>55</v>
      </c>
      <c r="Y34" s="12">
        <v>65</v>
      </c>
      <c r="Z34" s="12">
        <v>27</v>
      </c>
      <c r="AA34" s="12">
        <v>93</v>
      </c>
      <c r="AB34" s="12">
        <v>84</v>
      </c>
      <c r="AC34" s="12">
        <v>56</v>
      </c>
      <c r="AD34" s="12">
        <v>58</v>
      </c>
      <c r="AE34" s="12">
        <v>48</v>
      </c>
      <c r="AF34" s="12">
        <v>54</v>
      </c>
    </row>
    <row r="35" spans="1:32" x14ac:dyDescent="0.25">
      <c r="A35" s="19"/>
      <c r="B35" s="13" t="s">
        <v>369</v>
      </c>
      <c r="C35" s="14">
        <v>0.08</v>
      </c>
      <c r="D35" s="14">
        <v>7.0000000000000007E-2</v>
      </c>
      <c r="E35" s="14">
        <v>0.02</v>
      </c>
      <c r="F35" s="14">
        <v>0.06</v>
      </c>
      <c r="G35" s="14">
        <v>0.05</v>
      </c>
      <c r="H35" s="14">
        <v>7.0000000000000007E-2</v>
      </c>
      <c r="I35" s="14">
        <v>7.0000000000000007E-2</v>
      </c>
      <c r="J35" s="14">
        <v>0.09</v>
      </c>
      <c r="K35" s="14">
        <v>0.08</v>
      </c>
      <c r="L35" s="14">
        <v>7.0000000000000007E-2</v>
      </c>
      <c r="M35" s="14">
        <v>0.09</v>
      </c>
      <c r="N35" s="14">
        <v>0.16</v>
      </c>
      <c r="O35" s="14">
        <v>0.09</v>
      </c>
      <c r="P35" s="14">
        <v>0.06</v>
      </c>
      <c r="Q35" s="14">
        <v>0.06</v>
      </c>
      <c r="R35" s="14">
        <v>0.14000000000000001</v>
      </c>
      <c r="S35" s="14">
        <v>0.06</v>
      </c>
      <c r="T35" s="14">
        <v>7.0000000000000007E-2</v>
      </c>
      <c r="U35" s="14">
        <v>0.08</v>
      </c>
      <c r="V35" s="14">
        <v>0.06</v>
      </c>
      <c r="W35" s="14">
        <v>0.11</v>
      </c>
      <c r="X35" s="14">
        <v>0.05</v>
      </c>
      <c r="Y35" s="14">
        <v>7.0000000000000007E-2</v>
      </c>
      <c r="Z35" s="14">
        <v>0.03</v>
      </c>
      <c r="AA35" s="14">
        <v>0.09</v>
      </c>
      <c r="AB35" s="14">
        <v>0.08</v>
      </c>
      <c r="AC35" s="14">
        <v>0.06</v>
      </c>
      <c r="AD35" s="14">
        <v>0.06</v>
      </c>
      <c r="AE35" s="14">
        <v>0.05</v>
      </c>
      <c r="AF35" s="14">
        <v>0.05</v>
      </c>
    </row>
    <row r="36" spans="1:32" ht="45.75" x14ac:dyDescent="0.25">
      <c r="A36" s="19"/>
      <c r="B36" s="11" t="s">
        <v>370</v>
      </c>
      <c r="C36" s="12">
        <v>1389</v>
      </c>
      <c r="D36" s="12">
        <v>41</v>
      </c>
      <c r="E36" s="12">
        <v>132</v>
      </c>
      <c r="F36" s="12">
        <v>58</v>
      </c>
      <c r="G36" s="12">
        <v>21</v>
      </c>
      <c r="H36" s="12">
        <v>39</v>
      </c>
      <c r="I36" s="12">
        <v>57</v>
      </c>
      <c r="J36" s="12">
        <v>18</v>
      </c>
      <c r="K36" s="12">
        <v>61</v>
      </c>
      <c r="L36" s="12">
        <v>56</v>
      </c>
      <c r="M36" s="12">
        <v>88</v>
      </c>
      <c r="N36" s="12">
        <v>73</v>
      </c>
      <c r="O36" s="12">
        <v>44</v>
      </c>
      <c r="P36" s="12">
        <v>107</v>
      </c>
      <c r="Q36" s="12">
        <v>52</v>
      </c>
      <c r="R36" s="12">
        <v>57</v>
      </c>
      <c r="S36" s="12">
        <v>99</v>
      </c>
      <c r="T36" s="12">
        <v>64</v>
      </c>
      <c r="U36" s="12">
        <v>19</v>
      </c>
      <c r="V36" s="12">
        <v>68</v>
      </c>
      <c r="W36" s="12">
        <v>38</v>
      </c>
      <c r="X36" s="12">
        <v>19</v>
      </c>
      <c r="Y36" s="12">
        <v>67</v>
      </c>
      <c r="Z36" s="12">
        <v>71</v>
      </c>
      <c r="AA36" s="12">
        <v>60</v>
      </c>
      <c r="AB36" s="12">
        <v>81</v>
      </c>
      <c r="AC36" s="12">
        <v>29</v>
      </c>
      <c r="AD36" s="12">
        <v>37</v>
      </c>
      <c r="AE36" s="12">
        <v>23</v>
      </c>
      <c r="AF36" s="12">
        <v>14</v>
      </c>
    </row>
    <row r="37" spans="1:32" ht="23.25" x14ac:dyDescent="0.25">
      <c r="A37" s="19"/>
      <c r="B37" s="13" t="s">
        <v>371</v>
      </c>
      <c r="C37" s="14">
        <v>0.05</v>
      </c>
      <c r="D37" s="14">
        <v>0.04</v>
      </c>
      <c r="E37" s="14">
        <v>0.13</v>
      </c>
      <c r="F37" s="14">
        <v>0.05</v>
      </c>
      <c r="G37" s="14">
        <v>0.02</v>
      </c>
      <c r="H37" s="14">
        <v>0.03</v>
      </c>
      <c r="I37" s="14">
        <v>0.04</v>
      </c>
      <c r="J37" s="14">
        <v>0.06</v>
      </c>
      <c r="K37" s="14">
        <v>0.06</v>
      </c>
      <c r="L37" s="14">
        <v>0.06</v>
      </c>
      <c r="M37" s="14">
        <v>0.09</v>
      </c>
      <c r="N37" s="14">
        <v>7.0000000000000007E-2</v>
      </c>
      <c r="O37" s="14">
        <v>0.04</v>
      </c>
      <c r="P37" s="14">
        <v>0.11</v>
      </c>
      <c r="Q37" s="14">
        <v>0.05</v>
      </c>
      <c r="R37" s="14">
        <v>0.11</v>
      </c>
      <c r="S37" s="14">
        <v>0.1</v>
      </c>
      <c r="T37" s="14">
        <v>0.06</v>
      </c>
      <c r="U37" s="14">
        <v>0.04</v>
      </c>
      <c r="V37" s="14">
        <v>0.06</v>
      </c>
      <c r="W37" s="14">
        <v>0.08</v>
      </c>
      <c r="X37" s="14">
        <v>0.02</v>
      </c>
      <c r="Y37" s="14">
        <v>7.0000000000000007E-2</v>
      </c>
      <c r="Z37" s="14">
        <v>7.0000000000000007E-2</v>
      </c>
      <c r="AA37" s="14">
        <v>0.06</v>
      </c>
      <c r="AB37" s="14">
        <v>0.08</v>
      </c>
      <c r="AC37" s="14">
        <v>0.03</v>
      </c>
      <c r="AD37" s="14">
        <v>0.04</v>
      </c>
      <c r="AE37" s="14">
        <v>0.02</v>
      </c>
      <c r="AF37" s="14">
        <v>0.01</v>
      </c>
    </row>
    <row r="38" spans="1:32" x14ac:dyDescent="0.25">
      <c r="A38" s="19"/>
      <c r="B38" s="11" t="s">
        <v>372</v>
      </c>
      <c r="C38" s="12">
        <v>629</v>
      </c>
      <c r="D38" s="12">
        <v>17</v>
      </c>
      <c r="E38" s="12">
        <v>23</v>
      </c>
      <c r="F38" s="12">
        <v>18</v>
      </c>
      <c r="G38" s="12">
        <v>8</v>
      </c>
      <c r="H38" s="12">
        <v>18</v>
      </c>
      <c r="I38" s="12">
        <v>27</v>
      </c>
      <c r="J38" s="12">
        <v>9</v>
      </c>
      <c r="K38" s="12">
        <v>33</v>
      </c>
      <c r="L38" s="12">
        <v>34</v>
      </c>
      <c r="M38" s="12">
        <v>17</v>
      </c>
      <c r="N38" s="12">
        <v>46</v>
      </c>
      <c r="O38" s="12">
        <v>22</v>
      </c>
      <c r="P38" s="12">
        <v>26</v>
      </c>
      <c r="Q38" s="12">
        <v>26</v>
      </c>
      <c r="R38" s="12">
        <v>44</v>
      </c>
      <c r="S38" s="12">
        <v>20</v>
      </c>
      <c r="T38" s="12">
        <v>21</v>
      </c>
      <c r="U38" s="12">
        <v>13</v>
      </c>
      <c r="V38" s="12">
        <v>26</v>
      </c>
      <c r="W38" s="12">
        <v>29</v>
      </c>
      <c r="X38" s="12">
        <v>22</v>
      </c>
      <c r="Y38" s="12">
        <v>17</v>
      </c>
      <c r="Z38" s="12">
        <v>26</v>
      </c>
      <c r="AA38" s="12">
        <v>30</v>
      </c>
      <c r="AB38" s="12">
        <v>31</v>
      </c>
      <c r="AC38" s="12">
        <v>16</v>
      </c>
      <c r="AD38" s="12">
        <v>8</v>
      </c>
      <c r="AE38" s="12">
        <v>4</v>
      </c>
      <c r="AF38" s="12">
        <v>7</v>
      </c>
    </row>
    <row r="39" spans="1:32" x14ac:dyDescent="0.25">
      <c r="A39" s="19"/>
      <c r="B39" s="13" t="s">
        <v>373</v>
      </c>
      <c r="C39" s="14">
        <v>0.02</v>
      </c>
      <c r="D39" s="14">
        <v>0.02</v>
      </c>
      <c r="E39" s="14">
        <v>0.02</v>
      </c>
      <c r="F39" s="14">
        <v>0.02</v>
      </c>
      <c r="G39" s="14">
        <v>0.01</v>
      </c>
      <c r="H39" s="14">
        <v>0.01</v>
      </c>
      <c r="I39" s="14">
        <v>0.02</v>
      </c>
      <c r="J39" s="14">
        <v>0.03</v>
      </c>
      <c r="K39" s="14">
        <v>0.03</v>
      </c>
      <c r="L39" s="14">
        <v>0.03</v>
      </c>
      <c r="M39" s="14">
        <v>0.02</v>
      </c>
      <c r="N39" s="14">
        <v>0.04</v>
      </c>
      <c r="O39" s="14">
        <v>0.02</v>
      </c>
      <c r="P39" s="14">
        <v>0.03</v>
      </c>
      <c r="Q39" s="14">
        <v>0.03</v>
      </c>
      <c r="R39" s="14">
        <v>0.09</v>
      </c>
      <c r="S39" s="14">
        <v>0.02</v>
      </c>
      <c r="T39" s="14">
        <v>0.02</v>
      </c>
      <c r="U39" s="14">
        <v>0.03</v>
      </c>
      <c r="V39" s="14">
        <v>0.02</v>
      </c>
      <c r="W39" s="14">
        <v>0.06</v>
      </c>
      <c r="X39" s="14">
        <v>0.02</v>
      </c>
      <c r="Y39" s="14">
        <v>0.02</v>
      </c>
      <c r="Z39" s="14">
        <v>0.03</v>
      </c>
      <c r="AA39" s="14">
        <v>0.03</v>
      </c>
      <c r="AB39" s="14">
        <v>0.03</v>
      </c>
      <c r="AC39" s="14">
        <v>0.02</v>
      </c>
      <c r="AD39" s="14">
        <v>0.01</v>
      </c>
      <c r="AE39" s="15" t="s">
        <v>213</v>
      </c>
      <c r="AF39" s="14">
        <v>0.01</v>
      </c>
    </row>
    <row r="40" spans="1:32" x14ac:dyDescent="0.25">
      <c r="A40" s="19"/>
      <c r="B40" s="11" t="s">
        <v>274</v>
      </c>
      <c r="C40" s="12">
        <v>107</v>
      </c>
      <c r="D40" s="12">
        <v>0</v>
      </c>
      <c r="E40" s="12">
        <v>8</v>
      </c>
      <c r="F40" s="12">
        <v>4</v>
      </c>
      <c r="G40" s="12">
        <v>0</v>
      </c>
      <c r="H40" s="12">
        <v>10</v>
      </c>
      <c r="I40" s="12">
        <v>11</v>
      </c>
      <c r="J40" s="12">
        <v>1</v>
      </c>
      <c r="K40" s="12">
        <v>11</v>
      </c>
      <c r="L40" s="12">
        <v>1</v>
      </c>
      <c r="M40" s="12">
        <v>3</v>
      </c>
      <c r="N40" s="12">
        <v>4</v>
      </c>
      <c r="O40" s="12">
        <v>8</v>
      </c>
      <c r="P40" s="12">
        <v>2</v>
      </c>
      <c r="Q40" s="12">
        <v>2</v>
      </c>
      <c r="R40" s="12">
        <v>0</v>
      </c>
      <c r="S40" s="12">
        <v>7</v>
      </c>
      <c r="T40" s="12">
        <v>1</v>
      </c>
      <c r="U40" s="12">
        <v>0</v>
      </c>
      <c r="V40" s="12">
        <v>0</v>
      </c>
      <c r="W40" s="12">
        <v>2</v>
      </c>
      <c r="X40" s="12">
        <v>0</v>
      </c>
      <c r="Y40" s="12">
        <v>7</v>
      </c>
      <c r="Z40" s="12">
        <v>2</v>
      </c>
      <c r="AA40" s="12">
        <v>1</v>
      </c>
      <c r="AB40" s="12">
        <v>1</v>
      </c>
      <c r="AC40" s="12">
        <v>2</v>
      </c>
      <c r="AD40" s="12">
        <v>0</v>
      </c>
      <c r="AE40" s="12">
        <v>1</v>
      </c>
      <c r="AF40" s="12">
        <v>1</v>
      </c>
    </row>
    <row r="41" spans="1:32" x14ac:dyDescent="0.25">
      <c r="A41" s="19"/>
      <c r="B41" s="13" t="s">
        <v>275</v>
      </c>
      <c r="C41" s="15" t="s">
        <v>213</v>
      </c>
      <c r="D41" s="15" t="s">
        <v>213</v>
      </c>
      <c r="E41" s="14">
        <v>0.01</v>
      </c>
      <c r="F41" s="15" t="s">
        <v>213</v>
      </c>
      <c r="G41" s="15" t="s">
        <v>213</v>
      </c>
      <c r="H41" s="14">
        <v>0.01</v>
      </c>
      <c r="I41" s="14">
        <v>0.01</v>
      </c>
      <c r="J41" s="15" t="s">
        <v>213</v>
      </c>
      <c r="K41" s="14">
        <v>0.01</v>
      </c>
      <c r="L41" s="15" t="s">
        <v>213</v>
      </c>
      <c r="M41" s="15" t="s">
        <v>213</v>
      </c>
      <c r="N41" s="15" t="s">
        <v>213</v>
      </c>
      <c r="O41" s="14">
        <v>0.01</v>
      </c>
      <c r="P41" s="15" t="s">
        <v>213</v>
      </c>
      <c r="Q41" s="15" t="s">
        <v>213</v>
      </c>
      <c r="R41" s="15" t="s">
        <v>213</v>
      </c>
      <c r="S41" s="14">
        <v>0.01</v>
      </c>
      <c r="T41" s="15" t="s">
        <v>213</v>
      </c>
      <c r="U41" s="15" t="s">
        <v>213</v>
      </c>
      <c r="V41" s="15" t="s">
        <v>213</v>
      </c>
      <c r="W41" s="15" t="s">
        <v>213</v>
      </c>
      <c r="X41" s="15" t="s">
        <v>213</v>
      </c>
      <c r="Y41" s="14">
        <v>0.01</v>
      </c>
      <c r="Z41" s="15" t="s">
        <v>213</v>
      </c>
      <c r="AA41" s="15" t="s">
        <v>213</v>
      </c>
      <c r="AB41" s="15" t="s">
        <v>213</v>
      </c>
      <c r="AC41" s="15" t="s">
        <v>213</v>
      </c>
      <c r="AD41" s="15" t="s">
        <v>213</v>
      </c>
      <c r="AE41" s="15" t="s">
        <v>213</v>
      </c>
      <c r="AF41" s="15" t="s">
        <v>213</v>
      </c>
    </row>
    <row r="42" spans="1:32" x14ac:dyDescent="0.25">
      <c r="A42" s="19"/>
      <c r="B42" s="11" t="s">
        <v>276</v>
      </c>
      <c r="C42" s="12">
        <v>121</v>
      </c>
      <c r="D42" s="12">
        <v>2</v>
      </c>
      <c r="E42" s="12">
        <v>5</v>
      </c>
      <c r="F42" s="12">
        <v>14</v>
      </c>
      <c r="G42" s="12">
        <v>3</v>
      </c>
      <c r="H42" s="12">
        <v>8</v>
      </c>
      <c r="I42" s="12">
        <v>9</v>
      </c>
      <c r="J42" s="12">
        <v>1</v>
      </c>
      <c r="K42" s="12">
        <v>4</v>
      </c>
      <c r="L42" s="12">
        <v>4</v>
      </c>
      <c r="M42" s="12">
        <v>1</v>
      </c>
      <c r="N42" s="12">
        <v>5</v>
      </c>
      <c r="O42" s="12">
        <v>6</v>
      </c>
      <c r="P42" s="12">
        <v>1</v>
      </c>
      <c r="Q42" s="12">
        <v>3</v>
      </c>
      <c r="R42" s="12">
        <v>0</v>
      </c>
      <c r="S42" s="12">
        <v>4</v>
      </c>
      <c r="T42" s="12">
        <v>2</v>
      </c>
      <c r="U42" s="12">
        <v>0</v>
      </c>
      <c r="V42" s="12">
        <v>0</v>
      </c>
      <c r="W42" s="12">
        <v>3</v>
      </c>
      <c r="X42" s="12">
        <v>8</v>
      </c>
      <c r="Y42" s="12">
        <v>12</v>
      </c>
      <c r="Z42" s="12">
        <v>4</v>
      </c>
      <c r="AA42" s="12">
        <v>0</v>
      </c>
      <c r="AB42" s="12">
        <v>1</v>
      </c>
      <c r="AC42" s="12">
        <v>3</v>
      </c>
      <c r="AD42" s="12">
        <v>1</v>
      </c>
      <c r="AE42" s="12">
        <v>1</v>
      </c>
      <c r="AF42" s="12">
        <v>3</v>
      </c>
    </row>
    <row r="43" spans="1:32" x14ac:dyDescent="0.25">
      <c r="A43" s="19"/>
      <c r="B43" s="13" t="s">
        <v>277</v>
      </c>
      <c r="C43" s="15" t="s">
        <v>213</v>
      </c>
      <c r="D43" s="15" t="s">
        <v>213</v>
      </c>
      <c r="E43" s="14">
        <v>0.01</v>
      </c>
      <c r="F43" s="14">
        <v>0.01</v>
      </c>
      <c r="G43" s="15" t="s">
        <v>213</v>
      </c>
      <c r="H43" s="14">
        <v>0.01</v>
      </c>
      <c r="I43" s="14">
        <v>0.01</v>
      </c>
      <c r="J43" s="15" t="s">
        <v>213</v>
      </c>
      <c r="K43" s="15" t="s">
        <v>213</v>
      </c>
      <c r="L43" s="15" t="s">
        <v>213</v>
      </c>
      <c r="M43" s="15" t="s">
        <v>213</v>
      </c>
      <c r="N43" s="15" t="s">
        <v>213</v>
      </c>
      <c r="O43" s="14">
        <v>0.01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5" t="s">
        <v>213</v>
      </c>
      <c r="V43" s="15" t="s">
        <v>213</v>
      </c>
      <c r="W43" s="14">
        <v>0.01</v>
      </c>
      <c r="X43" s="14">
        <v>0.01</v>
      </c>
      <c r="Y43" s="14">
        <v>0.01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224</v>
      </c>
      <c r="C44" s="12">
        <v>264</v>
      </c>
      <c r="D44" s="12">
        <v>1</v>
      </c>
      <c r="E44" s="12">
        <v>19</v>
      </c>
      <c r="F44" s="12">
        <v>14</v>
      </c>
      <c r="G44" s="12">
        <v>7</v>
      </c>
      <c r="H44" s="12">
        <v>3</v>
      </c>
      <c r="I44" s="12">
        <v>3</v>
      </c>
      <c r="J44" s="12">
        <v>0</v>
      </c>
      <c r="K44" s="12">
        <v>10</v>
      </c>
      <c r="L44" s="12">
        <v>17</v>
      </c>
      <c r="M44" s="12">
        <v>7</v>
      </c>
      <c r="N44" s="12">
        <v>20</v>
      </c>
      <c r="O44" s="12">
        <v>19</v>
      </c>
      <c r="P44" s="12">
        <v>4</v>
      </c>
      <c r="Q44" s="12">
        <v>11</v>
      </c>
      <c r="R44" s="12">
        <v>4</v>
      </c>
      <c r="S44" s="12">
        <v>12</v>
      </c>
      <c r="T44" s="12">
        <v>15</v>
      </c>
      <c r="U44" s="12">
        <v>4</v>
      </c>
      <c r="V44" s="12">
        <v>0</v>
      </c>
      <c r="W44" s="12">
        <v>5</v>
      </c>
      <c r="X44" s="12">
        <v>4</v>
      </c>
      <c r="Y44" s="12">
        <v>9</v>
      </c>
      <c r="Z44" s="12">
        <v>3</v>
      </c>
      <c r="AA44" s="12">
        <v>22</v>
      </c>
      <c r="AB44" s="12">
        <v>12</v>
      </c>
      <c r="AC44" s="12">
        <v>1</v>
      </c>
      <c r="AD44" s="12">
        <v>7</v>
      </c>
      <c r="AE44" s="12">
        <v>6</v>
      </c>
      <c r="AF44" s="12">
        <v>0</v>
      </c>
    </row>
    <row r="45" spans="1:32" x14ac:dyDescent="0.25">
      <c r="A45" s="19"/>
      <c r="B45" s="13" t="s">
        <v>237</v>
      </c>
      <c r="C45" s="14">
        <v>0.01</v>
      </c>
      <c r="D45" s="15" t="s">
        <v>213</v>
      </c>
      <c r="E45" s="14">
        <v>0.02</v>
      </c>
      <c r="F45" s="14">
        <v>0.01</v>
      </c>
      <c r="G45" s="14">
        <v>0.01</v>
      </c>
      <c r="H45" s="15" t="s">
        <v>213</v>
      </c>
      <c r="I45" s="15" t="s">
        <v>213</v>
      </c>
      <c r="J45" s="15" t="s">
        <v>213</v>
      </c>
      <c r="K45" s="14">
        <v>0.01</v>
      </c>
      <c r="L45" s="14">
        <v>0.02</v>
      </c>
      <c r="M45" s="14">
        <v>0.01</v>
      </c>
      <c r="N45" s="14">
        <v>0.02</v>
      </c>
      <c r="O45" s="14">
        <v>0.02</v>
      </c>
      <c r="P45" s="15" t="s">
        <v>213</v>
      </c>
      <c r="Q45" s="14">
        <v>0.01</v>
      </c>
      <c r="R45" s="14">
        <v>0.01</v>
      </c>
      <c r="S45" s="14">
        <v>0.01</v>
      </c>
      <c r="T45" s="14">
        <v>0.02</v>
      </c>
      <c r="U45" s="14">
        <v>0.01</v>
      </c>
      <c r="V45" s="15" t="s">
        <v>213</v>
      </c>
      <c r="W45" s="14">
        <v>0.01</v>
      </c>
      <c r="X45" s="15" t="s">
        <v>213</v>
      </c>
      <c r="Y45" s="14">
        <v>0.01</v>
      </c>
      <c r="Z45" s="15" t="s">
        <v>213</v>
      </c>
      <c r="AA45" s="14">
        <v>0.02</v>
      </c>
      <c r="AB45" s="14">
        <v>0.01</v>
      </c>
      <c r="AC45" s="15" t="s">
        <v>213</v>
      </c>
      <c r="AD45" s="14">
        <v>0.01</v>
      </c>
      <c r="AE45" s="14">
        <v>0.01</v>
      </c>
      <c r="AF45" s="15" t="s">
        <v>213</v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5"/>
  <sheetViews>
    <sheetView workbookViewId="0">
      <pane xSplit="3" ySplit="9" topLeftCell="D10" activePane="bottomRight" state="frozen"/>
      <selection pane="topRight"/>
      <selection pane="bottomLeft"/>
      <selection pane="bottomRight" activeCell="B5" sqref="B5:F5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41</v>
      </c>
      <c r="C3" s="18"/>
      <c r="D3" s="18"/>
      <c r="E3" s="18"/>
      <c r="F3" s="18"/>
      <c r="H3" s="18" t="s">
        <v>42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24" customHeight="1" x14ac:dyDescent="0.25">
      <c r="B5" s="18" t="s">
        <v>374</v>
      </c>
      <c r="C5" s="18"/>
      <c r="D5" s="18"/>
      <c r="E5" s="18"/>
      <c r="F5" s="18"/>
      <c r="H5" s="18" t="s">
        <v>375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26067</v>
      </c>
      <c r="D10" s="10">
        <v>1018</v>
      </c>
      <c r="E10" s="10">
        <v>1022</v>
      </c>
      <c r="F10" s="10">
        <v>1037</v>
      </c>
      <c r="G10" s="10">
        <v>1006</v>
      </c>
      <c r="H10" s="10">
        <v>1219</v>
      </c>
      <c r="I10" s="10">
        <v>1515</v>
      </c>
      <c r="J10" s="10">
        <v>296</v>
      </c>
      <c r="K10" s="10">
        <v>992</v>
      </c>
      <c r="L10" s="10">
        <v>985</v>
      </c>
      <c r="M10" s="10">
        <v>999</v>
      </c>
      <c r="N10" s="10">
        <v>986</v>
      </c>
      <c r="O10" s="10">
        <v>978</v>
      </c>
      <c r="P10" s="10">
        <v>997</v>
      </c>
      <c r="Q10" s="10">
        <v>1017</v>
      </c>
      <c r="R10" s="10">
        <v>497</v>
      </c>
      <c r="S10" s="10">
        <v>988</v>
      </c>
      <c r="T10" s="10">
        <v>1006</v>
      </c>
      <c r="U10" s="10">
        <v>504</v>
      </c>
      <c r="V10" s="10">
        <v>1026</v>
      </c>
      <c r="W10" s="10">
        <v>494</v>
      </c>
      <c r="X10" s="10">
        <v>998</v>
      </c>
      <c r="Y10" s="10">
        <v>982</v>
      </c>
      <c r="Z10" s="10">
        <v>1009</v>
      </c>
      <c r="AA10" s="10">
        <v>1015</v>
      </c>
      <c r="AB10" s="10">
        <v>1027</v>
      </c>
      <c r="AC10" s="10">
        <v>1001</v>
      </c>
      <c r="AD10" s="10">
        <v>995</v>
      </c>
      <c r="AE10" s="10">
        <v>995</v>
      </c>
      <c r="AF10" s="10">
        <v>1028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45.75" x14ac:dyDescent="0.25">
      <c r="A12" s="19"/>
      <c r="B12" s="11" t="s">
        <v>346</v>
      </c>
      <c r="C12" s="12">
        <v>5070</v>
      </c>
      <c r="D12" s="12">
        <v>153</v>
      </c>
      <c r="E12" s="12">
        <v>218</v>
      </c>
      <c r="F12" s="12">
        <v>256</v>
      </c>
      <c r="G12" s="12">
        <v>212</v>
      </c>
      <c r="H12" s="12">
        <v>237</v>
      </c>
      <c r="I12" s="12">
        <v>316</v>
      </c>
      <c r="J12" s="12">
        <v>79</v>
      </c>
      <c r="K12" s="12">
        <v>199</v>
      </c>
      <c r="L12" s="12">
        <v>186</v>
      </c>
      <c r="M12" s="12">
        <v>243</v>
      </c>
      <c r="N12" s="12">
        <v>148</v>
      </c>
      <c r="O12" s="12">
        <v>158</v>
      </c>
      <c r="P12" s="12">
        <v>249</v>
      </c>
      <c r="Q12" s="12">
        <v>205</v>
      </c>
      <c r="R12" s="12">
        <v>87</v>
      </c>
      <c r="S12" s="12">
        <v>165</v>
      </c>
      <c r="T12" s="12">
        <v>167</v>
      </c>
      <c r="U12" s="12">
        <v>88</v>
      </c>
      <c r="V12" s="12">
        <v>217</v>
      </c>
      <c r="W12" s="12">
        <v>53</v>
      </c>
      <c r="X12" s="12">
        <v>218</v>
      </c>
      <c r="Y12" s="12">
        <v>215</v>
      </c>
      <c r="Z12" s="12">
        <v>213</v>
      </c>
      <c r="AA12" s="12">
        <v>217</v>
      </c>
      <c r="AB12" s="12">
        <v>178</v>
      </c>
      <c r="AC12" s="12">
        <v>232</v>
      </c>
      <c r="AD12" s="12">
        <v>262</v>
      </c>
      <c r="AE12" s="12">
        <v>187</v>
      </c>
      <c r="AF12" s="12">
        <v>231</v>
      </c>
    </row>
    <row r="13" spans="1:32" ht="34.5" x14ac:dyDescent="0.25">
      <c r="A13" s="19"/>
      <c r="B13" s="13" t="s">
        <v>347</v>
      </c>
      <c r="C13" s="14">
        <v>0.22</v>
      </c>
      <c r="D13" s="14">
        <v>0.17</v>
      </c>
      <c r="E13" s="14">
        <v>0.24</v>
      </c>
      <c r="F13" s="14">
        <v>0.28999999999999998</v>
      </c>
      <c r="G13" s="14">
        <v>0.24</v>
      </c>
      <c r="H13" s="14">
        <v>0.21</v>
      </c>
      <c r="I13" s="14">
        <v>0.23</v>
      </c>
      <c r="J13" s="14">
        <v>0.28999999999999998</v>
      </c>
      <c r="K13" s="14">
        <v>0.22</v>
      </c>
      <c r="L13" s="14">
        <v>0.21</v>
      </c>
      <c r="M13" s="14">
        <v>0.26</v>
      </c>
      <c r="N13" s="14">
        <v>0.16</v>
      </c>
      <c r="O13" s="14">
        <v>0.18</v>
      </c>
      <c r="P13" s="14">
        <v>0.28000000000000003</v>
      </c>
      <c r="Q13" s="14">
        <v>0.23</v>
      </c>
      <c r="R13" s="14">
        <v>0.19</v>
      </c>
      <c r="S13" s="14">
        <v>0.18</v>
      </c>
      <c r="T13" s="14">
        <v>0.18</v>
      </c>
      <c r="U13" s="14">
        <v>0.19</v>
      </c>
      <c r="V13" s="14">
        <v>0.24</v>
      </c>
      <c r="W13" s="14">
        <v>0.12</v>
      </c>
      <c r="X13" s="14">
        <v>0.24</v>
      </c>
      <c r="Y13" s="14">
        <v>0.24</v>
      </c>
      <c r="Z13" s="14">
        <v>0.23</v>
      </c>
      <c r="AA13" s="14">
        <v>0.24</v>
      </c>
      <c r="AB13" s="14">
        <v>0.19</v>
      </c>
      <c r="AC13" s="14">
        <v>0.27</v>
      </c>
      <c r="AD13" s="14">
        <v>0.31</v>
      </c>
      <c r="AE13" s="14">
        <v>0.21</v>
      </c>
      <c r="AF13" s="14">
        <v>0.25</v>
      </c>
    </row>
    <row r="14" spans="1:32" x14ac:dyDescent="0.25">
      <c r="A14" s="19"/>
      <c r="B14" s="11" t="s">
        <v>348</v>
      </c>
      <c r="C14" s="12">
        <v>5350</v>
      </c>
      <c r="D14" s="12">
        <v>243</v>
      </c>
      <c r="E14" s="12">
        <v>154</v>
      </c>
      <c r="F14" s="12">
        <v>246</v>
      </c>
      <c r="G14" s="12">
        <v>254</v>
      </c>
      <c r="H14" s="12">
        <v>268</v>
      </c>
      <c r="I14" s="12">
        <v>328</v>
      </c>
      <c r="J14" s="12">
        <v>60</v>
      </c>
      <c r="K14" s="12">
        <v>186</v>
      </c>
      <c r="L14" s="12">
        <v>167</v>
      </c>
      <c r="M14" s="12">
        <v>169</v>
      </c>
      <c r="N14" s="12">
        <v>168</v>
      </c>
      <c r="O14" s="12">
        <v>226</v>
      </c>
      <c r="P14" s="12">
        <v>149</v>
      </c>
      <c r="Q14" s="12">
        <v>204</v>
      </c>
      <c r="R14" s="12">
        <v>145</v>
      </c>
      <c r="S14" s="12">
        <v>214</v>
      </c>
      <c r="T14" s="12">
        <v>229</v>
      </c>
      <c r="U14" s="12">
        <v>120</v>
      </c>
      <c r="V14" s="12">
        <v>163</v>
      </c>
      <c r="W14" s="12">
        <v>86</v>
      </c>
      <c r="X14" s="12">
        <v>238</v>
      </c>
      <c r="Y14" s="12">
        <v>194</v>
      </c>
      <c r="Z14" s="12">
        <v>188</v>
      </c>
      <c r="AA14" s="12">
        <v>222</v>
      </c>
      <c r="AB14" s="12">
        <v>202</v>
      </c>
      <c r="AC14" s="12">
        <v>165</v>
      </c>
      <c r="AD14" s="12">
        <v>189</v>
      </c>
      <c r="AE14" s="12">
        <v>226</v>
      </c>
      <c r="AF14" s="12">
        <v>212</v>
      </c>
    </row>
    <row r="15" spans="1:32" x14ac:dyDescent="0.25">
      <c r="A15" s="19"/>
      <c r="B15" s="13" t="s">
        <v>349</v>
      </c>
      <c r="C15" s="14">
        <v>0.26</v>
      </c>
      <c r="D15" s="14">
        <v>0.3</v>
      </c>
      <c r="E15" s="14">
        <v>0.17</v>
      </c>
      <c r="F15" s="14">
        <v>0.28999999999999998</v>
      </c>
      <c r="G15" s="14">
        <v>0.33</v>
      </c>
      <c r="H15" s="14">
        <v>0.28000000000000003</v>
      </c>
      <c r="I15" s="14">
        <v>0.28000000000000003</v>
      </c>
      <c r="J15" s="14">
        <v>0.25</v>
      </c>
      <c r="K15" s="14">
        <v>0.22</v>
      </c>
      <c r="L15" s="14">
        <v>0.2</v>
      </c>
      <c r="M15" s="14">
        <v>0.2</v>
      </c>
      <c r="N15" s="14">
        <v>0.19</v>
      </c>
      <c r="O15" s="14">
        <v>0.3</v>
      </c>
      <c r="P15" s="14">
        <v>0.17</v>
      </c>
      <c r="Q15" s="14">
        <v>0.26</v>
      </c>
      <c r="R15" s="14">
        <v>0.37</v>
      </c>
      <c r="S15" s="14">
        <v>0.28999999999999998</v>
      </c>
      <c r="T15" s="14">
        <v>0.34</v>
      </c>
      <c r="U15" s="14">
        <v>0.3</v>
      </c>
      <c r="V15" s="14">
        <v>0.19</v>
      </c>
      <c r="W15" s="14">
        <v>0.21</v>
      </c>
      <c r="X15" s="14">
        <v>0.32</v>
      </c>
      <c r="Y15" s="14">
        <v>0.23</v>
      </c>
      <c r="Z15" s="14">
        <v>0.27</v>
      </c>
      <c r="AA15" s="14">
        <v>0.25</v>
      </c>
      <c r="AB15" s="14">
        <v>0.23</v>
      </c>
      <c r="AC15" s="14">
        <v>0.19</v>
      </c>
      <c r="AD15" s="14">
        <v>0.22</v>
      </c>
      <c r="AE15" s="14">
        <v>0.3</v>
      </c>
      <c r="AF15" s="14">
        <v>0.24</v>
      </c>
    </row>
    <row r="16" spans="1:32" ht="34.5" x14ac:dyDescent="0.25">
      <c r="A16" s="19"/>
      <c r="B16" s="11" t="s">
        <v>350</v>
      </c>
      <c r="C16" s="12">
        <v>2909</v>
      </c>
      <c r="D16" s="12">
        <v>101</v>
      </c>
      <c r="E16" s="12">
        <v>144</v>
      </c>
      <c r="F16" s="12">
        <v>138</v>
      </c>
      <c r="G16" s="12">
        <v>125</v>
      </c>
      <c r="H16" s="12">
        <v>142</v>
      </c>
      <c r="I16" s="12">
        <v>169</v>
      </c>
      <c r="J16" s="12">
        <v>26</v>
      </c>
      <c r="K16" s="12">
        <v>146</v>
      </c>
      <c r="L16" s="12">
        <v>81</v>
      </c>
      <c r="M16" s="12">
        <v>127</v>
      </c>
      <c r="N16" s="12">
        <v>74</v>
      </c>
      <c r="O16" s="12">
        <v>117</v>
      </c>
      <c r="P16" s="12">
        <v>115</v>
      </c>
      <c r="Q16" s="12">
        <v>119</v>
      </c>
      <c r="R16" s="12">
        <v>60</v>
      </c>
      <c r="S16" s="12">
        <v>146</v>
      </c>
      <c r="T16" s="12">
        <v>194</v>
      </c>
      <c r="U16" s="12">
        <v>90</v>
      </c>
      <c r="V16" s="12">
        <v>132</v>
      </c>
      <c r="W16" s="12">
        <v>46</v>
      </c>
      <c r="X16" s="12">
        <v>94</v>
      </c>
      <c r="Y16" s="12">
        <v>127</v>
      </c>
      <c r="Z16" s="12">
        <v>121</v>
      </c>
      <c r="AA16" s="12">
        <v>46</v>
      </c>
      <c r="AB16" s="12">
        <v>123</v>
      </c>
      <c r="AC16" s="12">
        <v>116</v>
      </c>
      <c r="AD16" s="12">
        <v>132</v>
      </c>
      <c r="AE16" s="12">
        <v>133</v>
      </c>
      <c r="AF16" s="12">
        <v>130</v>
      </c>
    </row>
    <row r="17" spans="1:32" ht="23.25" x14ac:dyDescent="0.25">
      <c r="A17" s="19"/>
      <c r="B17" s="13" t="s">
        <v>351</v>
      </c>
      <c r="C17" s="14">
        <v>0.12</v>
      </c>
      <c r="D17" s="14">
        <v>0.1</v>
      </c>
      <c r="E17" s="14">
        <v>0.16</v>
      </c>
      <c r="F17" s="14">
        <v>0.14000000000000001</v>
      </c>
      <c r="G17" s="14">
        <v>0.13</v>
      </c>
      <c r="H17" s="14">
        <v>0.13</v>
      </c>
      <c r="I17" s="14">
        <v>0.12</v>
      </c>
      <c r="J17" s="14">
        <v>0.09</v>
      </c>
      <c r="K17" s="14">
        <v>0.16</v>
      </c>
      <c r="L17" s="14">
        <v>0.09</v>
      </c>
      <c r="M17" s="14">
        <v>0.14000000000000001</v>
      </c>
      <c r="N17" s="14">
        <v>0.08</v>
      </c>
      <c r="O17" s="14">
        <v>0.13</v>
      </c>
      <c r="P17" s="14">
        <v>0.12</v>
      </c>
      <c r="Q17" s="14">
        <v>0.13</v>
      </c>
      <c r="R17" s="14">
        <v>0.13</v>
      </c>
      <c r="S17" s="14">
        <v>0.16</v>
      </c>
      <c r="T17" s="14">
        <v>0.21</v>
      </c>
      <c r="U17" s="14">
        <v>0.2</v>
      </c>
      <c r="V17" s="14">
        <v>0.14000000000000001</v>
      </c>
      <c r="W17" s="14">
        <v>0.1</v>
      </c>
      <c r="X17" s="14">
        <v>0.1</v>
      </c>
      <c r="Y17" s="14">
        <v>0.14000000000000001</v>
      </c>
      <c r="Z17" s="14">
        <v>0.13</v>
      </c>
      <c r="AA17" s="14">
        <v>0.05</v>
      </c>
      <c r="AB17" s="14">
        <v>0.13</v>
      </c>
      <c r="AC17" s="14">
        <v>0.13</v>
      </c>
      <c r="AD17" s="14">
        <v>0.14000000000000001</v>
      </c>
      <c r="AE17" s="14">
        <v>0.15</v>
      </c>
      <c r="AF17" s="14">
        <v>0.13</v>
      </c>
    </row>
    <row r="18" spans="1:32" ht="34.5" x14ac:dyDescent="0.25">
      <c r="A18" s="19"/>
      <c r="B18" s="11" t="s">
        <v>352</v>
      </c>
      <c r="C18" s="12">
        <v>1287</v>
      </c>
      <c r="D18" s="12">
        <v>45</v>
      </c>
      <c r="E18" s="12">
        <v>57</v>
      </c>
      <c r="F18" s="12">
        <v>56</v>
      </c>
      <c r="G18" s="12">
        <v>59</v>
      </c>
      <c r="H18" s="12">
        <v>60</v>
      </c>
      <c r="I18" s="12">
        <v>69</v>
      </c>
      <c r="J18" s="12">
        <v>9</v>
      </c>
      <c r="K18" s="12">
        <v>60</v>
      </c>
      <c r="L18" s="12">
        <v>32</v>
      </c>
      <c r="M18" s="12">
        <v>52</v>
      </c>
      <c r="N18" s="12">
        <v>38</v>
      </c>
      <c r="O18" s="12">
        <v>34</v>
      </c>
      <c r="P18" s="12">
        <v>68</v>
      </c>
      <c r="Q18" s="12">
        <v>58</v>
      </c>
      <c r="R18" s="12">
        <v>20</v>
      </c>
      <c r="S18" s="12">
        <v>69</v>
      </c>
      <c r="T18" s="12">
        <v>154</v>
      </c>
      <c r="U18" s="12">
        <v>35</v>
      </c>
      <c r="V18" s="12">
        <v>78</v>
      </c>
      <c r="W18" s="12">
        <v>24</v>
      </c>
      <c r="X18" s="12">
        <v>24</v>
      </c>
      <c r="Y18" s="12">
        <v>49</v>
      </c>
      <c r="Z18" s="12">
        <v>74</v>
      </c>
      <c r="AA18" s="12">
        <v>42</v>
      </c>
      <c r="AB18" s="12">
        <v>92</v>
      </c>
      <c r="AC18" s="12">
        <v>55</v>
      </c>
      <c r="AD18" s="12">
        <v>35</v>
      </c>
      <c r="AE18" s="12">
        <v>28</v>
      </c>
      <c r="AF18" s="12">
        <v>27</v>
      </c>
    </row>
    <row r="19" spans="1:32" ht="23.25" x14ac:dyDescent="0.25">
      <c r="A19" s="19"/>
      <c r="B19" s="13" t="s">
        <v>353</v>
      </c>
      <c r="C19" s="14">
        <v>0.05</v>
      </c>
      <c r="D19" s="14">
        <v>0.04</v>
      </c>
      <c r="E19" s="14">
        <v>0.06</v>
      </c>
      <c r="F19" s="14">
        <v>0.06</v>
      </c>
      <c r="G19" s="14">
        <v>0.06</v>
      </c>
      <c r="H19" s="14">
        <v>0.05</v>
      </c>
      <c r="I19" s="14">
        <v>0.05</v>
      </c>
      <c r="J19" s="14">
        <v>0.03</v>
      </c>
      <c r="K19" s="14">
        <v>0.06</v>
      </c>
      <c r="L19" s="14">
        <v>0.03</v>
      </c>
      <c r="M19" s="14">
        <v>0.05</v>
      </c>
      <c r="N19" s="14">
        <v>0.04</v>
      </c>
      <c r="O19" s="14">
        <v>0.04</v>
      </c>
      <c r="P19" s="14">
        <v>7.0000000000000007E-2</v>
      </c>
      <c r="Q19" s="14">
        <v>0.06</v>
      </c>
      <c r="R19" s="14">
        <v>0.04</v>
      </c>
      <c r="S19" s="14">
        <v>7.0000000000000007E-2</v>
      </c>
      <c r="T19" s="14">
        <v>0.16</v>
      </c>
      <c r="U19" s="14">
        <v>7.0000000000000007E-2</v>
      </c>
      <c r="V19" s="14">
        <v>0.08</v>
      </c>
      <c r="W19" s="14">
        <v>0.05</v>
      </c>
      <c r="X19" s="14">
        <v>0.02</v>
      </c>
      <c r="Y19" s="14">
        <v>0.05</v>
      </c>
      <c r="Z19" s="14">
        <v>0.08</v>
      </c>
      <c r="AA19" s="14">
        <v>0.04</v>
      </c>
      <c r="AB19" s="14">
        <v>0.09</v>
      </c>
      <c r="AC19" s="14">
        <v>0.06</v>
      </c>
      <c r="AD19" s="14">
        <v>0.04</v>
      </c>
      <c r="AE19" s="14">
        <v>0.03</v>
      </c>
      <c r="AF19" s="14">
        <v>0.03</v>
      </c>
    </row>
    <row r="20" spans="1:32" ht="34.5" x14ac:dyDescent="0.25">
      <c r="A20" s="19"/>
      <c r="B20" s="11" t="s">
        <v>354</v>
      </c>
      <c r="C20" s="12">
        <v>2236</v>
      </c>
      <c r="D20" s="12">
        <v>104</v>
      </c>
      <c r="E20" s="12">
        <v>98</v>
      </c>
      <c r="F20" s="12">
        <v>89</v>
      </c>
      <c r="G20" s="12">
        <v>117</v>
      </c>
      <c r="H20" s="12">
        <v>127</v>
      </c>
      <c r="I20" s="12">
        <v>148</v>
      </c>
      <c r="J20" s="12">
        <v>21</v>
      </c>
      <c r="K20" s="12">
        <v>106</v>
      </c>
      <c r="L20" s="12">
        <v>81</v>
      </c>
      <c r="M20" s="12">
        <v>75</v>
      </c>
      <c r="N20" s="12">
        <v>87</v>
      </c>
      <c r="O20" s="12">
        <v>65</v>
      </c>
      <c r="P20" s="12">
        <v>81</v>
      </c>
      <c r="Q20" s="12">
        <v>91</v>
      </c>
      <c r="R20" s="12">
        <v>53</v>
      </c>
      <c r="S20" s="12">
        <v>64</v>
      </c>
      <c r="T20" s="12">
        <v>81</v>
      </c>
      <c r="U20" s="12">
        <v>55</v>
      </c>
      <c r="V20" s="12">
        <v>79</v>
      </c>
      <c r="W20" s="12">
        <v>63</v>
      </c>
      <c r="X20" s="12">
        <v>141</v>
      </c>
      <c r="Y20" s="12">
        <v>88</v>
      </c>
      <c r="Z20" s="12">
        <v>53</v>
      </c>
      <c r="AA20" s="12">
        <v>49</v>
      </c>
      <c r="AB20" s="12">
        <v>81</v>
      </c>
      <c r="AC20" s="12">
        <v>72</v>
      </c>
      <c r="AD20" s="12">
        <v>69</v>
      </c>
      <c r="AE20" s="12">
        <v>110</v>
      </c>
      <c r="AF20" s="12">
        <v>130</v>
      </c>
    </row>
    <row r="21" spans="1:32" ht="34.5" x14ac:dyDescent="0.25">
      <c r="A21" s="19"/>
      <c r="B21" s="13" t="s">
        <v>355</v>
      </c>
      <c r="C21" s="14">
        <v>0.09</v>
      </c>
      <c r="D21" s="14">
        <v>0.11</v>
      </c>
      <c r="E21" s="14">
        <v>0.1</v>
      </c>
      <c r="F21" s="14">
        <v>0.09</v>
      </c>
      <c r="G21" s="14">
        <v>0.12</v>
      </c>
      <c r="H21" s="14">
        <v>0.11</v>
      </c>
      <c r="I21" s="14">
        <v>0.1</v>
      </c>
      <c r="J21" s="14">
        <v>7.0000000000000007E-2</v>
      </c>
      <c r="K21" s="14">
        <v>0.11</v>
      </c>
      <c r="L21" s="14">
        <v>0.08</v>
      </c>
      <c r="M21" s="14">
        <v>0.08</v>
      </c>
      <c r="N21" s="14">
        <v>0.09</v>
      </c>
      <c r="O21" s="14">
        <v>7.0000000000000007E-2</v>
      </c>
      <c r="P21" s="14">
        <v>0.09</v>
      </c>
      <c r="Q21" s="14">
        <v>0.09</v>
      </c>
      <c r="R21" s="14">
        <v>0.11</v>
      </c>
      <c r="S21" s="14">
        <v>7.0000000000000007E-2</v>
      </c>
      <c r="T21" s="14">
        <v>0.08</v>
      </c>
      <c r="U21" s="14">
        <v>0.11</v>
      </c>
      <c r="V21" s="14">
        <v>0.08</v>
      </c>
      <c r="W21" s="14">
        <v>0.14000000000000001</v>
      </c>
      <c r="X21" s="14">
        <v>0.15</v>
      </c>
      <c r="Y21" s="14">
        <v>0.09</v>
      </c>
      <c r="Z21" s="14">
        <v>0.05</v>
      </c>
      <c r="AA21" s="14">
        <v>0.05</v>
      </c>
      <c r="AB21" s="14">
        <v>0.08</v>
      </c>
      <c r="AC21" s="14">
        <v>0.08</v>
      </c>
      <c r="AD21" s="14">
        <v>7.0000000000000007E-2</v>
      </c>
      <c r="AE21" s="14">
        <v>0.12</v>
      </c>
      <c r="AF21" s="14">
        <v>0.13</v>
      </c>
    </row>
    <row r="22" spans="1:32" ht="45.75" x14ac:dyDescent="0.25">
      <c r="A22" s="19"/>
      <c r="B22" s="11" t="s">
        <v>356</v>
      </c>
      <c r="C22" s="12">
        <v>3365</v>
      </c>
      <c r="D22" s="12">
        <v>140</v>
      </c>
      <c r="E22" s="12">
        <v>158</v>
      </c>
      <c r="F22" s="12">
        <v>137</v>
      </c>
      <c r="G22" s="12">
        <v>187</v>
      </c>
      <c r="H22" s="12">
        <v>148</v>
      </c>
      <c r="I22" s="12">
        <v>194</v>
      </c>
      <c r="J22" s="12">
        <v>46</v>
      </c>
      <c r="K22" s="12">
        <v>104</v>
      </c>
      <c r="L22" s="12">
        <v>118</v>
      </c>
      <c r="M22" s="12">
        <v>115</v>
      </c>
      <c r="N22" s="12">
        <v>129</v>
      </c>
      <c r="O22" s="12">
        <v>122</v>
      </c>
      <c r="P22" s="12">
        <v>122</v>
      </c>
      <c r="Q22" s="12">
        <v>81</v>
      </c>
      <c r="R22" s="12">
        <v>49</v>
      </c>
      <c r="S22" s="12">
        <v>96</v>
      </c>
      <c r="T22" s="12">
        <v>101</v>
      </c>
      <c r="U22" s="12">
        <v>76</v>
      </c>
      <c r="V22" s="12">
        <v>139</v>
      </c>
      <c r="W22" s="12">
        <v>62</v>
      </c>
      <c r="X22" s="12">
        <v>164</v>
      </c>
      <c r="Y22" s="12">
        <v>164</v>
      </c>
      <c r="Z22" s="12">
        <v>134</v>
      </c>
      <c r="AA22" s="12">
        <v>150</v>
      </c>
      <c r="AB22" s="12">
        <v>141</v>
      </c>
      <c r="AC22" s="12">
        <v>100</v>
      </c>
      <c r="AD22" s="12">
        <v>126</v>
      </c>
      <c r="AE22" s="12">
        <v>176</v>
      </c>
      <c r="AF22" s="12">
        <v>262</v>
      </c>
    </row>
    <row r="23" spans="1:32" ht="34.5" x14ac:dyDescent="0.25">
      <c r="A23" s="19"/>
      <c r="B23" s="13" t="s">
        <v>357</v>
      </c>
      <c r="C23" s="14">
        <v>0.14000000000000001</v>
      </c>
      <c r="D23" s="14">
        <v>0.15</v>
      </c>
      <c r="E23" s="14">
        <v>0.17</v>
      </c>
      <c r="F23" s="14">
        <v>0.14000000000000001</v>
      </c>
      <c r="G23" s="14">
        <v>0.21</v>
      </c>
      <c r="H23" s="14">
        <v>0.13</v>
      </c>
      <c r="I23" s="14">
        <v>0.14000000000000001</v>
      </c>
      <c r="J23" s="14">
        <v>0.17</v>
      </c>
      <c r="K23" s="14">
        <v>0.11</v>
      </c>
      <c r="L23" s="14">
        <v>0.13</v>
      </c>
      <c r="M23" s="14">
        <v>0.12</v>
      </c>
      <c r="N23" s="14">
        <v>0.15</v>
      </c>
      <c r="O23" s="14">
        <v>0.14000000000000001</v>
      </c>
      <c r="P23" s="14">
        <v>0.13</v>
      </c>
      <c r="Q23" s="14">
        <v>0.08</v>
      </c>
      <c r="R23" s="14">
        <v>0.11</v>
      </c>
      <c r="S23" s="14">
        <v>0.1</v>
      </c>
      <c r="T23" s="14">
        <v>0.1</v>
      </c>
      <c r="U23" s="14">
        <v>0.16</v>
      </c>
      <c r="V23" s="14">
        <v>0.15</v>
      </c>
      <c r="W23" s="14">
        <v>0.14000000000000001</v>
      </c>
      <c r="X23" s="14">
        <v>0.19</v>
      </c>
      <c r="Y23" s="14">
        <v>0.19</v>
      </c>
      <c r="Z23" s="14">
        <v>0.14000000000000001</v>
      </c>
      <c r="AA23" s="14">
        <v>0.16</v>
      </c>
      <c r="AB23" s="14">
        <v>0.15</v>
      </c>
      <c r="AC23" s="14">
        <v>0.11</v>
      </c>
      <c r="AD23" s="14">
        <v>0.14000000000000001</v>
      </c>
      <c r="AE23" s="14">
        <v>0.19</v>
      </c>
      <c r="AF23" s="14">
        <v>0.31</v>
      </c>
    </row>
    <row r="24" spans="1:32" ht="23.25" x14ac:dyDescent="0.25">
      <c r="A24" s="19"/>
      <c r="B24" s="11" t="s">
        <v>358</v>
      </c>
      <c r="C24" s="12">
        <v>5073</v>
      </c>
      <c r="D24" s="12">
        <v>167</v>
      </c>
      <c r="E24" s="12">
        <v>227</v>
      </c>
      <c r="F24" s="12">
        <v>262</v>
      </c>
      <c r="G24" s="12">
        <v>175</v>
      </c>
      <c r="H24" s="12">
        <v>252</v>
      </c>
      <c r="I24" s="12">
        <v>315</v>
      </c>
      <c r="J24" s="12">
        <v>64</v>
      </c>
      <c r="K24" s="12">
        <v>217</v>
      </c>
      <c r="L24" s="12">
        <v>156</v>
      </c>
      <c r="M24" s="12">
        <v>220</v>
      </c>
      <c r="N24" s="12">
        <v>171</v>
      </c>
      <c r="O24" s="12">
        <v>182</v>
      </c>
      <c r="P24" s="12">
        <v>199</v>
      </c>
      <c r="Q24" s="12">
        <v>249</v>
      </c>
      <c r="R24" s="12">
        <v>46</v>
      </c>
      <c r="S24" s="12">
        <v>233</v>
      </c>
      <c r="T24" s="12">
        <v>166</v>
      </c>
      <c r="U24" s="12">
        <v>89</v>
      </c>
      <c r="V24" s="12">
        <v>205</v>
      </c>
      <c r="W24" s="12">
        <v>64</v>
      </c>
      <c r="X24" s="12">
        <v>125</v>
      </c>
      <c r="Y24" s="12">
        <v>168</v>
      </c>
      <c r="Z24" s="12">
        <v>160</v>
      </c>
      <c r="AA24" s="12">
        <v>239</v>
      </c>
      <c r="AB24" s="12">
        <v>179</v>
      </c>
      <c r="AC24" s="12">
        <v>219</v>
      </c>
      <c r="AD24" s="12">
        <v>205</v>
      </c>
      <c r="AE24" s="12">
        <v>235</v>
      </c>
      <c r="AF24" s="12">
        <v>148</v>
      </c>
    </row>
    <row r="25" spans="1:32" ht="23.25" x14ac:dyDescent="0.25">
      <c r="A25" s="19"/>
      <c r="B25" s="13" t="s">
        <v>359</v>
      </c>
      <c r="C25" s="14">
        <v>0.22</v>
      </c>
      <c r="D25" s="14">
        <v>0.18</v>
      </c>
      <c r="E25" s="14">
        <v>0.27</v>
      </c>
      <c r="F25" s="14">
        <v>0.28999999999999998</v>
      </c>
      <c r="G25" s="14">
        <v>0.2</v>
      </c>
      <c r="H25" s="14">
        <v>0.25</v>
      </c>
      <c r="I25" s="14">
        <v>0.25</v>
      </c>
      <c r="J25" s="14">
        <v>0.27</v>
      </c>
      <c r="K25" s="14">
        <v>0.25</v>
      </c>
      <c r="L25" s="14">
        <v>0.18</v>
      </c>
      <c r="M25" s="14">
        <v>0.28999999999999998</v>
      </c>
      <c r="N25" s="14">
        <v>0.2</v>
      </c>
      <c r="O25" s="14">
        <v>0.21</v>
      </c>
      <c r="P25" s="14">
        <v>0.23</v>
      </c>
      <c r="Q25" s="14">
        <v>0.28000000000000003</v>
      </c>
      <c r="R25" s="14">
        <v>0.1</v>
      </c>
      <c r="S25" s="14">
        <v>0.27</v>
      </c>
      <c r="T25" s="14">
        <v>0.18</v>
      </c>
      <c r="U25" s="14">
        <v>0.21</v>
      </c>
      <c r="V25" s="14">
        <v>0.23</v>
      </c>
      <c r="W25" s="14">
        <v>0.14000000000000001</v>
      </c>
      <c r="X25" s="14">
        <v>0.14000000000000001</v>
      </c>
      <c r="Y25" s="14">
        <v>0.2</v>
      </c>
      <c r="Z25" s="14">
        <v>0.17</v>
      </c>
      <c r="AA25" s="14">
        <v>0.31</v>
      </c>
      <c r="AB25" s="14">
        <v>0.2</v>
      </c>
      <c r="AC25" s="14">
        <v>0.25</v>
      </c>
      <c r="AD25" s="14">
        <v>0.25</v>
      </c>
      <c r="AE25" s="14">
        <v>0.28000000000000003</v>
      </c>
      <c r="AF25" s="14">
        <v>0.16</v>
      </c>
    </row>
    <row r="26" spans="1:32" x14ac:dyDescent="0.25">
      <c r="A26" s="19"/>
      <c r="B26" s="11" t="s">
        <v>360</v>
      </c>
      <c r="C26" s="12">
        <v>2966</v>
      </c>
      <c r="D26" s="12">
        <v>124</v>
      </c>
      <c r="E26" s="12">
        <v>116</v>
      </c>
      <c r="F26" s="12">
        <v>128</v>
      </c>
      <c r="G26" s="12">
        <v>143</v>
      </c>
      <c r="H26" s="12">
        <v>194</v>
      </c>
      <c r="I26" s="12">
        <v>223</v>
      </c>
      <c r="J26" s="12">
        <v>29</v>
      </c>
      <c r="K26" s="12">
        <v>110</v>
      </c>
      <c r="L26" s="12">
        <v>152</v>
      </c>
      <c r="M26" s="12">
        <v>95</v>
      </c>
      <c r="N26" s="12">
        <v>83</v>
      </c>
      <c r="O26" s="12">
        <v>83</v>
      </c>
      <c r="P26" s="12">
        <v>105</v>
      </c>
      <c r="Q26" s="12">
        <v>136</v>
      </c>
      <c r="R26" s="12">
        <v>43</v>
      </c>
      <c r="S26" s="12">
        <v>108</v>
      </c>
      <c r="T26" s="12">
        <v>92</v>
      </c>
      <c r="U26" s="12">
        <v>59</v>
      </c>
      <c r="V26" s="12">
        <v>118</v>
      </c>
      <c r="W26" s="12">
        <v>49</v>
      </c>
      <c r="X26" s="12">
        <v>134</v>
      </c>
      <c r="Y26" s="12">
        <v>143</v>
      </c>
      <c r="Z26" s="12">
        <v>99</v>
      </c>
      <c r="AA26" s="12">
        <v>90</v>
      </c>
      <c r="AB26" s="12">
        <v>91</v>
      </c>
      <c r="AC26" s="12">
        <v>129</v>
      </c>
      <c r="AD26" s="12">
        <v>125</v>
      </c>
      <c r="AE26" s="12">
        <v>95</v>
      </c>
      <c r="AF26" s="12">
        <v>90</v>
      </c>
    </row>
    <row r="27" spans="1:32" x14ac:dyDescent="0.25">
      <c r="A27" s="19"/>
      <c r="B27" s="13" t="s">
        <v>361</v>
      </c>
      <c r="C27" s="14">
        <v>0.12</v>
      </c>
      <c r="D27" s="14">
        <v>0.13</v>
      </c>
      <c r="E27" s="14">
        <v>0.12</v>
      </c>
      <c r="F27" s="14">
        <v>0.13</v>
      </c>
      <c r="G27" s="14">
        <v>0.15</v>
      </c>
      <c r="H27" s="14">
        <v>0.17</v>
      </c>
      <c r="I27" s="14">
        <v>0.16</v>
      </c>
      <c r="J27" s="14">
        <v>0.1</v>
      </c>
      <c r="K27" s="14">
        <v>0.12</v>
      </c>
      <c r="L27" s="14">
        <v>0.16</v>
      </c>
      <c r="M27" s="14">
        <v>0.1</v>
      </c>
      <c r="N27" s="14">
        <v>0.09</v>
      </c>
      <c r="O27" s="14">
        <v>0.09</v>
      </c>
      <c r="P27" s="14">
        <v>0.11</v>
      </c>
      <c r="Q27" s="14">
        <v>0.14000000000000001</v>
      </c>
      <c r="R27" s="14">
        <v>0.09</v>
      </c>
      <c r="S27" s="14">
        <v>0.12</v>
      </c>
      <c r="T27" s="14">
        <v>0.09</v>
      </c>
      <c r="U27" s="14">
        <v>0.12</v>
      </c>
      <c r="V27" s="14">
        <v>0.12</v>
      </c>
      <c r="W27" s="14">
        <v>0.1</v>
      </c>
      <c r="X27" s="14">
        <v>0.14000000000000001</v>
      </c>
      <c r="Y27" s="14">
        <v>0.15</v>
      </c>
      <c r="Z27" s="14">
        <v>0.1</v>
      </c>
      <c r="AA27" s="14">
        <v>0.09</v>
      </c>
      <c r="AB27" s="14">
        <v>0.09</v>
      </c>
      <c r="AC27" s="14">
        <v>0.14000000000000001</v>
      </c>
      <c r="AD27" s="14">
        <v>0.13</v>
      </c>
      <c r="AE27" s="14">
        <v>0.1</v>
      </c>
      <c r="AF27" s="14">
        <v>0.09</v>
      </c>
    </row>
    <row r="28" spans="1:32" x14ac:dyDescent="0.25">
      <c r="A28" s="19"/>
      <c r="B28" s="11" t="s">
        <v>362</v>
      </c>
      <c r="C28" s="12">
        <v>1310</v>
      </c>
      <c r="D28" s="12">
        <v>101</v>
      </c>
      <c r="E28" s="12">
        <v>54</v>
      </c>
      <c r="F28" s="12">
        <v>30</v>
      </c>
      <c r="G28" s="12">
        <v>17</v>
      </c>
      <c r="H28" s="12">
        <v>66</v>
      </c>
      <c r="I28" s="12">
        <v>76</v>
      </c>
      <c r="J28" s="12">
        <v>11</v>
      </c>
      <c r="K28" s="12">
        <v>56</v>
      </c>
      <c r="L28" s="12">
        <v>86</v>
      </c>
      <c r="M28" s="12">
        <v>24</v>
      </c>
      <c r="N28" s="12">
        <v>50</v>
      </c>
      <c r="O28" s="12">
        <v>45</v>
      </c>
      <c r="P28" s="12">
        <v>39</v>
      </c>
      <c r="Q28" s="12">
        <v>77</v>
      </c>
      <c r="R28" s="12">
        <v>20</v>
      </c>
      <c r="S28" s="12">
        <v>22</v>
      </c>
      <c r="T28" s="12">
        <v>36</v>
      </c>
      <c r="U28" s="12">
        <v>16</v>
      </c>
      <c r="V28" s="12">
        <v>61</v>
      </c>
      <c r="W28" s="12">
        <v>30</v>
      </c>
      <c r="X28" s="12">
        <v>60</v>
      </c>
      <c r="Y28" s="12">
        <v>66</v>
      </c>
      <c r="Z28" s="12">
        <v>17</v>
      </c>
      <c r="AA28" s="12">
        <v>48</v>
      </c>
      <c r="AB28" s="12">
        <v>50</v>
      </c>
      <c r="AC28" s="12">
        <v>66</v>
      </c>
      <c r="AD28" s="12">
        <v>66</v>
      </c>
      <c r="AE28" s="12">
        <v>14</v>
      </c>
      <c r="AF28" s="12">
        <v>24</v>
      </c>
    </row>
    <row r="29" spans="1:32" x14ac:dyDescent="0.25">
      <c r="A29" s="19"/>
      <c r="B29" s="13" t="s">
        <v>363</v>
      </c>
      <c r="C29" s="14">
        <v>0.05</v>
      </c>
      <c r="D29" s="14">
        <v>0.11</v>
      </c>
      <c r="E29" s="14">
        <v>0.05</v>
      </c>
      <c r="F29" s="14">
        <v>0.03</v>
      </c>
      <c r="G29" s="14">
        <v>0.02</v>
      </c>
      <c r="H29" s="14">
        <v>0.06</v>
      </c>
      <c r="I29" s="14">
        <v>0.05</v>
      </c>
      <c r="J29" s="14">
        <v>0.04</v>
      </c>
      <c r="K29" s="14">
        <v>0.06</v>
      </c>
      <c r="L29" s="14">
        <v>0.09</v>
      </c>
      <c r="M29" s="14">
        <v>0.02</v>
      </c>
      <c r="N29" s="14">
        <v>0.05</v>
      </c>
      <c r="O29" s="14">
        <v>0.05</v>
      </c>
      <c r="P29" s="14">
        <v>0.04</v>
      </c>
      <c r="Q29" s="14">
        <v>0.08</v>
      </c>
      <c r="R29" s="14">
        <v>0.04</v>
      </c>
      <c r="S29" s="14">
        <v>0.02</v>
      </c>
      <c r="T29" s="14">
        <v>0.04</v>
      </c>
      <c r="U29" s="14">
        <v>0.03</v>
      </c>
      <c r="V29" s="14">
        <v>0.06</v>
      </c>
      <c r="W29" s="14">
        <v>0.06</v>
      </c>
      <c r="X29" s="14">
        <v>0.06</v>
      </c>
      <c r="Y29" s="14">
        <v>7.0000000000000007E-2</v>
      </c>
      <c r="Z29" s="14">
        <v>0.02</v>
      </c>
      <c r="AA29" s="14">
        <v>0.05</v>
      </c>
      <c r="AB29" s="14">
        <v>0.05</v>
      </c>
      <c r="AC29" s="14">
        <v>7.0000000000000007E-2</v>
      </c>
      <c r="AD29" s="14">
        <v>7.0000000000000007E-2</v>
      </c>
      <c r="AE29" s="14">
        <v>0.01</v>
      </c>
      <c r="AF29" s="14">
        <v>0.02</v>
      </c>
    </row>
    <row r="30" spans="1:32" ht="34.5" x14ac:dyDescent="0.25">
      <c r="A30" s="19"/>
      <c r="B30" s="11" t="s">
        <v>364</v>
      </c>
      <c r="C30" s="12">
        <v>3533</v>
      </c>
      <c r="D30" s="12">
        <v>123</v>
      </c>
      <c r="E30" s="12">
        <v>106</v>
      </c>
      <c r="F30" s="12">
        <v>53</v>
      </c>
      <c r="G30" s="12">
        <v>197</v>
      </c>
      <c r="H30" s="12">
        <v>165</v>
      </c>
      <c r="I30" s="12">
        <v>199</v>
      </c>
      <c r="J30" s="12">
        <v>34</v>
      </c>
      <c r="K30" s="12">
        <v>50</v>
      </c>
      <c r="L30" s="12">
        <v>173</v>
      </c>
      <c r="M30" s="12">
        <v>143</v>
      </c>
      <c r="N30" s="12">
        <v>113</v>
      </c>
      <c r="O30" s="12">
        <v>155</v>
      </c>
      <c r="P30" s="12">
        <v>129</v>
      </c>
      <c r="Q30" s="12">
        <v>157</v>
      </c>
      <c r="R30" s="12">
        <v>37</v>
      </c>
      <c r="S30" s="12">
        <v>18</v>
      </c>
      <c r="T30" s="12">
        <v>55</v>
      </c>
      <c r="U30" s="12">
        <v>58</v>
      </c>
      <c r="V30" s="12">
        <v>171</v>
      </c>
      <c r="W30" s="12">
        <v>87</v>
      </c>
      <c r="X30" s="12">
        <v>193</v>
      </c>
      <c r="Y30" s="12">
        <v>157</v>
      </c>
      <c r="Z30" s="12">
        <v>92</v>
      </c>
      <c r="AA30" s="12">
        <v>168</v>
      </c>
      <c r="AB30" s="12">
        <v>89</v>
      </c>
      <c r="AC30" s="12">
        <v>80</v>
      </c>
      <c r="AD30" s="12">
        <v>76</v>
      </c>
      <c r="AE30" s="12">
        <v>163</v>
      </c>
      <c r="AF30" s="12">
        <v>229</v>
      </c>
    </row>
    <row r="31" spans="1:32" ht="23.25" x14ac:dyDescent="0.25">
      <c r="A31" s="19"/>
      <c r="B31" s="13" t="s">
        <v>365</v>
      </c>
      <c r="C31" s="14">
        <v>0.14000000000000001</v>
      </c>
      <c r="D31" s="14">
        <v>0.13</v>
      </c>
      <c r="E31" s="14">
        <v>0.11</v>
      </c>
      <c r="F31" s="14">
        <v>0.05</v>
      </c>
      <c r="G31" s="14">
        <v>0.22</v>
      </c>
      <c r="H31" s="14">
        <v>0.14000000000000001</v>
      </c>
      <c r="I31" s="14">
        <v>0.14000000000000001</v>
      </c>
      <c r="J31" s="14">
        <v>0.12</v>
      </c>
      <c r="K31" s="14">
        <v>0.05</v>
      </c>
      <c r="L31" s="14">
        <v>0.19</v>
      </c>
      <c r="M31" s="14">
        <v>0.15</v>
      </c>
      <c r="N31" s="14">
        <v>0.12</v>
      </c>
      <c r="O31" s="14">
        <v>0.17</v>
      </c>
      <c r="P31" s="14">
        <v>0.14000000000000001</v>
      </c>
      <c r="Q31" s="14">
        <v>0.16</v>
      </c>
      <c r="R31" s="14">
        <v>0.08</v>
      </c>
      <c r="S31" s="14">
        <v>0.02</v>
      </c>
      <c r="T31" s="14">
        <v>0.06</v>
      </c>
      <c r="U31" s="14">
        <v>0.12</v>
      </c>
      <c r="V31" s="14">
        <v>0.17</v>
      </c>
      <c r="W31" s="14">
        <v>0.19</v>
      </c>
      <c r="X31" s="14">
        <v>0.22</v>
      </c>
      <c r="Y31" s="14">
        <v>0.17</v>
      </c>
      <c r="Z31" s="14">
        <v>0.1</v>
      </c>
      <c r="AA31" s="14">
        <v>0.18</v>
      </c>
      <c r="AB31" s="14">
        <v>0.09</v>
      </c>
      <c r="AC31" s="14">
        <v>0.08</v>
      </c>
      <c r="AD31" s="14">
        <v>0.08</v>
      </c>
      <c r="AE31" s="14">
        <v>0.18</v>
      </c>
      <c r="AF31" s="14">
        <v>0.27</v>
      </c>
    </row>
    <row r="32" spans="1:32" ht="23.25" x14ac:dyDescent="0.25">
      <c r="A32" s="19"/>
      <c r="B32" s="11" t="s">
        <v>366</v>
      </c>
      <c r="C32" s="12">
        <v>3760</v>
      </c>
      <c r="D32" s="12">
        <v>135</v>
      </c>
      <c r="E32" s="12">
        <v>156</v>
      </c>
      <c r="F32" s="12">
        <v>159</v>
      </c>
      <c r="G32" s="12">
        <v>108</v>
      </c>
      <c r="H32" s="12">
        <v>141</v>
      </c>
      <c r="I32" s="12">
        <v>188</v>
      </c>
      <c r="J32" s="12">
        <v>47</v>
      </c>
      <c r="K32" s="12">
        <v>122</v>
      </c>
      <c r="L32" s="12">
        <v>154</v>
      </c>
      <c r="M32" s="12">
        <v>141</v>
      </c>
      <c r="N32" s="12">
        <v>94</v>
      </c>
      <c r="O32" s="12">
        <v>149</v>
      </c>
      <c r="P32" s="12">
        <v>178</v>
      </c>
      <c r="Q32" s="12">
        <v>142</v>
      </c>
      <c r="R32" s="12">
        <v>24</v>
      </c>
      <c r="S32" s="12">
        <v>92</v>
      </c>
      <c r="T32" s="12">
        <v>108</v>
      </c>
      <c r="U32" s="12">
        <v>64</v>
      </c>
      <c r="V32" s="12">
        <v>165</v>
      </c>
      <c r="W32" s="12">
        <v>82</v>
      </c>
      <c r="X32" s="12">
        <v>162</v>
      </c>
      <c r="Y32" s="12">
        <v>138</v>
      </c>
      <c r="Z32" s="12">
        <v>197</v>
      </c>
      <c r="AA32" s="12">
        <v>167</v>
      </c>
      <c r="AB32" s="12">
        <v>192</v>
      </c>
      <c r="AC32" s="12">
        <v>220</v>
      </c>
      <c r="AD32" s="12">
        <v>235</v>
      </c>
      <c r="AE32" s="12">
        <v>153</v>
      </c>
      <c r="AF32" s="12">
        <v>166</v>
      </c>
    </row>
    <row r="33" spans="1:32" ht="23.25" x14ac:dyDescent="0.25">
      <c r="A33" s="19"/>
      <c r="B33" s="13" t="s">
        <v>367</v>
      </c>
      <c r="C33" s="14">
        <v>0.16</v>
      </c>
      <c r="D33" s="14">
        <v>0.14000000000000001</v>
      </c>
      <c r="E33" s="14">
        <v>0.17</v>
      </c>
      <c r="F33" s="14">
        <v>0.17</v>
      </c>
      <c r="G33" s="14">
        <v>0.11</v>
      </c>
      <c r="H33" s="14">
        <v>0.12</v>
      </c>
      <c r="I33" s="14">
        <v>0.13</v>
      </c>
      <c r="J33" s="14">
        <v>0.17</v>
      </c>
      <c r="K33" s="14">
        <v>0.13</v>
      </c>
      <c r="L33" s="14">
        <v>0.17</v>
      </c>
      <c r="M33" s="14">
        <v>0.15</v>
      </c>
      <c r="N33" s="14">
        <v>0.1</v>
      </c>
      <c r="O33" s="14">
        <v>0.17</v>
      </c>
      <c r="P33" s="14">
        <v>0.21</v>
      </c>
      <c r="Q33" s="14">
        <v>0.15</v>
      </c>
      <c r="R33" s="14">
        <v>0.05</v>
      </c>
      <c r="S33" s="14">
        <v>0.1</v>
      </c>
      <c r="T33" s="14">
        <v>0.11</v>
      </c>
      <c r="U33" s="14">
        <v>0.14000000000000001</v>
      </c>
      <c r="V33" s="14">
        <v>0.18</v>
      </c>
      <c r="W33" s="14">
        <v>0.18</v>
      </c>
      <c r="X33" s="14">
        <v>0.17</v>
      </c>
      <c r="Y33" s="14">
        <v>0.16</v>
      </c>
      <c r="Z33" s="14">
        <v>0.22</v>
      </c>
      <c r="AA33" s="14">
        <v>0.18</v>
      </c>
      <c r="AB33" s="14">
        <v>0.21</v>
      </c>
      <c r="AC33" s="14">
        <v>0.26</v>
      </c>
      <c r="AD33" s="14">
        <v>0.27</v>
      </c>
      <c r="AE33" s="14">
        <v>0.16</v>
      </c>
      <c r="AF33" s="14">
        <v>0.17</v>
      </c>
    </row>
    <row r="34" spans="1:32" ht="23.25" x14ac:dyDescent="0.25">
      <c r="A34" s="19"/>
      <c r="B34" s="11" t="s">
        <v>368</v>
      </c>
      <c r="C34" s="12">
        <v>4613</v>
      </c>
      <c r="D34" s="12">
        <v>207</v>
      </c>
      <c r="E34" s="12">
        <v>125</v>
      </c>
      <c r="F34" s="12">
        <v>121</v>
      </c>
      <c r="G34" s="12">
        <v>188</v>
      </c>
      <c r="H34" s="12">
        <v>246</v>
      </c>
      <c r="I34" s="12">
        <v>308</v>
      </c>
      <c r="J34" s="12">
        <v>62</v>
      </c>
      <c r="K34" s="12">
        <v>180</v>
      </c>
      <c r="L34" s="12">
        <v>158</v>
      </c>
      <c r="M34" s="12">
        <v>223</v>
      </c>
      <c r="N34" s="12">
        <v>275</v>
      </c>
      <c r="O34" s="12">
        <v>185</v>
      </c>
      <c r="P34" s="12">
        <v>124</v>
      </c>
      <c r="Q34" s="12">
        <v>153</v>
      </c>
      <c r="R34" s="12">
        <v>116</v>
      </c>
      <c r="S34" s="12">
        <v>159</v>
      </c>
      <c r="T34" s="12">
        <v>132</v>
      </c>
      <c r="U34" s="12">
        <v>83</v>
      </c>
      <c r="V34" s="12">
        <v>123</v>
      </c>
      <c r="W34" s="12">
        <v>98</v>
      </c>
      <c r="X34" s="12">
        <v>157</v>
      </c>
      <c r="Y34" s="12">
        <v>143</v>
      </c>
      <c r="Z34" s="12">
        <v>56</v>
      </c>
      <c r="AA34" s="12">
        <v>224</v>
      </c>
      <c r="AB34" s="12">
        <v>144</v>
      </c>
      <c r="AC34" s="12">
        <v>130</v>
      </c>
      <c r="AD34" s="12">
        <v>138</v>
      </c>
      <c r="AE34" s="12">
        <v>173</v>
      </c>
      <c r="AF34" s="12">
        <v>216</v>
      </c>
    </row>
    <row r="35" spans="1:32" x14ac:dyDescent="0.25">
      <c r="A35" s="19"/>
      <c r="B35" s="13" t="s">
        <v>369</v>
      </c>
      <c r="C35" s="14">
        <v>0.19</v>
      </c>
      <c r="D35" s="14">
        <v>0.22</v>
      </c>
      <c r="E35" s="14">
        <v>0.13</v>
      </c>
      <c r="F35" s="14">
        <v>0.12</v>
      </c>
      <c r="G35" s="14">
        <v>0.2</v>
      </c>
      <c r="H35" s="14">
        <v>0.22</v>
      </c>
      <c r="I35" s="14">
        <v>0.22</v>
      </c>
      <c r="J35" s="14">
        <v>0.23</v>
      </c>
      <c r="K35" s="14">
        <v>0.2</v>
      </c>
      <c r="L35" s="14">
        <v>0.17</v>
      </c>
      <c r="M35" s="14">
        <v>0.25</v>
      </c>
      <c r="N35" s="14">
        <v>0.33</v>
      </c>
      <c r="O35" s="14">
        <v>0.21</v>
      </c>
      <c r="P35" s="14">
        <v>0.13</v>
      </c>
      <c r="Q35" s="14">
        <v>0.16</v>
      </c>
      <c r="R35" s="14">
        <v>0.27</v>
      </c>
      <c r="S35" s="14">
        <v>0.17</v>
      </c>
      <c r="T35" s="14">
        <v>0.14000000000000001</v>
      </c>
      <c r="U35" s="14">
        <v>0.18</v>
      </c>
      <c r="V35" s="14">
        <v>0.13</v>
      </c>
      <c r="W35" s="14">
        <v>0.22</v>
      </c>
      <c r="X35" s="14">
        <v>0.17</v>
      </c>
      <c r="Y35" s="14">
        <v>0.16</v>
      </c>
      <c r="Z35" s="14">
        <v>0.06</v>
      </c>
      <c r="AA35" s="14">
        <v>0.24</v>
      </c>
      <c r="AB35" s="14">
        <v>0.15</v>
      </c>
      <c r="AC35" s="14">
        <v>0.14000000000000001</v>
      </c>
      <c r="AD35" s="14">
        <v>0.15</v>
      </c>
      <c r="AE35" s="14">
        <v>0.18</v>
      </c>
      <c r="AF35" s="14">
        <v>0.22</v>
      </c>
    </row>
    <row r="36" spans="1:32" ht="45.75" x14ac:dyDescent="0.25">
      <c r="A36" s="19"/>
      <c r="B36" s="11" t="s">
        <v>370</v>
      </c>
      <c r="C36" s="12">
        <v>2976</v>
      </c>
      <c r="D36" s="12">
        <v>91</v>
      </c>
      <c r="E36" s="12">
        <v>184</v>
      </c>
      <c r="F36" s="12">
        <v>94</v>
      </c>
      <c r="G36" s="12">
        <v>59</v>
      </c>
      <c r="H36" s="12">
        <v>117</v>
      </c>
      <c r="I36" s="12">
        <v>149</v>
      </c>
      <c r="J36" s="12">
        <v>32</v>
      </c>
      <c r="K36" s="12">
        <v>113</v>
      </c>
      <c r="L36" s="12">
        <v>120</v>
      </c>
      <c r="M36" s="12">
        <v>214</v>
      </c>
      <c r="N36" s="12">
        <v>107</v>
      </c>
      <c r="O36" s="12">
        <v>104</v>
      </c>
      <c r="P36" s="12">
        <v>172</v>
      </c>
      <c r="Q36" s="12">
        <v>116</v>
      </c>
      <c r="R36" s="12">
        <v>83</v>
      </c>
      <c r="S36" s="12">
        <v>133</v>
      </c>
      <c r="T36" s="12">
        <v>136</v>
      </c>
      <c r="U36" s="12">
        <v>50</v>
      </c>
      <c r="V36" s="12">
        <v>116</v>
      </c>
      <c r="W36" s="12">
        <v>59</v>
      </c>
      <c r="X36" s="12">
        <v>95</v>
      </c>
      <c r="Y36" s="12">
        <v>158</v>
      </c>
      <c r="Z36" s="12">
        <v>150</v>
      </c>
      <c r="AA36" s="12">
        <v>139</v>
      </c>
      <c r="AB36" s="12">
        <v>144</v>
      </c>
      <c r="AC36" s="12">
        <v>81</v>
      </c>
      <c r="AD36" s="12">
        <v>104</v>
      </c>
      <c r="AE36" s="12">
        <v>68</v>
      </c>
      <c r="AF36" s="12">
        <v>65</v>
      </c>
    </row>
    <row r="37" spans="1:32" ht="23.25" x14ac:dyDescent="0.25">
      <c r="A37" s="19"/>
      <c r="B37" s="13" t="s">
        <v>371</v>
      </c>
      <c r="C37" s="14">
        <v>0.12</v>
      </c>
      <c r="D37" s="14">
        <v>0.09</v>
      </c>
      <c r="E37" s="14">
        <v>0.21</v>
      </c>
      <c r="F37" s="14">
        <v>0.1</v>
      </c>
      <c r="G37" s="14">
        <v>0.06</v>
      </c>
      <c r="H37" s="14">
        <v>0.1</v>
      </c>
      <c r="I37" s="14">
        <v>0.1</v>
      </c>
      <c r="J37" s="14">
        <v>0.12</v>
      </c>
      <c r="K37" s="14">
        <v>0.12</v>
      </c>
      <c r="L37" s="14">
        <v>0.13</v>
      </c>
      <c r="M37" s="14">
        <v>0.24</v>
      </c>
      <c r="N37" s="14">
        <v>0.12</v>
      </c>
      <c r="O37" s="14">
        <v>0.11</v>
      </c>
      <c r="P37" s="14">
        <v>0.19</v>
      </c>
      <c r="Q37" s="14">
        <v>0.12</v>
      </c>
      <c r="R37" s="14">
        <v>0.19</v>
      </c>
      <c r="S37" s="14">
        <v>0.15</v>
      </c>
      <c r="T37" s="14">
        <v>0.14000000000000001</v>
      </c>
      <c r="U37" s="14">
        <v>0.1</v>
      </c>
      <c r="V37" s="14">
        <v>0.12</v>
      </c>
      <c r="W37" s="14">
        <v>0.13</v>
      </c>
      <c r="X37" s="14">
        <v>0.1</v>
      </c>
      <c r="Y37" s="14">
        <v>0.17</v>
      </c>
      <c r="Z37" s="14">
        <v>0.16</v>
      </c>
      <c r="AA37" s="14">
        <v>0.15</v>
      </c>
      <c r="AB37" s="14">
        <v>0.15</v>
      </c>
      <c r="AC37" s="14">
        <v>0.08</v>
      </c>
      <c r="AD37" s="14">
        <v>0.11</v>
      </c>
      <c r="AE37" s="14">
        <v>7.0000000000000007E-2</v>
      </c>
      <c r="AF37" s="14">
        <v>0.06</v>
      </c>
    </row>
    <row r="38" spans="1:32" x14ac:dyDescent="0.25">
      <c r="A38" s="19"/>
      <c r="B38" s="11" t="s">
        <v>372</v>
      </c>
      <c r="C38" s="12">
        <v>1711</v>
      </c>
      <c r="D38" s="12">
        <v>72</v>
      </c>
      <c r="E38" s="12">
        <v>54</v>
      </c>
      <c r="F38" s="12">
        <v>40</v>
      </c>
      <c r="G38" s="12">
        <v>46</v>
      </c>
      <c r="H38" s="12">
        <v>45</v>
      </c>
      <c r="I38" s="12">
        <v>61</v>
      </c>
      <c r="J38" s="12">
        <v>16</v>
      </c>
      <c r="K38" s="12">
        <v>91</v>
      </c>
      <c r="L38" s="12">
        <v>63</v>
      </c>
      <c r="M38" s="12">
        <v>99</v>
      </c>
      <c r="N38" s="12">
        <v>94</v>
      </c>
      <c r="O38" s="12">
        <v>89</v>
      </c>
      <c r="P38" s="12">
        <v>63</v>
      </c>
      <c r="Q38" s="12">
        <v>96</v>
      </c>
      <c r="R38" s="12">
        <v>75</v>
      </c>
      <c r="S38" s="12">
        <v>54</v>
      </c>
      <c r="T38" s="12">
        <v>66</v>
      </c>
      <c r="U38" s="12">
        <v>30</v>
      </c>
      <c r="V38" s="12">
        <v>60</v>
      </c>
      <c r="W38" s="12">
        <v>53</v>
      </c>
      <c r="X38" s="12">
        <v>30</v>
      </c>
      <c r="Y38" s="12">
        <v>59</v>
      </c>
      <c r="Z38" s="12">
        <v>42</v>
      </c>
      <c r="AA38" s="12">
        <v>60</v>
      </c>
      <c r="AB38" s="12">
        <v>53</v>
      </c>
      <c r="AC38" s="12">
        <v>46</v>
      </c>
      <c r="AD38" s="12">
        <v>43</v>
      </c>
      <c r="AE38" s="12">
        <v>28</v>
      </c>
      <c r="AF38" s="12">
        <v>33</v>
      </c>
    </row>
    <row r="39" spans="1:32" x14ac:dyDescent="0.25">
      <c r="A39" s="19"/>
      <c r="B39" s="13" t="s">
        <v>373</v>
      </c>
      <c r="C39" s="14">
        <v>7.0000000000000007E-2</v>
      </c>
      <c r="D39" s="14">
        <v>7.0000000000000007E-2</v>
      </c>
      <c r="E39" s="14">
        <v>0.05</v>
      </c>
      <c r="F39" s="14">
        <v>0.04</v>
      </c>
      <c r="G39" s="14">
        <v>0.05</v>
      </c>
      <c r="H39" s="14">
        <v>0.04</v>
      </c>
      <c r="I39" s="14">
        <v>0.04</v>
      </c>
      <c r="J39" s="14">
        <v>0.06</v>
      </c>
      <c r="K39" s="14">
        <v>0.09</v>
      </c>
      <c r="L39" s="14">
        <v>7.0000000000000007E-2</v>
      </c>
      <c r="M39" s="14">
        <v>0.1</v>
      </c>
      <c r="N39" s="14">
        <v>0.1</v>
      </c>
      <c r="O39" s="14">
        <v>0.09</v>
      </c>
      <c r="P39" s="14">
        <v>7.0000000000000007E-2</v>
      </c>
      <c r="Q39" s="14">
        <v>0.1</v>
      </c>
      <c r="R39" s="14">
        <v>0.17</v>
      </c>
      <c r="S39" s="14">
        <v>0.06</v>
      </c>
      <c r="T39" s="14">
        <v>7.0000000000000007E-2</v>
      </c>
      <c r="U39" s="14">
        <v>0.06</v>
      </c>
      <c r="V39" s="14">
        <v>0.06</v>
      </c>
      <c r="W39" s="14">
        <v>0.11</v>
      </c>
      <c r="X39" s="14">
        <v>0.03</v>
      </c>
      <c r="Y39" s="14">
        <v>0.06</v>
      </c>
      <c r="Z39" s="14">
        <v>0.04</v>
      </c>
      <c r="AA39" s="14">
        <v>0.06</v>
      </c>
      <c r="AB39" s="14">
        <v>0.05</v>
      </c>
      <c r="AC39" s="14">
        <v>0.05</v>
      </c>
      <c r="AD39" s="14">
        <v>0.04</v>
      </c>
      <c r="AE39" s="14">
        <v>0.03</v>
      </c>
      <c r="AF39" s="14">
        <v>0.03</v>
      </c>
    </row>
    <row r="40" spans="1:32" x14ac:dyDescent="0.25">
      <c r="A40" s="19"/>
      <c r="B40" s="11" t="s">
        <v>274</v>
      </c>
      <c r="C40" s="12">
        <v>88</v>
      </c>
      <c r="D40" s="12">
        <v>2</v>
      </c>
      <c r="E40" s="12">
        <v>5</v>
      </c>
      <c r="F40" s="12">
        <v>1</v>
      </c>
      <c r="G40" s="12">
        <v>0</v>
      </c>
      <c r="H40" s="12">
        <v>10</v>
      </c>
      <c r="I40" s="12">
        <v>10</v>
      </c>
      <c r="J40" s="12">
        <v>0</v>
      </c>
      <c r="K40" s="12">
        <v>11</v>
      </c>
      <c r="L40" s="12">
        <v>1</v>
      </c>
      <c r="M40" s="12">
        <v>3</v>
      </c>
      <c r="N40" s="12">
        <v>3</v>
      </c>
      <c r="O40" s="12">
        <v>5</v>
      </c>
      <c r="P40" s="12">
        <v>3</v>
      </c>
      <c r="Q40" s="12">
        <v>1</v>
      </c>
      <c r="R40" s="12">
        <v>0</v>
      </c>
      <c r="S40" s="12">
        <v>5</v>
      </c>
      <c r="T40" s="12">
        <v>2</v>
      </c>
      <c r="U40" s="12">
        <v>0</v>
      </c>
      <c r="V40" s="12">
        <v>0</v>
      </c>
      <c r="W40" s="12">
        <v>1</v>
      </c>
      <c r="X40" s="12">
        <v>1</v>
      </c>
      <c r="Y40" s="12">
        <v>16</v>
      </c>
      <c r="Z40" s="12">
        <v>1</v>
      </c>
      <c r="AA40" s="12">
        <v>1</v>
      </c>
      <c r="AB40" s="12">
        <v>3</v>
      </c>
      <c r="AC40" s="12">
        <v>2</v>
      </c>
      <c r="AD40" s="12">
        <v>2</v>
      </c>
      <c r="AE40" s="12">
        <v>2</v>
      </c>
      <c r="AF40" s="12">
        <v>1</v>
      </c>
    </row>
    <row r="41" spans="1:32" x14ac:dyDescent="0.25">
      <c r="A41" s="19"/>
      <c r="B41" s="13" t="s">
        <v>275</v>
      </c>
      <c r="C41" s="15" t="s">
        <v>213</v>
      </c>
      <c r="D41" s="15" t="s">
        <v>213</v>
      </c>
      <c r="E41" s="15" t="s">
        <v>213</v>
      </c>
      <c r="F41" s="15" t="s">
        <v>213</v>
      </c>
      <c r="G41" s="15" t="s">
        <v>213</v>
      </c>
      <c r="H41" s="14">
        <v>0.01</v>
      </c>
      <c r="I41" s="14">
        <v>0.01</v>
      </c>
      <c r="J41" s="15" t="s">
        <v>213</v>
      </c>
      <c r="K41" s="14">
        <v>0.01</v>
      </c>
      <c r="L41" s="15" t="s">
        <v>213</v>
      </c>
      <c r="M41" s="15" t="s">
        <v>213</v>
      </c>
      <c r="N41" s="15" t="s">
        <v>213</v>
      </c>
      <c r="O41" s="14">
        <v>0.01</v>
      </c>
      <c r="P41" s="15" t="s">
        <v>213</v>
      </c>
      <c r="Q41" s="15" t="s">
        <v>213</v>
      </c>
      <c r="R41" s="15" t="s">
        <v>213</v>
      </c>
      <c r="S41" s="14">
        <v>0.01</v>
      </c>
      <c r="T41" s="15" t="s">
        <v>213</v>
      </c>
      <c r="U41" s="15" t="s">
        <v>213</v>
      </c>
      <c r="V41" s="15" t="s">
        <v>213</v>
      </c>
      <c r="W41" s="15" t="s">
        <v>213</v>
      </c>
      <c r="X41" s="15" t="s">
        <v>213</v>
      </c>
      <c r="Y41" s="14">
        <v>0.02</v>
      </c>
      <c r="Z41" s="15" t="s">
        <v>213</v>
      </c>
      <c r="AA41" s="15" t="s">
        <v>213</v>
      </c>
      <c r="AB41" s="15" t="s">
        <v>213</v>
      </c>
      <c r="AC41" s="15" t="s">
        <v>213</v>
      </c>
      <c r="AD41" s="15" t="s">
        <v>213</v>
      </c>
      <c r="AE41" s="15" t="s">
        <v>213</v>
      </c>
      <c r="AF41" s="15" t="s">
        <v>213</v>
      </c>
    </row>
    <row r="42" spans="1:32" x14ac:dyDescent="0.25">
      <c r="A42" s="19"/>
      <c r="B42" s="11" t="s">
        <v>276</v>
      </c>
      <c r="C42" s="12">
        <v>114</v>
      </c>
      <c r="D42" s="12">
        <v>2</v>
      </c>
      <c r="E42" s="12">
        <v>2</v>
      </c>
      <c r="F42" s="12">
        <v>1</v>
      </c>
      <c r="G42" s="12">
        <v>4</v>
      </c>
      <c r="H42" s="12">
        <v>9</v>
      </c>
      <c r="I42" s="12">
        <v>10</v>
      </c>
      <c r="J42" s="12">
        <v>1</v>
      </c>
      <c r="K42" s="12">
        <v>1</v>
      </c>
      <c r="L42" s="12">
        <v>0</v>
      </c>
      <c r="M42" s="12">
        <v>0</v>
      </c>
      <c r="N42" s="12">
        <v>12</v>
      </c>
      <c r="O42" s="12">
        <v>4</v>
      </c>
      <c r="P42" s="12">
        <v>0</v>
      </c>
      <c r="Q42" s="12">
        <v>2</v>
      </c>
      <c r="R42" s="12">
        <v>0</v>
      </c>
      <c r="S42" s="12">
        <v>7</v>
      </c>
      <c r="T42" s="12">
        <v>1</v>
      </c>
      <c r="U42" s="12">
        <v>3</v>
      </c>
      <c r="V42" s="12">
        <v>0</v>
      </c>
      <c r="W42" s="12">
        <v>4</v>
      </c>
      <c r="X42" s="12">
        <v>3</v>
      </c>
      <c r="Y42" s="12">
        <v>1</v>
      </c>
      <c r="Z42" s="12">
        <v>1</v>
      </c>
      <c r="AA42" s="12">
        <v>0</v>
      </c>
      <c r="AB42" s="12">
        <v>1</v>
      </c>
      <c r="AC42" s="12">
        <v>5</v>
      </c>
      <c r="AD42" s="12">
        <v>0</v>
      </c>
      <c r="AE42" s="12">
        <v>6</v>
      </c>
      <c r="AF42" s="12">
        <v>9</v>
      </c>
    </row>
    <row r="43" spans="1:32" x14ac:dyDescent="0.25">
      <c r="A43" s="19"/>
      <c r="B43" s="13" t="s">
        <v>277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4">
        <v>0.01</v>
      </c>
      <c r="I43" s="14">
        <v>0.01</v>
      </c>
      <c r="J43" s="15" t="s">
        <v>213</v>
      </c>
      <c r="K43" s="15" t="s">
        <v>213</v>
      </c>
      <c r="L43" s="15" t="s">
        <v>213</v>
      </c>
      <c r="M43" s="15" t="s">
        <v>213</v>
      </c>
      <c r="N43" s="14">
        <v>0.01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4">
        <v>0.01</v>
      </c>
      <c r="V43" s="15" t="s">
        <v>213</v>
      </c>
      <c r="W43" s="14">
        <v>0.01</v>
      </c>
      <c r="X43" s="15" t="s">
        <v>213</v>
      </c>
      <c r="Y43" s="15" t="s">
        <v>213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4">
        <v>0.01</v>
      </c>
      <c r="AF43" s="14">
        <v>0.01</v>
      </c>
    </row>
    <row r="44" spans="1:32" x14ac:dyDescent="0.25">
      <c r="A44" s="19"/>
      <c r="B44" s="11" t="s">
        <v>224</v>
      </c>
      <c r="C44" s="12">
        <v>144</v>
      </c>
      <c r="D44" s="12">
        <v>3</v>
      </c>
      <c r="E44" s="12">
        <v>1</v>
      </c>
      <c r="F44" s="12">
        <v>4</v>
      </c>
      <c r="G44" s="12">
        <v>7</v>
      </c>
      <c r="H44" s="12">
        <v>1</v>
      </c>
      <c r="I44" s="12">
        <v>1</v>
      </c>
      <c r="J44" s="12">
        <v>0</v>
      </c>
      <c r="K44" s="12">
        <v>9</v>
      </c>
      <c r="L44" s="12">
        <v>2</v>
      </c>
      <c r="M44" s="12">
        <v>1</v>
      </c>
      <c r="N44" s="12">
        <v>15</v>
      </c>
      <c r="O44" s="12">
        <v>10</v>
      </c>
      <c r="P44" s="12">
        <v>0</v>
      </c>
      <c r="Q44" s="12">
        <v>5</v>
      </c>
      <c r="R44" s="12">
        <v>9</v>
      </c>
      <c r="S44" s="12">
        <v>22</v>
      </c>
      <c r="T44" s="12">
        <v>7</v>
      </c>
      <c r="U44" s="12">
        <v>0</v>
      </c>
      <c r="V44" s="12">
        <v>3</v>
      </c>
      <c r="W44" s="12">
        <v>0</v>
      </c>
      <c r="X44" s="12">
        <v>3</v>
      </c>
      <c r="Y44" s="12">
        <v>3</v>
      </c>
      <c r="Z44" s="12">
        <v>5</v>
      </c>
      <c r="AA44" s="12">
        <v>8</v>
      </c>
      <c r="AB44" s="12">
        <v>1</v>
      </c>
      <c r="AC44" s="12">
        <v>2</v>
      </c>
      <c r="AD44" s="12">
        <v>1</v>
      </c>
      <c r="AE44" s="12">
        <v>8</v>
      </c>
      <c r="AF44" s="12">
        <v>0</v>
      </c>
    </row>
    <row r="45" spans="1:32" x14ac:dyDescent="0.25">
      <c r="A45" s="19"/>
      <c r="B45" s="13" t="s">
        <v>237</v>
      </c>
      <c r="C45" s="14">
        <v>0.01</v>
      </c>
      <c r="D45" s="15" t="s">
        <v>213</v>
      </c>
      <c r="E45" s="15" t="s">
        <v>213</v>
      </c>
      <c r="F45" s="15" t="s">
        <v>213</v>
      </c>
      <c r="G45" s="14">
        <v>0.01</v>
      </c>
      <c r="H45" s="15" t="s">
        <v>213</v>
      </c>
      <c r="I45" s="15" t="s">
        <v>213</v>
      </c>
      <c r="J45" s="15" t="s">
        <v>213</v>
      </c>
      <c r="K45" s="14">
        <v>0.01</v>
      </c>
      <c r="L45" s="15" t="s">
        <v>213</v>
      </c>
      <c r="M45" s="15" t="s">
        <v>213</v>
      </c>
      <c r="N45" s="14">
        <v>0.02</v>
      </c>
      <c r="O45" s="14">
        <v>0.01</v>
      </c>
      <c r="P45" s="15" t="s">
        <v>213</v>
      </c>
      <c r="Q45" s="14">
        <v>0.01</v>
      </c>
      <c r="R45" s="14">
        <v>0.02</v>
      </c>
      <c r="S45" s="14">
        <v>0.02</v>
      </c>
      <c r="T45" s="14">
        <v>0.01</v>
      </c>
      <c r="U45" s="15" t="s">
        <v>213</v>
      </c>
      <c r="V45" s="15" t="s">
        <v>213</v>
      </c>
      <c r="W45" s="15" t="s">
        <v>213</v>
      </c>
      <c r="X45" s="15" t="s">
        <v>213</v>
      </c>
      <c r="Y45" s="15" t="s">
        <v>213</v>
      </c>
      <c r="Z45" s="15" t="s">
        <v>213</v>
      </c>
      <c r="AA45" s="14">
        <v>0.01</v>
      </c>
      <c r="AB45" s="15" t="s">
        <v>213</v>
      </c>
      <c r="AC45" s="15" t="s">
        <v>213</v>
      </c>
      <c r="AD45" s="15" t="s">
        <v>213</v>
      </c>
      <c r="AE45" s="14">
        <v>0.01</v>
      </c>
      <c r="AF45" s="15" t="s">
        <v>213</v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5"/>
  <sheetViews>
    <sheetView tabSelected="1" workbookViewId="0">
      <pane xSplit="3" ySplit="9" topLeftCell="D10" activePane="bottomRight" state="frozen"/>
      <selection pane="topRight"/>
      <selection pane="bottomLeft"/>
      <selection pane="bottomRight" activeCell="B3" sqref="B3:F3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36" customHeight="1" x14ac:dyDescent="0.25">
      <c r="B3" s="18" t="s">
        <v>840</v>
      </c>
      <c r="C3" s="18"/>
      <c r="D3" s="18"/>
      <c r="E3" s="18"/>
      <c r="F3" s="18"/>
      <c r="H3" s="18" t="s">
        <v>44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45.75" x14ac:dyDescent="0.25">
      <c r="A12" s="19"/>
      <c r="B12" s="11" t="s">
        <v>346</v>
      </c>
      <c r="C12" s="12">
        <v>7586</v>
      </c>
      <c r="D12" s="12">
        <v>260</v>
      </c>
      <c r="E12" s="12">
        <v>348</v>
      </c>
      <c r="F12" s="12">
        <v>425</v>
      </c>
      <c r="G12" s="12">
        <v>320</v>
      </c>
      <c r="H12" s="12">
        <v>338</v>
      </c>
      <c r="I12" s="12">
        <v>444</v>
      </c>
      <c r="J12" s="12">
        <v>105</v>
      </c>
      <c r="K12" s="12">
        <v>300</v>
      </c>
      <c r="L12" s="12">
        <v>277</v>
      </c>
      <c r="M12" s="12">
        <v>321</v>
      </c>
      <c r="N12" s="12">
        <v>226</v>
      </c>
      <c r="O12" s="12">
        <v>248</v>
      </c>
      <c r="P12" s="12">
        <v>351</v>
      </c>
      <c r="Q12" s="12">
        <v>321</v>
      </c>
      <c r="R12" s="12">
        <v>125</v>
      </c>
      <c r="S12" s="12">
        <v>258</v>
      </c>
      <c r="T12" s="12">
        <v>236</v>
      </c>
      <c r="U12" s="12">
        <v>137</v>
      </c>
      <c r="V12" s="12">
        <v>326</v>
      </c>
      <c r="W12" s="12">
        <v>90</v>
      </c>
      <c r="X12" s="12">
        <v>321</v>
      </c>
      <c r="Y12" s="12">
        <v>288</v>
      </c>
      <c r="Z12" s="12">
        <v>309</v>
      </c>
      <c r="AA12" s="12">
        <v>321</v>
      </c>
      <c r="AB12" s="12">
        <v>273</v>
      </c>
      <c r="AC12" s="12">
        <v>360</v>
      </c>
      <c r="AD12" s="12">
        <v>402</v>
      </c>
      <c r="AE12" s="12">
        <v>301</v>
      </c>
      <c r="AF12" s="12">
        <v>325</v>
      </c>
    </row>
    <row r="13" spans="1:32" ht="34.5" x14ac:dyDescent="0.25">
      <c r="A13" s="19"/>
      <c r="B13" s="13" t="s">
        <v>347</v>
      </c>
      <c r="C13" s="14">
        <v>0.28999999999999998</v>
      </c>
      <c r="D13" s="14">
        <v>0.26</v>
      </c>
      <c r="E13" s="14">
        <v>0.33</v>
      </c>
      <c r="F13" s="14">
        <v>0.4</v>
      </c>
      <c r="G13" s="14">
        <v>0.31</v>
      </c>
      <c r="H13" s="14">
        <v>0.28000000000000003</v>
      </c>
      <c r="I13" s="14">
        <v>0.28999999999999998</v>
      </c>
      <c r="J13" s="14">
        <v>0.35</v>
      </c>
      <c r="K13" s="14">
        <v>0.3</v>
      </c>
      <c r="L13" s="14">
        <v>0.27</v>
      </c>
      <c r="M13" s="14">
        <v>0.32</v>
      </c>
      <c r="N13" s="14">
        <v>0.22</v>
      </c>
      <c r="O13" s="14">
        <v>0.25</v>
      </c>
      <c r="P13" s="14">
        <v>0.35</v>
      </c>
      <c r="Q13" s="14">
        <v>0.31</v>
      </c>
      <c r="R13" s="14">
        <v>0.25</v>
      </c>
      <c r="S13" s="14">
        <v>0.26</v>
      </c>
      <c r="T13" s="14">
        <v>0.23</v>
      </c>
      <c r="U13" s="14">
        <v>0.27</v>
      </c>
      <c r="V13" s="14">
        <v>0.32</v>
      </c>
      <c r="W13" s="14">
        <v>0.18</v>
      </c>
      <c r="X13" s="14">
        <v>0.32</v>
      </c>
      <c r="Y13" s="14">
        <v>0.28999999999999998</v>
      </c>
      <c r="Z13" s="14">
        <v>0.3</v>
      </c>
      <c r="AA13" s="14">
        <v>0.31</v>
      </c>
      <c r="AB13" s="14">
        <v>0.26</v>
      </c>
      <c r="AC13" s="14">
        <v>0.36</v>
      </c>
      <c r="AD13" s="14">
        <v>0.4</v>
      </c>
      <c r="AE13" s="14">
        <v>0.3</v>
      </c>
      <c r="AF13" s="14">
        <v>0.31</v>
      </c>
    </row>
    <row r="14" spans="1:32" x14ac:dyDescent="0.25">
      <c r="A14" s="19"/>
      <c r="B14" s="11" t="s">
        <v>348</v>
      </c>
      <c r="C14" s="12">
        <v>10602</v>
      </c>
      <c r="D14" s="12">
        <v>444</v>
      </c>
      <c r="E14" s="12">
        <v>245</v>
      </c>
      <c r="F14" s="12">
        <v>437</v>
      </c>
      <c r="G14" s="12">
        <v>494</v>
      </c>
      <c r="H14" s="12">
        <v>545</v>
      </c>
      <c r="I14" s="12">
        <v>661</v>
      </c>
      <c r="J14" s="12">
        <v>117</v>
      </c>
      <c r="K14" s="12">
        <v>350</v>
      </c>
      <c r="L14" s="12">
        <v>319</v>
      </c>
      <c r="M14" s="12">
        <v>319</v>
      </c>
      <c r="N14" s="12">
        <v>276</v>
      </c>
      <c r="O14" s="12">
        <v>447</v>
      </c>
      <c r="P14" s="12">
        <v>282</v>
      </c>
      <c r="Q14" s="12">
        <v>440</v>
      </c>
      <c r="R14" s="12">
        <v>253</v>
      </c>
      <c r="S14" s="12">
        <v>458</v>
      </c>
      <c r="T14" s="12">
        <v>563</v>
      </c>
      <c r="U14" s="12">
        <v>229</v>
      </c>
      <c r="V14" s="12">
        <v>319</v>
      </c>
      <c r="W14" s="12">
        <v>163</v>
      </c>
      <c r="X14" s="12">
        <v>490</v>
      </c>
      <c r="Y14" s="12">
        <v>346</v>
      </c>
      <c r="Z14" s="12">
        <v>490</v>
      </c>
      <c r="AA14" s="12">
        <v>343</v>
      </c>
      <c r="AB14" s="12">
        <v>351</v>
      </c>
      <c r="AC14" s="12">
        <v>281</v>
      </c>
      <c r="AD14" s="12">
        <v>308</v>
      </c>
      <c r="AE14" s="12">
        <v>467</v>
      </c>
      <c r="AF14" s="12">
        <v>365</v>
      </c>
    </row>
    <row r="15" spans="1:32" x14ac:dyDescent="0.25">
      <c r="A15" s="19"/>
      <c r="B15" s="13" t="s">
        <v>349</v>
      </c>
      <c r="C15" s="14">
        <v>0.4</v>
      </c>
      <c r="D15" s="14">
        <v>0.44</v>
      </c>
      <c r="E15" s="14">
        <v>0.23</v>
      </c>
      <c r="F15" s="14">
        <v>0.41</v>
      </c>
      <c r="G15" s="14">
        <v>0.49</v>
      </c>
      <c r="H15" s="14">
        <v>0.44</v>
      </c>
      <c r="I15" s="14">
        <v>0.43</v>
      </c>
      <c r="J15" s="14">
        <v>0.39</v>
      </c>
      <c r="K15" s="14">
        <v>0.35</v>
      </c>
      <c r="L15" s="14">
        <v>0.32</v>
      </c>
      <c r="M15" s="14">
        <v>0.32</v>
      </c>
      <c r="N15" s="14">
        <v>0.27</v>
      </c>
      <c r="O15" s="14">
        <v>0.45</v>
      </c>
      <c r="P15" s="14">
        <v>0.28000000000000003</v>
      </c>
      <c r="Q15" s="14">
        <v>0.43</v>
      </c>
      <c r="R15" s="14">
        <v>0.5</v>
      </c>
      <c r="S15" s="14">
        <v>0.46</v>
      </c>
      <c r="T15" s="14">
        <v>0.55000000000000004</v>
      </c>
      <c r="U15" s="14">
        <v>0.45</v>
      </c>
      <c r="V15" s="14">
        <v>0.31</v>
      </c>
      <c r="W15" s="14">
        <v>0.32</v>
      </c>
      <c r="X15" s="14">
        <v>0.48</v>
      </c>
      <c r="Y15" s="14">
        <v>0.35</v>
      </c>
      <c r="Z15" s="14">
        <v>0.48</v>
      </c>
      <c r="AA15" s="14">
        <v>0.33</v>
      </c>
      <c r="AB15" s="14">
        <v>0.34</v>
      </c>
      <c r="AC15" s="14">
        <v>0.28000000000000003</v>
      </c>
      <c r="AD15" s="14">
        <v>0.31</v>
      </c>
      <c r="AE15" s="14">
        <v>0.47</v>
      </c>
      <c r="AF15" s="14">
        <v>0.35</v>
      </c>
    </row>
    <row r="16" spans="1:32" ht="34.5" x14ac:dyDescent="0.25">
      <c r="A16" s="19"/>
      <c r="B16" s="11" t="s">
        <v>350</v>
      </c>
      <c r="C16" s="12">
        <v>4479</v>
      </c>
      <c r="D16" s="12">
        <v>153</v>
      </c>
      <c r="E16" s="12">
        <v>248</v>
      </c>
      <c r="F16" s="12">
        <v>212</v>
      </c>
      <c r="G16" s="12">
        <v>185</v>
      </c>
      <c r="H16" s="12">
        <v>225</v>
      </c>
      <c r="I16" s="12">
        <v>266</v>
      </c>
      <c r="J16" s="12">
        <v>41</v>
      </c>
      <c r="K16" s="12">
        <v>218</v>
      </c>
      <c r="L16" s="12">
        <v>128</v>
      </c>
      <c r="M16" s="12">
        <v>191</v>
      </c>
      <c r="N16" s="12">
        <v>119</v>
      </c>
      <c r="O16" s="12">
        <v>182</v>
      </c>
      <c r="P16" s="12">
        <v>168</v>
      </c>
      <c r="Q16" s="12">
        <v>184</v>
      </c>
      <c r="R16" s="12">
        <v>93</v>
      </c>
      <c r="S16" s="12">
        <v>246</v>
      </c>
      <c r="T16" s="12">
        <v>294</v>
      </c>
      <c r="U16" s="12">
        <v>140</v>
      </c>
      <c r="V16" s="12">
        <v>189</v>
      </c>
      <c r="W16" s="12">
        <v>64</v>
      </c>
      <c r="X16" s="12">
        <v>136</v>
      </c>
      <c r="Y16" s="12">
        <v>172</v>
      </c>
      <c r="Z16" s="12">
        <v>181</v>
      </c>
      <c r="AA16" s="12">
        <v>63</v>
      </c>
      <c r="AB16" s="12">
        <v>196</v>
      </c>
      <c r="AC16" s="12">
        <v>194</v>
      </c>
      <c r="AD16" s="12">
        <v>208</v>
      </c>
      <c r="AE16" s="12">
        <v>219</v>
      </c>
      <c r="AF16" s="12">
        <v>181</v>
      </c>
    </row>
    <row r="17" spans="1:32" ht="23.25" x14ac:dyDescent="0.25">
      <c r="A17" s="19"/>
      <c r="B17" s="13" t="s">
        <v>351</v>
      </c>
      <c r="C17" s="14">
        <v>0.17</v>
      </c>
      <c r="D17" s="14">
        <v>0.15</v>
      </c>
      <c r="E17" s="14">
        <v>0.24</v>
      </c>
      <c r="F17" s="14">
        <v>0.2</v>
      </c>
      <c r="G17" s="14">
        <v>0.18</v>
      </c>
      <c r="H17" s="14">
        <v>0.18</v>
      </c>
      <c r="I17" s="14">
        <v>0.17</v>
      </c>
      <c r="J17" s="14">
        <v>0.14000000000000001</v>
      </c>
      <c r="K17" s="14">
        <v>0.22</v>
      </c>
      <c r="L17" s="14">
        <v>0.13</v>
      </c>
      <c r="M17" s="14">
        <v>0.19</v>
      </c>
      <c r="N17" s="14">
        <v>0.12</v>
      </c>
      <c r="O17" s="14">
        <v>0.18</v>
      </c>
      <c r="P17" s="14">
        <v>0.17</v>
      </c>
      <c r="Q17" s="14">
        <v>0.18</v>
      </c>
      <c r="R17" s="14">
        <v>0.19</v>
      </c>
      <c r="S17" s="14">
        <v>0.24</v>
      </c>
      <c r="T17" s="14">
        <v>0.28999999999999998</v>
      </c>
      <c r="U17" s="14">
        <v>0.28000000000000003</v>
      </c>
      <c r="V17" s="14">
        <v>0.18</v>
      </c>
      <c r="W17" s="14">
        <v>0.13</v>
      </c>
      <c r="X17" s="14">
        <v>0.13</v>
      </c>
      <c r="Y17" s="14">
        <v>0.17</v>
      </c>
      <c r="Z17" s="14">
        <v>0.18</v>
      </c>
      <c r="AA17" s="14">
        <v>0.06</v>
      </c>
      <c r="AB17" s="14">
        <v>0.19</v>
      </c>
      <c r="AC17" s="14">
        <v>0.19</v>
      </c>
      <c r="AD17" s="14">
        <v>0.21</v>
      </c>
      <c r="AE17" s="14">
        <v>0.22</v>
      </c>
      <c r="AF17" s="14">
        <v>0.18</v>
      </c>
    </row>
    <row r="18" spans="1:32" ht="34.5" x14ac:dyDescent="0.25">
      <c r="A18" s="19"/>
      <c r="B18" s="11" t="s">
        <v>352</v>
      </c>
      <c r="C18" s="12">
        <v>1879</v>
      </c>
      <c r="D18" s="12">
        <v>68</v>
      </c>
      <c r="E18" s="12">
        <v>93</v>
      </c>
      <c r="F18" s="12">
        <v>87</v>
      </c>
      <c r="G18" s="12">
        <v>79</v>
      </c>
      <c r="H18" s="12">
        <v>90</v>
      </c>
      <c r="I18" s="12">
        <v>104</v>
      </c>
      <c r="J18" s="12">
        <v>13</v>
      </c>
      <c r="K18" s="12">
        <v>100</v>
      </c>
      <c r="L18" s="12">
        <v>54</v>
      </c>
      <c r="M18" s="12">
        <v>71</v>
      </c>
      <c r="N18" s="12">
        <v>54</v>
      </c>
      <c r="O18" s="12">
        <v>48</v>
      </c>
      <c r="P18" s="12">
        <v>100</v>
      </c>
      <c r="Q18" s="12">
        <v>84</v>
      </c>
      <c r="R18" s="12">
        <v>26</v>
      </c>
      <c r="S18" s="12">
        <v>111</v>
      </c>
      <c r="T18" s="12">
        <v>214</v>
      </c>
      <c r="U18" s="12">
        <v>56</v>
      </c>
      <c r="V18" s="12">
        <v>110</v>
      </c>
      <c r="W18" s="12">
        <v>40</v>
      </c>
      <c r="X18" s="12">
        <v>34</v>
      </c>
      <c r="Y18" s="12">
        <v>74</v>
      </c>
      <c r="Z18" s="12">
        <v>104</v>
      </c>
      <c r="AA18" s="12">
        <v>59</v>
      </c>
      <c r="AB18" s="12">
        <v>128</v>
      </c>
      <c r="AC18" s="12">
        <v>90</v>
      </c>
      <c r="AD18" s="12">
        <v>76</v>
      </c>
      <c r="AE18" s="12">
        <v>42</v>
      </c>
      <c r="AF18" s="12">
        <v>39</v>
      </c>
    </row>
    <row r="19" spans="1:32" ht="23.25" x14ac:dyDescent="0.25">
      <c r="A19" s="19"/>
      <c r="B19" s="13" t="s">
        <v>353</v>
      </c>
      <c r="C19" s="14">
        <v>7.0000000000000007E-2</v>
      </c>
      <c r="D19" s="14">
        <v>7.0000000000000007E-2</v>
      </c>
      <c r="E19" s="14">
        <v>0.09</v>
      </c>
      <c r="F19" s="14">
        <v>0.08</v>
      </c>
      <c r="G19" s="14">
        <v>0.08</v>
      </c>
      <c r="H19" s="14">
        <v>7.0000000000000007E-2</v>
      </c>
      <c r="I19" s="14">
        <v>7.0000000000000007E-2</v>
      </c>
      <c r="J19" s="14">
        <v>0.04</v>
      </c>
      <c r="K19" s="14">
        <v>0.1</v>
      </c>
      <c r="L19" s="14">
        <v>0.05</v>
      </c>
      <c r="M19" s="14">
        <v>7.0000000000000007E-2</v>
      </c>
      <c r="N19" s="14">
        <v>0.05</v>
      </c>
      <c r="O19" s="14">
        <v>0.05</v>
      </c>
      <c r="P19" s="14">
        <v>0.1</v>
      </c>
      <c r="Q19" s="14">
        <v>0.08</v>
      </c>
      <c r="R19" s="14">
        <v>0.05</v>
      </c>
      <c r="S19" s="14">
        <v>0.11</v>
      </c>
      <c r="T19" s="14">
        <v>0.21</v>
      </c>
      <c r="U19" s="14">
        <v>0.11</v>
      </c>
      <c r="V19" s="14">
        <v>0.11</v>
      </c>
      <c r="W19" s="14">
        <v>0.08</v>
      </c>
      <c r="X19" s="14">
        <v>0.03</v>
      </c>
      <c r="Y19" s="14">
        <v>7.0000000000000007E-2</v>
      </c>
      <c r="Z19" s="14">
        <v>0.1</v>
      </c>
      <c r="AA19" s="14">
        <v>0.06</v>
      </c>
      <c r="AB19" s="14">
        <v>0.12</v>
      </c>
      <c r="AC19" s="14">
        <v>0.09</v>
      </c>
      <c r="AD19" s="14">
        <v>0.08</v>
      </c>
      <c r="AE19" s="14">
        <v>0.04</v>
      </c>
      <c r="AF19" s="14">
        <v>0.04</v>
      </c>
    </row>
    <row r="20" spans="1:32" ht="34.5" x14ac:dyDescent="0.25">
      <c r="A20" s="19"/>
      <c r="B20" s="11" t="s">
        <v>354</v>
      </c>
      <c r="C20" s="12">
        <v>3278</v>
      </c>
      <c r="D20" s="12">
        <v>159</v>
      </c>
      <c r="E20" s="12">
        <v>140</v>
      </c>
      <c r="F20" s="12">
        <v>136</v>
      </c>
      <c r="G20" s="12">
        <v>174</v>
      </c>
      <c r="H20" s="12">
        <v>172</v>
      </c>
      <c r="I20" s="12">
        <v>202</v>
      </c>
      <c r="J20" s="12">
        <v>30</v>
      </c>
      <c r="K20" s="12">
        <v>166</v>
      </c>
      <c r="L20" s="12">
        <v>116</v>
      </c>
      <c r="M20" s="12">
        <v>96</v>
      </c>
      <c r="N20" s="12">
        <v>134</v>
      </c>
      <c r="O20" s="12">
        <v>97</v>
      </c>
      <c r="P20" s="12">
        <v>130</v>
      </c>
      <c r="Q20" s="12">
        <v>137</v>
      </c>
      <c r="R20" s="12">
        <v>66</v>
      </c>
      <c r="S20" s="12">
        <v>98</v>
      </c>
      <c r="T20" s="12">
        <v>123</v>
      </c>
      <c r="U20" s="12">
        <v>67</v>
      </c>
      <c r="V20" s="12">
        <v>119</v>
      </c>
      <c r="W20" s="12">
        <v>100</v>
      </c>
      <c r="X20" s="12">
        <v>219</v>
      </c>
      <c r="Y20" s="12">
        <v>134</v>
      </c>
      <c r="Z20" s="12">
        <v>83</v>
      </c>
      <c r="AA20" s="12">
        <v>69</v>
      </c>
      <c r="AB20" s="12">
        <v>112</v>
      </c>
      <c r="AC20" s="12">
        <v>129</v>
      </c>
      <c r="AD20" s="12">
        <v>98</v>
      </c>
      <c r="AE20" s="12">
        <v>157</v>
      </c>
      <c r="AF20" s="12">
        <v>173</v>
      </c>
    </row>
    <row r="21" spans="1:32" ht="34.5" x14ac:dyDescent="0.25">
      <c r="A21" s="19"/>
      <c r="B21" s="13" t="s">
        <v>355</v>
      </c>
      <c r="C21" s="14">
        <v>0.12</v>
      </c>
      <c r="D21" s="14">
        <v>0.16</v>
      </c>
      <c r="E21" s="14">
        <v>0.13</v>
      </c>
      <c r="F21" s="14">
        <v>0.13</v>
      </c>
      <c r="G21" s="14">
        <v>0.17</v>
      </c>
      <c r="H21" s="14">
        <v>0.14000000000000001</v>
      </c>
      <c r="I21" s="14">
        <v>0.13</v>
      </c>
      <c r="J21" s="14">
        <v>0.1</v>
      </c>
      <c r="K21" s="14">
        <v>0.16</v>
      </c>
      <c r="L21" s="14">
        <v>0.12</v>
      </c>
      <c r="M21" s="14">
        <v>0.09</v>
      </c>
      <c r="N21" s="14">
        <v>0.13</v>
      </c>
      <c r="O21" s="14">
        <v>0.1</v>
      </c>
      <c r="P21" s="14">
        <v>0.13</v>
      </c>
      <c r="Q21" s="14">
        <v>0.13</v>
      </c>
      <c r="R21" s="14">
        <v>0.13</v>
      </c>
      <c r="S21" s="14">
        <v>0.1</v>
      </c>
      <c r="T21" s="14">
        <v>0.12</v>
      </c>
      <c r="U21" s="14">
        <v>0.13</v>
      </c>
      <c r="V21" s="14">
        <v>0.12</v>
      </c>
      <c r="W21" s="14">
        <v>0.2</v>
      </c>
      <c r="X21" s="14">
        <v>0.22</v>
      </c>
      <c r="Y21" s="14">
        <v>0.13</v>
      </c>
      <c r="Z21" s="14">
        <v>0.08</v>
      </c>
      <c r="AA21" s="14">
        <v>7.0000000000000007E-2</v>
      </c>
      <c r="AB21" s="14">
        <v>0.11</v>
      </c>
      <c r="AC21" s="14">
        <v>0.13</v>
      </c>
      <c r="AD21" s="14">
        <v>0.1</v>
      </c>
      <c r="AE21" s="14">
        <v>0.16</v>
      </c>
      <c r="AF21" s="14">
        <v>0.17</v>
      </c>
    </row>
    <row r="22" spans="1:32" ht="45.75" x14ac:dyDescent="0.25">
      <c r="A22" s="19"/>
      <c r="B22" s="11" t="s">
        <v>356</v>
      </c>
      <c r="C22" s="12">
        <v>5465</v>
      </c>
      <c r="D22" s="12">
        <v>232</v>
      </c>
      <c r="E22" s="12">
        <v>231</v>
      </c>
      <c r="F22" s="12">
        <v>204</v>
      </c>
      <c r="G22" s="12">
        <v>303</v>
      </c>
      <c r="H22" s="12">
        <v>260</v>
      </c>
      <c r="I22" s="12">
        <v>330</v>
      </c>
      <c r="J22" s="12">
        <v>70</v>
      </c>
      <c r="K22" s="12">
        <v>180</v>
      </c>
      <c r="L22" s="12">
        <v>204</v>
      </c>
      <c r="M22" s="12">
        <v>184</v>
      </c>
      <c r="N22" s="12">
        <v>226</v>
      </c>
      <c r="O22" s="12">
        <v>207</v>
      </c>
      <c r="P22" s="12">
        <v>165</v>
      </c>
      <c r="Q22" s="12">
        <v>122</v>
      </c>
      <c r="R22" s="12">
        <v>84</v>
      </c>
      <c r="S22" s="12">
        <v>150</v>
      </c>
      <c r="T22" s="12">
        <v>144</v>
      </c>
      <c r="U22" s="12">
        <v>114</v>
      </c>
      <c r="V22" s="12">
        <v>222</v>
      </c>
      <c r="W22" s="12">
        <v>102</v>
      </c>
      <c r="X22" s="12">
        <v>276</v>
      </c>
      <c r="Y22" s="12">
        <v>304</v>
      </c>
      <c r="Z22" s="12">
        <v>180</v>
      </c>
      <c r="AA22" s="12">
        <v>235</v>
      </c>
      <c r="AB22" s="12">
        <v>212</v>
      </c>
      <c r="AC22" s="12">
        <v>171</v>
      </c>
      <c r="AD22" s="12">
        <v>221</v>
      </c>
      <c r="AE22" s="12">
        <v>260</v>
      </c>
      <c r="AF22" s="12">
        <v>441</v>
      </c>
    </row>
    <row r="23" spans="1:32" ht="34.5" x14ac:dyDescent="0.25">
      <c r="A23" s="19"/>
      <c r="B23" s="13" t="s">
        <v>357</v>
      </c>
      <c r="C23" s="14">
        <v>0.21</v>
      </c>
      <c r="D23" s="14">
        <v>0.23</v>
      </c>
      <c r="E23" s="14">
        <v>0.22</v>
      </c>
      <c r="F23" s="14">
        <v>0.19</v>
      </c>
      <c r="G23" s="14">
        <v>0.3</v>
      </c>
      <c r="H23" s="14">
        <v>0.21</v>
      </c>
      <c r="I23" s="14">
        <v>0.22</v>
      </c>
      <c r="J23" s="14">
        <v>0.24</v>
      </c>
      <c r="K23" s="14">
        <v>0.18</v>
      </c>
      <c r="L23" s="14">
        <v>0.2</v>
      </c>
      <c r="M23" s="14">
        <v>0.18</v>
      </c>
      <c r="N23" s="14">
        <v>0.22</v>
      </c>
      <c r="O23" s="14">
        <v>0.21</v>
      </c>
      <c r="P23" s="14">
        <v>0.16</v>
      </c>
      <c r="Q23" s="14">
        <v>0.12</v>
      </c>
      <c r="R23" s="14">
        <v>0.17</v>
      </c>
      <c r="S23" s="14">
        <v>0.15</v>
      </c>
      <c r="T23" s="14">
        <v>0.14000000000000001</v>
      </c>
      <c r="U23" s="14">
        <v>0.22</v>
      </c>
      <c r="V23" s="14">
        <v>0.22</v>
      </c>
      <c r="W23" s="14">
        <v>0.2</v>
      </c>
      <c r="X23" s="14">
        <v>0.27</v>
      </c>
      <c r="Y23" s="14">
        <v>0.3</v>
      </c>
      <c r="Z23" s="14">
        <v>0.18</v>
      </c>
      <c r="AA23" s="14">
        <v>0.23</v>
      </c>
      <c r="AB23" s="14">
        <v>0.2</v>
      </c>
      <c r="AC23" s="14">
        <v>0.17</v>
      </c>
      <c r="AD23" s="14">
        <v>0.22</v>
      </c>
      <c r="AE23" s="14">
        <v>0.26</v>
      </c>
      <c r="AF23" s="14">
        <v>0.43</v>
      </c>
    </row>
    <row r="24" spans="1:32" ht="23.25" x14ac:dyDescent="0.25">
      <c r="A24" s="19"/>
      <c r="B24" s="11" t="s">
        <v>358</v>
      </c>
      <c r="C24" s="12">
        <v>8560</v>
      </c>
      <c r="D24" s="12">
        <v>272</v>
      </c>
      <c r="E24" s="12">
        <v>398</v>
      </c>
      <c r="F24" s="12">
        <v>408</v>
      </c>
      <c r="G24" s="12">
        <v>292</v>
      </c>
      <c r="H24" s="12">
        <v>458</v>
      </c>
      <c r="I24" s="12">
        <v>581</v>
      </c>
      <c r="J24" s="12">
        <v>123</v>
      </c>
      <c r="K24" s="12">
        <v>350</v>
      </c>
      <c r="L24" s="12">
        <v>264</v>
      </c>
      <c r="M24" s="12">
        <v>459</v>
      </c>
      <c r="N24" s="12">
        <v>293</v>
      </c>
      <c r="O24" s="12">
        <v>279</v>
      </c>
      <c r="P24" s="12">
        <v>343</v>
      </c>
      <c r="Q24" s="12">
        <v>386</v>
      </c>
      <c r="R24" s="12">
        <v>81</v>
      </c>
      <c r="S24" s="12">
        <v>352</v>
      </c>
      <c r="T24" s="12">
        <v>262</v>
      </c>
      <c r="U24" s="12">
        <v>158</v>
      </c>
      <c r="V24" s="12">
        <v>341</v>
      </c>
      <c r="W24" s="12">
        <v>110</v>
      </c>
      <c r="X24" s="12">
        <v>211</v>
      </c>
      <c r="Y24" s="12">
        <v>295</v>
      </c>
      <c r="Z24" s="12">
        <v>246</v>
      </c>
      <c r="AA24" s="12">
        <v>474</v>
      </c>
      <c r="AB24" s="12">
        <v>307</v>
      </c>
      <c r="AC24" s="12">
        <v>354</v>
      </c>
      <c r="AD24" s="12">
        <v>367</v>
      </c>
      <c r="AE24" s="12">
        <v>403</v>
      </c>
      <c r="AF24" s="12">
        <v>277</v>
      </c>
    </row>
    <row r="25" spans="1:32" ht="23.25" x14ac:dyDescent="0.25">
      <c r="A25" s="19"/>
      <c r="B25" s="13" t="s">
        <v>359</v>
      </c>
      <c r="C25" s="14">
        <v>0.32</v>
      </c>
      <c r="D25" s="14">
        <v>0.27</v>
      </c>
      <c r="E25" s="14">
        <v>0.38</v>
      </c>
      <c r="F25" s="14">
        <v>0.38</v>
      </c>
      <c r="G25" s="14">
        <v>0.28999999999999998</v>
      </c>
      <c r="H25" s="14">
        <v>0.37</v>
      </c>
      <c r="I25" s="14">
        <v>0.38</v>
      </c>
      <c r="J25" s="14">
        <v>0.41</v>
      </c>
      <c r="K25" s="14">
        <v>0.35</v>
      </c>
      <c r="L25" s="14">
        <v>0.26</v>
      </c>
      <c r="M25" s="14">
        <v>0.46</v>
      </c>
      <c r="N25" s="14">
        <v>0.28999999999999998</v>
      </c>
      <c r="O25" s="14">
        <v>0.28000000000000003</v>
      </c>
      <c r="P25" s="14">
        <v>0.34</v>
      </c>
      <c r="Q25" s="14">
        <v>0.37</v>
      </c>
      <c r="R25" s="14">
        <v>0.16</v>
      </c>
      <c r="S25" s="14">
        <v>0.35</v>
      </c>
      <c r="T25" s="14">
        <v>0.26</v>
      </c>
      <c r="U25" s="14">
        <v>0.31</v>
      </c>
      <c r="V25" s="14">
        <v>0.33</v>
      </c>
      <c r="W25" s="14">
        <v>0.22</v>
      </c>
      <c r="X25" s="14">
        <v>0.21</v>
      </c>
      <c r="Y25" s="14">
        <v>0.28999999999999998</v>
      </c>
      <c r="Z25" s="14">
        <v>0.24</v>
      </c>
      <c r="AA25" s="14">
        <v>0.46</v>
      </c>
      <c r="AB25" s="14">
        <v>0.28999999999999998</v>
      </c>
      <c r="AC25" s="14">
        <v>0.35</v>
      </c>
      <c r="AD25" s="14">
        <v>0.37</v>
      </c>
      <c r="AE25" s="14">
        <v>0.4</v>
      </c>
      <c r="AF25" s="14">
        <v>0.27</v>
      </c>
    </row>
    <row r="26" spans="1:32" x14ac:dyDescent="0.25">
      <c r="A26" s="19"/>
      <c r="B26" s="11" t="s">
        <v>360</v>
      </c>
      <c r="C26" s="12">
        <v>4154</v>
      </c>
      <c r="D26" s="12">
        <v>192</v>
      </c>
      <c r="E26" s="12">
        <v>156</v>
      </c>
      <c r="F26" s="12">
        <v>183</v>
      </c>
      <c r="G26" s="12">
        <v>209</v>
      </c>
      <c r="H26" s="12">
        <v>272</v>
      </c>
      <c r="I26" s="12">
        <v>316</v>
      </c>
      <c r="J26" s="12">
        <v>44</v>
      </c>
      <c r="K26" s="12">
        <v>147</v>
      </c>
      <c r="L26" s="12">
        <v>214</v>
      </c>
      <c r="M26" s="12">
        <v>118</v>
      </c>
      <c r="N26" s="12">
        <v>129</v>
      </c>
      <c r="O26" s="12">
        <v>117</v>
      </c>
      <c r="P26" s="12">
        <v>142</v>
      </c>
      <c r="Q26" s="12">
        <v>177</v>
      </c>
      <c r="R26" s="12">
        <v>51</v>
      </c>
      <c r="S26" s="12">
        <v>160</v>
      </c>
      <c r="T26" s="12">
        <v>115</v>
      </c>
      <c r="U26" s="12">
        <v>77</v>
      </c>
      <c r="V26" s="12">
        <v>165</v>
      </c>
      <c r="W26" s="12">
        <v>74</v>
      </c>
      <c r="X26" s="12">
        <v>182</v>
      </c>
      <c r="Y26" s="12">
        <v>181</v>
      </c>
      <c r="Z26" s="12">
        <v>146</v>
      </c>
      <c r="AA26" s="12">
        <v>120</v>
      </c>
      <c r="AB26" s="12">
        <v>132</v>
      </c>
      <c r="AC26" s="12">
        <v>179</v>
      </c>
      <c r="AD26" s="12">
        <v>162</v>
      </c>
      <c r="AE26" s="12">
        <v>122</v>
      </c>
      <c r="AF26" s="12">
        <v>132</v>
      </c>
    </row>
    <row r="27" spans="1:32" x14ac:dyDescent="0.25">
      <c r="A27" s="19"/>
      <c r="B27" s="13" t="s">
        <v>361</v>
      </c>
      <c r="C27" s="14">
        <v>0.16</v>
      </c>
      <c r="D27" s="14">
        <v>0.19</v>
      </c>
      <c r="E27" s="14">
        <v>0.15</v>
      </c>
      <c r="F27" s="14">
        <v>0.17</v>
      </c>
      <c r="G27" s="14">
        <v>0.21</v>
      </c>
      <c r="H27" s="14">
        <v>0.22</v>
      </c>
      <c r="I27" s="14">
        <v>0.21</v>
      </c>
      <c r="J27" s="14">
        <v>0.15</v>
      </c>
      <c r="K27" s="14">
        <v>0.15</v>
      </c>
      <c r="L27" s="14">
        <v>0.21</v>
      </c>
      <c r="M27" s="14">
        <v>0.12</v>
      </c>
      <c r="N27" s="14">
        <v>0.13</v>
      </c>
      <c r="O27" s="14">
        <v>0.12</v>
      </c>
      <c r="P27" s="14">
        <v>0.14000000000000001</v>
      </c>
      <c r="Q27" s="14">
        <v>0.17</v>
      </c>
      <c r="R27" s="14">
        <v>0.1</v>
      </c>
      <c r="S27" s="14">
        <v>0.16</v>
      </c>
      <c r="T27" s="14">
        <v>0.11</v>
      </c>
      <c r="U27" s="14">
        <v>0.15</v>
      </c>
      <c r="V27" s="14">
        <v>0.16</v>
      </c>
      <c r="W27" s="14">
        <v>0.15</v>
      </c>
      <c r="X27" s="14">
        <v>0.18</v>
      </c>
      <c r="Y27" s="14">
        <v>0.18</v>
      </c>
      <c r="Z27" s="14">
        <v>0.14000000000000001</v>
      </c>
      <c r="AA27" s="14">
        <v>0.12</v>
      </c>
      <c r="AB27" s="14">
        <v>0.13</v>
      </c>
      <c r="AC27" s="14">
        <v>0.18</v>
      </c>
      <c r="AD27" s="14">
        <v>0.16</v>
      </c>
      <c r="AE27" s="14">
        <v>0.12</v>
      </c>
      <c r="AF27" s="14">
        <v>0.13</v>
      </c>
    </row>
    <row r="28" spans="1:32" x14ac:dyDescent="0.25">
      <c r="A28" s="19"/>
      <c r="B28" s="11" t="s">
        <v>362</v>
      </c>
      <c r="C28" s="12">
        <v>2109</v>
      </c>
      <c r="D28" s="12">
        <v>161</v>
      </c>
      <c r="E28" s="12">
        <v>88</v>
      </c>
      <c r="F28" s="12">
        <v>43</v>
      </c>
      <c r="G28" s="12">
        <v>20</v>
      </c>
      <c r="H28" s="12">
        <v>100</v>
      </c>
      <c r="I28" s="12">
        <v>117</v>
      </c>
      <c r="J28" s="12">
        <v>17</v>
      </c>
      <c r="K28" s="12">
        <v>86</v>
      </c>
      <c r="L28" s="12">
        <v>120</v>
      </c>
      <c r="M28" s="12">
        <v>39</v>
      </c>
      <c r="N28" s="12">
        <v>74</v>
      </c>
      <c r="O28" s="12">
        <v>76</v>
      </c>
      <c r="P28" s="12">
        <v>71</v>
      </c>
      <c r="Q28" s="12">
        <v>139</v>
      </c>
      <c r="R28" s="12">
        <v>34</v>
      </c>
      <c r="S28" s="12">
        <v>33</v>
      </c>
      <c r="T28" s="12">
        <v>56</v>
      </c>
      <c r="U28" s="12">
        <v>26</v>
      </c>
      <c r="V28" s="12">
        <v>115</v>
      </c>
      <c r="W28" s="12">
        <v>45</v>
      </c>
      <c r="X28" s="12">
        <v>75</v>
      </c>
      <c r="Y28" s="12">
        <v>99</v>
      </c>
      <c r="Z28" s="12">
        <v>24</v>
      </c>
      <c r="AA28" s="12">
        <v>89</v>
      </c>
      <c r="AB28" s="12">
        <v>85</v>
      </c>
      <c r="AC28" s="12">
        <v>125</v>
      </c>
      <c r="AD28" s="12">
        <v>97</v>
      </c>
      <c r="AE28" s="12">
        <v>22</v>
      </c>
      <c r="AF28" s="12">
        <v>28</v>
      </c>
    </row>
    <row r="29" spans="1:32" x14ac:dyDescent="0.25">
      <c r="A29" s="19"/>
      <c r="B29" s="13" t="s">
        <v>363</v>
      </c>
      <c r="C29" s="14">
        <v>0.08</v>
      </c>
      <c r="D29" s="14">
        <v>0.16</v>
      </c>
      <c r="E29" s="14">
        <v>0.08</v>
      </c>
      <c r="F29" s="14">
        <v>0.04</v>
      </c>
      <c r="G29" s="14">
        <v>0.02</v>
      </c>
      <c r="H29" s="14">
        <v>0.08</v>
      </c>
      <c r="I29" s="14">
        <v>0.08</v>
      </c>
      <c r="J29" s="14">
        <v>0.06</v>
      </c>
      <c r="K29" s="14">
        <v>0.09</v>
      </c>
      <c r="L29" s="14">
        <v>0.12</v>
      </c>
      <c r="M29" s="14">
        <v>0.04</v>
      </c>
      <c r="N29" s="14">
        <v>7.0000000000000007E-2</v>
      </c>
      <c r="O29" s="14">
        <v>0.08</v>
      </c>
      <c r="P29" s="14">
        <v>7.0000000000000007E-2</v>
      </c>
      <c r="Q29" s="14">
        <v>0.14000000000000001</v>
      </c>
      <c r="R29" s="14">
        <v>7.0000000000000007E-2</v>
      </c>
      <c r="S29" s="14">
        <v>0.03</v>
      </c>
      <c r="T29" s="14">
        <v>0.05</v>
      </c>
      <c r="U29" s="14">
        <v>0.05</v>
      </c>
      <c r="V29" s="14">
        <v>0.11</v>
      </c>
      <c r="W29" s="14">
        <v>0.09</v>
      </c>
      <c r="X29" s="14">
        <v>7.0000000000000007E-2</v>
      </c>
      <c r="Y29" s="14">
        <v>0.1</v>
      </c>
      <c r="Z29" s="14">
        <v>0.02</v>
      </c>
      <c r="AA29" s="14">
        <v>0.09</v>
      </c>
      <c r="AB29" s="14">
        <v>0.08</v>
      </c>
      <c r="AC29" s="14">
        <v>0.12</v>
      </c>
      <c r="AD29" s="14">
        <v>0.1</v>
      </c>
      <c r="AE29" s="14">
        <v>0.02</v>
      </c>
      <c r="AF29" s="14">
        <v>0.03</v>
      </c>
    </row>
    <row r="30" spans="1:32" ht="34.5" x14ac:dyDescent="0.25">
      <c r="A30" s="19"/>
      <c r="B30" s="11" t="s">
        <v>364</v>
      </c>
      <c r="C30" s="12">
        <v>5033</v>
      </c>
      <c r="D30" s="12">
        <v>182</v>
      </c>
      <c r="E30" s="12">
        <v>131</v>
      </c>
      <c r="F30" s="12">
        <v>76</v>
      </c>
      <c r="G30" s="12">
        <v>295</v>
      </c>
      <c r="H30" s="12">
        <v>229</v>
      </c>
      <c r="I30" s="12">
        <v>277</v>
      </c>
      <c r="J30" s="12">
        <v>48</v>
      </c>
      <c r="K30" s="12">
        <v>66</v>
      </c>
      <c r="L30" s="12">
        <v>258</v>
      </c>
      <c r="M30" s="12">
        <v>188</v>
      </c>
      <c r="N30" s="12">
        <v>162</v>
      </c>
      <c r="O30" s="12">
        <v>223</v>
      </c>
      <c r="P30" s="12">
        <v>175</v>
      </c>
      <c r="Q30" s="12">
        <v>208</v>
      </c>
      <c r="R30" s="12">
        <v>57</v>
      </c>
      <c r="S30" s="12">
        <v>23</v>
      </c>
      <c r="T30" s="12">
        <v>65</v>
      </c>
      <c r="U30" s="12">
        <v>74</v>
      </c>
      <c r="V30" s="12">
        <v>220</v>
      </c>
      <c r="W30" s="12">
        <v>118</v>
      </c>
      <c r="X30" s="12">
        <v>297</v>
      </c>
      <c r="Y30" s="12">
        <v>210</v>
      </c>
      <c r="Z30" s="12">
        <v>146</v>
      </c>
      <c r="AA30" s="12">
        <v>230</v>
      </c>
      <c r="AB30" s="12">
        <v>127</v>
      </c>
      <c r="AC30" s="12">
        <v>105</v>
      </c>
      <c r="AD30" s="12">
        <v>104</v>
      </c>
      <c r="AE30" s="12">
        <v>227</v>
      </c>
      <c r="AF30" s="12">
        <v>417</v>
      </c>
    </row>
    <row r="31" spans="1:32" ht="23.25" x14ac:dyDescent="0.25">
      <c r="A31" s="19"/>
      <c r="B31" s="13" t="s">
        <v>365</v>
      </c>
      <c r="C31" s="14">
        <v>0.19</v>
      </c>
      <c r="D31" s="14">
        <v>0.18</v>
      </c>
      <c r="E31" s="14">
        <v>0.13</v>
      </c>
      <c r="F31" s="14">
        <v>7.0000000000000007E-2</v>
      </c>
      <c r="G31" s="14">
        <v>0.28999999999999998</v>
      </c>
      <c r="H31" s="14">
        <v>0.19</v>
      </c>
      <c r="I31" s="14">
        <v>0.18</v>
      </c>
      <c r="J31" s="14">
        <v>0.16</v>
      </c>
      <c r="K31" s="14">
        <v>7.0000000000000007E-2</v>
      </c>
      <c r="L31" s="14">
        <v>0.26</v>
      </c>
      <c r="M31" s="14">
        <v>0.19</v>
      </c>
      <c r="N31" s="14">
        <v>0.16</v>
      </c>
      <c r="O31" s="14">
        <v>0.22</v>
      </c>
      <c r="P31" s="14">
        <v>0.17</v>
      </c>
      <c r="Q31" s="14">
        <v>0.2</v>
      </c>
      <c r="R31" s="14">
        <v>0.11</v>
      </c>
      <c r="S31" s="14">
        <v>0.02</v>
      </c>
      <c r="T31" s="14">
        <v>0.06</v>
      </c>
      <c r="U31" s="14">
        <v>0.14000000000000001</v>
      </c>
      <c r="V31" s="14">
        <v>0.21</v>
      </c>
      <c r="W31" s="14">
        <v>0.24</v>
      </c>
      <c r="X31" s="14">
        <v>0.28999999999999998</v>
      </c>
      <c r="Y31" s="14">
        <v>0.21</v>
      </c>
      <c r="Z31" s="14">
        <v>0.14000000000000001</v>
      </c>
      <c r="AA31" s="14">
        <v>0.22</v>
      </c>
      <c r="AB31" s="14">
        <v>0.12</v>
      </c>
      <c r="AC31" s="14">
        <v>0.1</v>
      </c>
      <c r="AD31" s="14">
        <v>0.1</v>
      </c>
      <c r="AE31" s="14">
        <v>0.23</v>
      </c>
      <c r="AF31" s="14">
        <v>0.4</v>
      </c>
    </row>
    <row r="32" spans="1:32" ht="23.25" x14ac:dyDescent="0.25">
      <c r="A32" s="19"/>
      <c r="B32" s="11" t="s">
        <v>366</v>
      </c>
      <c r="C32" s="12">
        <v>5631</v>
      </c>
      <c r="D32" s="12">
        <v>196</v>
      </c>
      <c r="E32" s="12">
        <v>243</v>
      </c>
      <c r="F32" s="12">
        <v>241</v>
      </c>
      <c r="G32" s="12">
        <v>145</v>
      </c>
      <c r="H32" s="12">
        <v>176</v>
      </c>
      <c r="I32" s="12">
        <v>235</v>
      </c>
      <c r="J32" s="12">
        <v>59</v>
      </c>
      <c r="K32" s="12">
        <v>206</v>
      </c>
      <c r="L32" s="12">
        <v>253</v>
      </c>
      <c r="M32" s="12">
        <v>219</v>
      </c>
      <c r="N32" s="12">
        <v>162</v>
      </c>
      <c r="O32" s="12">
        <v>226</v>
      </c>
      <c r="P32" s="12">
        <v>316</v>
      </c>
      <c r="Q32" s="12">
        <v>200</v>
      </c>
      <c r="R32" s="12">
        <v>41</v>
      </c>
      <c r="S32" s="12">
        <v>134</v>
      </c>
      <c r="T32" s="12">
        <v>157</v>
      </c>
      <c r="U32" s="12">
        <v>105</v>
      </c>
      <c r="V32" s="12">
        <v>275</v>
      </c>
      <c r="W32" s="12">
        <v>113</v>
      </c>
      <c r="X32" s="12">
        <v>216</v>
      </c>
      <c r="Y32" s="12">
        <v>232</v>
      </c>
      <c r="Z32" s="12">
        <v>321</v>
      </c>
      <c r="AA32" s="12">
        <v>265</v>
      </c>
      <c r="AB32" s="12">
        <v>324</v>
      </c>
      <c r="AC32" s="12">
        <v>362</v>
      </c>
      <c r="AD32" s="12">
        <v>368</v>
      </c>
      <c r="AE32" s="12">
        <v>220</v>
      </c>
      <c r="AF32" s="12">
        <v>225</v>
      </c>
    </row>
    <row r="33" spans="1:32" ht="23.25" x14ac:dyDescent="0.25">
      <c r="A33" s="19"/>
      <c r="B33" s="13" t="s">
        <v>367</v>
      </c>
      <c r="C33" s="14">
        <v>0.21</v>
      </c>
      <c r="D33" s="14">
        <v>0.19</v>
      </c>
      <c r="E33" s="14">
        <v>0.23</v>
      </c>
      <c r="F33" s="14">
        <v>0.23</v>
      </c>
      <c r="G33" s="14">
        <v>0.14000000000000001</v>
      </c>
      <c r="H33" s="14">
        <v>0.14000000000000001</v>
      </c>
      <c r="I33" s="14">
        <v>0.15</v>
      </c>
      <c r="J33" s="14">
        <v>0.2</v>
      </c>
      <c r="K33" s="14">
        <v>0.2</v>
      </c>
      <c r="L33" s="14">
        <v>0.25</v>
      </c>
      <c r="M33" s="14">
        <v>0.22</v>
      </c>
      <c r="N33" s="14">
        <v>0.16</v>
      </c>
      <c r="O33" s="14">
        <v>0.23</v>
      </c>
      <c r="P33" s="14">
        <v>0.32</v>
      </c>
      <c r="Q33" s="14">
        <v>0.19</v>
      </c>
      <c r="R33" s="14">
        <v>0.08</v>
      </c>
      <c r="S33" s="14">
        <v>0.13</v>
      </c>
      <c r="T33" s="14">
        <v>0.15</v>
      </c>
      <c r="U33" s="14">
        <v>0.21</v>
      </c>
      <c r="V33" s="14">
        <v>0.27</v>
      </c>
      <c r="W33" s="14">
        <v>0.23</v>
      </c>
      <c r="X33" s="14">
        <v>0.21</v>
      </c>
      <c r="Y33" s="14">
        <v>0.23</v>
      </c>
      <c r="Z33" s="14">
        <v>0.32</v>
      </c>
      <c r="AA33" s="14">
        <v>0.26</v>
      </c>
      <c r="AB33" s="14">
        <v>0.31</v>
      </c>
      <c r="AC33" s="14">
        <v>0.36</v>
      </c>
      <c r="AD33" s="14">
        <v>0.37</v>
      </c>
      <c r="AE33" s="14">
        <v>0.22</v>
      </c>
      <c r="AF33" s="14">
        <v>0.22</v>
      </c>
    </row>
    <row r="34" spans="1:32" ht="23.25" x14ac:dyDescent="0.25">
      <c r="A34" s="19"/>
      <c r="B34" s="11" t="s">
        <v>368</v>
      </c>
      <c r="C34" s="12">
        <v>6640</v>
      </c>
      <c r="D34" s="12">
        <v>283</v>
      </c>
      <c r="E34" s="12">
        <v>151</v>
      </c>
      <c r="F34" s="12">
        <v>179</v>
      </c>
      <c r="G34" s="12">
        <v>240</v>
      </c>
      <c r="H34" s="12">
        <v>331</v>
      </c>
      <c r="I34" s="12">
        <v>420</v>
      </c>
      <c r="J34" s="12">
        <v>89</v>
      </c>
      <c r="K34" s="12">
        <v>255</v>
      </c>
      <c r="L34" s="12">
        <v>232</v>
      </c>
      <c r="M34" s="12">
        <v>312</v>
      </c>
      <c r="N34" s="12">
        <v>435</v>
      </c>
      <c r="O34" s="12">
        <v>275</v>
      </c>
      <c r="P34" s="12">
        <v>179</v>
      </c>
      <c r="Q34" s="12">
        <v>212</v>
      </c>
      <c r="R34" s="12">
        <v>186</v>
      </c>
      <c r="S34" s="12">
        <v>223</v>
      </c>
      <c r="T34" s="12">
        <v>206</v>
      </c>
      <c r="U34" s="12">
        <v>123</v>
      </c>
      <c r="V34" s="12">
        <v>181</v>
      </c>
      <c r="W34" s="12">
        <v>151</v>
      </c>
      <c r="X34" s="12">
        <v>212</v>
      </c>
      <c r="Y34" s="12">
        <v>209</v>
      </c>
      <c r="Z34" s="12">
        <v>84</v>
      </c>
      <c r="AA34" s="12">
        <v>317</v>
      </c>
      <c r="AB34" s="12">
        <v>228</v>
      </c>
      <c r="AC34" s="12">
        <v>187</v>
      </c>
      <c r="AD34" s="12">
        <v>196</v>
      </c>
      <c r="AE34" s="12">
        <v>220</v>
      </c>
      <c r="AF34" s="12">
        <v>269</v>
      </c>
    </row>
    <row r="35" spans="1:32" x14ac:dyDescent="0.25">
      <c r="A35" s="19"/>
      <c r="B35" s="13" t="s">
        <v>369</v>
      </c>
      <c r="C35" s="14">
        <v>0.25</v>
      </c>
      <c r="D35" s="14">
        <v>0.28000000000000003</v>
      </c>
      <c r="E35" s="14">
        <v>0.14000000000000001</v>
      </c>
      <c r="F35" s="14">
        <v>0.17</v>
      </c>
      <c r="G35" s="14">
        <v>0.24</v>
      </c>
      <c r="H35" s="14">
        <v>0.27</v>
      </c>
      <c r="I35" s="14">
        <v>0.27</v>
      </c>
      <c r="J35" s="14">
        <v>0.3</v>
      </c>
      <c r="K35" s="14">
        <v>0.25</v>
      </c>
      <c r="L35" s="14">
        <v>0.23</v>
      </c>
      <c r="M35" s="14">
        <v>0.31</v>
      </c>
      <c r="N35" s="14">
        <v>0.43</v>
      </c>
      <c r="O35" s="14">
        <v>0.27</v>
      </c>
      <c r="P35" s="14">
        <v>0.18</v>
      </c>
      <c r="Q35" s="14">
        <v>0.21</v>
      </c>
      <c r="R35" s="14">
        <v>0.37</v>
      </c>
      <c r="S35" s="14">
        <v>0.22</v>
      </c>
      <c r="T35" s="14">
        <v>0.2</v>
      </c>
      <c r="U35" s="14">
        <v>0.24</v>
      </c>
      <c r="V35" s="14">
        <v>0.18</v>
      </c>
      <c r="W35" s="14">
        <v>0.3</v>
      </c>
      <c r="X35" s="14">
        <v>0.21</v>
      </c>
      <c r="Y35" s="14">
        <v>0.21</v>
      </c>
      <c r="Z35" s="14">
        <v>0.08</v>
      </c>
      <c r="AA35" s="14">
        <v>0.31</v>
      </c>
      <c r="AB35" s="14">
        <v>0.22</v>
      </c>
      <c r="AC35" s="14">
        <v>0.19</v>
      </c>
      <c r="AD35" s="14">
        <v>0.2</v>
      </c>
      <c r="AE35" s="14">
        <v>0.22</v>
      </c>
      <c r="AF35" s="14">
        <v>0.26</v>
      </c>
    </row>
    <row r="36" spans="1:32" ht="45.75" x14ac:dyDescent="0.25">
      <c r="A36" s="19"/>
      <c r="B36" s="11" t="s">
        <v>370</v>
      </c>
      <c r="C36" s="12">
        <v>4365</v>
      </c>
      <c r="D36" s="12">
        <v>132</v>
      </c>
      <c r="E36" s="12">
        <v>316</v>
      </c>
      <c r="F36" s="12">
        <v>151</v>
      </c>
      <c r="G36" s="12">
        <v>80</v>
      </c>
      <c r="H36" s="12">
        <v>155</v>
      </c>
      <c r="I36" s="12">
        <v>206</v>
      </c>
      <c r="J36" s="12">
        <v>50</v>
      </c>
      <c r="K36" s="12">
        <v>174</v>
      </c>
      <c r="L36" s="12">
        <v>176</v>
      </c>
      <c r="M36" s="12">
        <v>302</v>
      </c>
      <c r="N36" s="12">
        <v>180</v>
      </c>
      <c r="O36" s="12">
        <v>148</v>
      </c>
      <c r="P36" s="12">
        <v>279</v>
      </c>
      <c r="Q36" s="12">
        <v>167</v>
      </c>
      <c r="R36" s="12">
        <v>140</v>
      </c>
      <c r="S36" s="12">
        <v>231</v>
      </c>
      <c r="T36" s="12">
        <v>199</v>
      </c>
      <c r="U36" s="12">
        <v>69</v>
      </c>
      <c r="V36" s="12">
        <v>183</v>
      </c>
      <c r="W36" s="12">
        <v>97</v>
      </c>
      <c r="X36" s="12">
        <v>114</v>
      </c>
      <c r="Y36" s="12">
        <v>224</v>
      </c>
      <c r="Z36" s="12">
        <v>221</v>
      </c>
      <c r="AA36" s="12">
        <v>199</v>
      </c>
      <c r="AB36" s="12">
        <v>225</v>
      </c>
      <c r="AC36" s="12">
        <v>110</v>
      </c>
      <c r="AD36" s="12">
        <v>141</v>
      </c>
      <c r="AE36" s="12">
        <v>92</v>
      </c>
      <c r="AF36" s="12">
        <v>79</v>
      </c>
    </row>
    <row r="37" spans="1:32" ht="23.25" x14ac:dyDescent="0.25">
      <c r="A37" s="19"/>
      <c r="B37" s="13" t="s">
        <v>371</v>
      </c>
      <c r="C37" s="14">
        <v>0.17</v>
      </c>
      <c r="D37" s="14">
        <v>0.13</v>
      </c>
      <c r="E37" s="14">
        <v>0.3</v>
      </c>
      <c r="F37" s="14">
        <v>0.14000000000000001</v>
      </c>
      <c r="G37" s="14">
        <v>0.08</v>
      </c>
      <c r="H37" s="14">
        <v>0.13</v>
      </c>
      <c r="I37" s="14">
        <v>0.13</v>
      </c>
      <c r="J37" s="14">
        <v>0.17</v>
      </c>
      <c r="K37" s="14">
        <v>0.17</v>
      </c>
      <c r="L37" s="14">
        <v>0.17</v>
      </c>
      <c r="M37" s="14">
        <v>0.3</v>
      </c>
      <c r="N37" s="14">
        <v>0.18</v>
      </c>
      <c r="O37" s="14">
        <v>0.15</v>
      </c>
      <c r="P37" s="14">
        <v>0.28000000000000003</v>
      </c>
      <c r="Q37" s="14">
        <v>0.16</v>
      </c>
      <c r="R37" s="14">
        <v>0.28000000000000003</v>
      </c>
      <c r="S37" s="14">
        <v>0.23</v>
      </c>
      <c r="T37" s="14">
        <v>0.19</v>
      </c>
      <c r="U37" s="14">
        <v>0.14000000000000001</v>
      </c>
      <c r="V37" s="14">
        <v>0.18</v>
      </c>
      <c r="W37" s="14">
        <v>0.19</v>
      </c>
      <c r="X37" s="14">
        <v>0.11</v>
      </c>
      <c r="Y37" s="14">
        <v>0.22</v>
      </c>
      <c r="Z37" s="14">
        <v>0.22</v>
      </c>
      <c r="AA37" s="14">
        <v>0.19</v>
      </c>
      <c r="AB37" s="14">
        <v>0.22</v>
      </c>
      <c r="AC37" s="14">
        <v>0.11</v>
      </c>
      <c r="AD37" s="14">
        <v>0.14000000000000001</v>
      </c>
      <c r="AE37" s="14">
        <v>0.09</v>
      </c>
      <c r="AF37" s="14">
        <v>0.08</v>
      </c>
    </row>
    <row r="38" spans="1:32" x14ac:dyDescent="0.25">
      <c r="A38" s="19"/>
      <c r="B38" s="11" t="s">
        <v>372</v>
      </c>
      <c r="C38" s="12">
        <v>2340</v>
      </c>
      <c r="D38" s="12">
        <v>89</v>
      </c>
      <c r="E38" s="12">
        <v>77</v>
      </c>
      <c r="F38" s="12">
        <v>57</v>
      </c>
      <c r="G38" s="12">
        <v>54</v>
      </c>
      <c r="H38" s="12">
        <v>62</v>
      </c>
      <c r="I38" s="12">
        <v>88</v>
      </c>
      <c r="J38" s="12">
        <v>25</v>
      </c>
      <c r="K38" s="12">
        <v>124</v>
      </c>
      <c r="L38" s="12">
        <v>97</v>
      </c>
      <c r="M38" s="12">
        <v>116</v>
      </c>
      <c r="N38" s="12">
        <v>140</v>
      </c>
      <c r="O38" s="12">
        <v>110</v>
      </c>
      <c r="P38" s="12">
        <v>89</v>
      </c>
      <c r="Q38" s="12">
        <v>122</v>
      </c>
      <c r="R38" s="12">
        <v>119</v>
      </c>
      <c r="S38" s="12">
        <v>74</v>
      </c>
      <c r="T38" s="12">
        <v>86</v>
      </c>
      <c r="U38" s="12">
        <v>43</v>
      </c>
      <c r="V38" s="12">
        <v>86</v>
      </c>
      <c r="W38" s="12">
        <v>82</v>
      </c>
      <c r="X38" s="12">
        <v>51</v>
      </c>
      <c r="Y38" s="12">
        <v>75</v>
      </c>
      <c r="Z38" s="12">
        <v>68</v>
      </c>
      <c r="AA38" s="12">
        <v>90</v>
      </c>
      <c r="AB38" s="12">
        <v>84</v>
      </c>
      <c r="AC38" s="12">
        <v>62</v>
      </c>
      <c r="AD38" s="12">
        <v>51</v>
      </c>
      <c r="AE38" s="12">
        <v>32</v>
      </c>
      <c r="AF38" s="12">
        <v>40</v>
      </c>
    </row>
    <row r="39" spans="1:32" x14ac:dyDescent="0.25">
      <c r="A39" s="19"/>
      <c r="B39" s="13" t="s">
        <v>373</v>
      </c>
      <c r="C39" s="14">
        <v>0.09</v>
      </c>
      <c r="D39" s="14">
        <v>0.09</v>
      </c>
      <c r="E39" s="14">
        <v>7.0000000000000007E-2</v>
      </c>
      <c r="F39" s="14">
        <v>0.05</v>
      </c>
      <c r="G39" s="14">
        <v>0.05</v>
      </c>
      <c r="H39" s="14">
        <v>0.05</v>
      </c>
      <c r="I39" s="14">
        <v>0.06</v>
      </c>
      <c r="J39" s="14">
        <v>0.09</v>
      </c>
      <c r="K39" s="14">
        <v>0.12</v>
      </c>
      <c r="L39" s="14">
        <v>0.1</v>
      </c>
      <c r="M39" s="14">
        <v>0.12</v>
      </c>
      <c r="N39" s="14">
        <v>0.14000000000000001</v>
      </c>
      <c r="O39" s="14">
        <v>0.11</v>
      </c>
      <c r="P39" s="14">
        <v>0.09</v>
      </c>
      <c r="Q39" s="14">
        <v>0.12</v>
      </c>
      <c r="R39" s="14">
        <v>0.24</v>
      </c>
      <c r="S39" s="14">
        <v>7.0000000000000007E-2</v>
      </c>
      <c r="T39" s="14">
        <v>0.08</v>
      </c>
      <c r="U39" s="14">
        <v>0.08</v>
      </c>
      <c r="V39" s="14">
        <v>0.08</v>
      </c>
      <c r="W39" s="14">
        <v>0.16</v>
      </c>
      <c r="X39" s="14">
        <v>0.05</v>
      </c>
      <c r="Y39" s="14">
        <v>0.08</v>
      </c>
      <c r="Z39" s="14">
        <v>7.0000000000000007E-2</v>
      </c>
      <c r="AA39" s="14">
        <v>0.09</v>
      </c>
      <c r="AB39" s="14">
        <v>0.08</v>
      </c>
      <c r="AC39" s="14">
        <v>0.06</v>
      </c>
      <c r="AD39" s="14">
        <v>0.05</v>
      </c>
      <c r="AE39" s="14">
        <v>0.03</v>
      </c>
      <c r="AF39" s="14">
        <v>0.04</v>
      </c>
    </row>
    <row r="40" spans="1:32" x14ac:dyDescent="0.25">
      <c r="A40" s="19"/>
      <c r="B40" s="11" t="s">
        <v>274</v>
      </c>
      <c r="C40" s="12">
        <v>165</v>
      </c>
      <c r="D40" s="12">
        <v>2</v>
      </c>
      <c r="E40" s="12">
        <v>10</v>
      </c>
      <c r="F40" s="12">
        <v>4</v>
      </c>
      <c r="G40" s="12">
        <v>0</v>
      </c>
      <c r="H40" s="12">
        <v>19</v>
      </c>
      <c r="I40" s="12">
        <v>20</v>
      </c>
      <c r="J40" s="12">
        <v>1</v>
      </c>
      <c r="K40" s="12">
        <v>18</v>
      </c>
      <c r="L40" s="12">
        <v>3</v>
      </c>
      <c r="M40" s="12">
        <v>6</v>
      </c>
      <c r="N40" s="12">
        <v>7</v>
      </c>
      <c r="O40" s="12">
        <v>9</v>
      </c>
      <c r="P40" s="12">
        <v>3</v>
      </c>
      <c r="Q40" s="12">
        <v>2</v>
      </c>
      <c r="R40" s="12">
        <v>0</v>
      </c>
      <c r="S40" s="12">
        <v>12</v>
      </c>
      <c r="T40" s="12">
        <v>3</v>
      </c>
      <c r="U40" s="12">
        <v>0</v>
      </c>
      <c r="V40" s="12">
        <v>0</v>
      </c>
      <c r="W40" s="12">
        <v>3</v>
      </c>
      <c r="X40" s="12">
        <v>1</v>
      </c>
      <c r="Y40" s="12">
        <v>21</v>
      </c>
      <c r="Z40" s="12">
        <v>2</v>
      </c>
      <c r="AA40" s="12">
        <v>2</v>
      </c>
      <c r="AB40" s="12">
        <v>3</v>
      </c>
      <c r="AC40" s="12">
        <v>2</v>
      </c>
      <c r="AD40" s="12">
        <v>2</v>
      </c>
      <c r="AE40" s="12">
        <v>2</v>
      </c>
      <c r="AF40" s="12">
        <v>2</v>
      </c>
    </row>
    <row r="41" spans="1:32" x14ac:dyDescent="0.25">
      <c r="A41" s="19"/>
      <c r="B41" s="13" t="s">
        <v>275</v>
      </c>
      <c r="C41" s="14">
        <v>0.01</v>
      </c>
      <c r="D41" s="15" t="s">
        <v>213</v>
      </c>
      <c r="E41" s="14">
        <v>0.01</v>
      </c>
      <c r="F41" s="15" t="s">
        <v>213</v>
      </c>
      <c r="G41" s="15" t="s">
        <v>213</v>
      </c>
      <c r="H41" s="14">
        <v>0.02</v>
      </c>
      <c r="I41" s="14">
        <v>0.01</v>
      </c>
      <c r="J41" s="15" t="s">
        <v>213</v>
      </c>
      <c r="K41" s="14">
        <v>0.02</v>
      </c>
      <c r="L41" s="15" t="s">
        <v>213</v>
      </c>
      <c r="M41" s="14">
        <v>0.01</v>
      </c>
      <c r="N41" s="14">
        <v>0.01</v>
      </c>
      <c r="O41" s="14">
        <v>0.01</v>
      </c>
      <c r="P41" s="15" t="s">
        <v>213</v>
      </c>
      <c r="Q41" s="15" t="s">
        <v>213</v>
      </c>
      <c r="R41" s="15" t="s">
        <v>213</v>
      </c>
      <c r="S41" s="14">
        <v>0.01</v>
      </c>
      <c r="T41" s="15" t="s">
        <v>213</v>
      </c>
      <c r="U41" s="15" t="s">
        <v>213</v>
      </c>
      <c r="V41" s="15" t="s">
        <v>213</v>
      </c>
      <c r="W41" s="14">
        <v>0.01</v>
      </c>
      <c r="X41" s="15" t="s">
        <v>213</v>
      </c>
      <c r="Y41" s="14">
        <v>0.02</v>
      </c>
      <c r="Z41" s="15" t="s">
        <v>213</v>
      </c>
      <c r="AA41" s="15" t="s">
        <v>213</v>
      </c>
      <c r="AB41" s="15" t="s">
        <v>213</v>
      </c>
      <c r="AC41" s="15" t="s">
        <v>213</v>
      </c>
      <c r="AD41" s="15" t="s">
        <v>213</v>
      </c>
      <c r="AE41" s="15" t="s">
        <v>213</v>
      </c>
      <c r="AF41" s="15" t="s">
        <v>213</v>
      </c>
    </row>
    <row r="42" spans="1:32" x14ac:dyDescent="0.25">
      <c r="A42" s="19"/>
      <c r="B42" s="11" t="s">
        <v>276</v>
      </c>
      <c r="C42" s="12">
        <v>121</v>
      </c>
      <c r="D42" s="12">
        <v>2</v>
      </c>
      <c r="E42" s="12">
        <v>5</v>
      </c>
      <c r="F42" s="12">
        <v>14</v>
      </c>
      <c r="G42" s="12">
        <v>3</v>
      </c>
      <c r="H42" s="12">
        <v>8</v>
      </c>
      <c r="I42" s="12">
        <v>9</v>
      </c>
      <c r="J42" s="12">
        <v>1</v>
      </c>
      <c r="K42" s="12">
        <v>4</v>
      </c>
      <c r="L42" s="12">
        <v>4</v>
      </c>
      <c r="M42" s="12">
        <v>1</v>
      </c>
      <c r="N42" s="12">
        <v>5</v>
      </c>
      <c r="O42" s="12">
        <v>6</v>
      </c>
      <c r="P42" s="12">
        <v>1</v>
      </c>
      <c r="Q42" s="12">
        <v>3</v>
      </c>
      <c r="R42" s="12">
        <v>0</v>
      </c>
      <c r="S42" s="12">
        <v>4</v>
      </c>
      <c r="T42" s="12">
        <v>2</v>
      </c>
      <c r="U42" s="12">
        <v>0</v>
      </c>
      <c r="V42" s="12">
        <v>0</v>
      </c>
      <c r="W42" s="12">
        <v>3</v>
      </c>
      <c r="X42" s="12">
        <v>8</v>
      </c>
      <c r="Y42" s="12">
        <v>12</v>
      </c>
      <c r="Z42" s="12">
        <v>4</v>
      </c>
      <c r="AA42" s="12">
        <v>0</v>
      </c>
      <c r="AB42" s="12">
        <v>1</v>
      </c>
      <c r="AC42" s="12">
        <v>3</v>
      </c>
      <c r="AD42" s="12">
        <v>1</v>
      </c>
      <c r="AE42" s="12">
        <v>1</v>
      </c>
      <c r="AF42" s="12">
        <v>3</v>
      </c>
    </row>
    <row r="43" spans="1:32" x14ac:dyDescent="0.25">
      <c r="A43" s="19"/>
      <c r="B43" s="13" t="s">
        <v>277</v>
      </c>
      <c r="C43" s="15" t="s">
        <v>213</v>
      </c>
      <c r="D43" s="15" t="s">
        <v>213</v>
      </c>
      <c r="E43" s="14">
        <v>0.01</v>
      </c>
      <c r="F43" s="14">
        <v>0.01</v>
      </c>
      <c r="G43" s="15" t="s">
        <v>213</v>
      </c>
      <c r="H43" s="14">
        <v>0.01</v>
      </c>
      <c r="I43" s="14">
        <v>0.01</v>
      </c>
      <c r="J43" s="15" t="s">
        <v>213</v>
      </c>
      <c r="K43" s="15" t="s">
        <v>213</v>
      </c>
      <c r="L43" s="15" t="s">
        <v>213</v>
      </c>
      <c r="M43" s="15" t="s">
        <v>213</v>
      </c>
      <c r="N43" s="15" t="s">
        <v>213</v>
      </c>
      <c r="O43" s="14">
        <v>0.01</v>
      </c>
      <c r="P43" s="15" t="s">
        <v>213</v>
      </c>
      <c r="Q43" s="15" t="s">
        <v>213</v>
      </c>
      <c r="R43" s="15" t="s">
        <v>213</v>
      </c>
      <c r="S43" s="15" t="s">
        <v>213</v>
      </c>
      <c r="T43" s="15" t="s">
        <v>213</v>
      </c>
      <c r="U43" s="15" t="s">
        <v>213</v>
      </c>
      <c r="V43" s="15" t="s">
        <v>213</v>
      </c>
      <c r="W43" s="14">
        <v>0.01</v>
      </c>
      <c r="X43" s="14">
        <v>0.01</v>
      </c>
      <c r="Y43" s="14">
        <v>0.01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5" t="s">
        <v>213</v>
      </c>
      <c r="AF43" s="15" t="s">
        <v>213</v>
      </c>
    </row>
    <row r="44" spans="1:32" x14ac:dyDescent="0.25">
      <c r="A44" s="19"/>
      <c r="B44" s="11" t="s">
        <v>224</v>
      </c>
      <c r="C44" s="12">
        <v>264</v>
      </c>
      <c r="D44" s="12">
        <v>1</v>
      </c>
      <c r="E44" s="12">
        <v>19</v>
      </c>
      <c r="F44" s="12">
        <v>14</v>
      </c>
      <c r="G44" s="12">
        <v>7</v>
      </c>
      <c r="H44" s="12">
        <v>3</v>
      </c>
      <c r="I44" s="12">
        <v>3</v>
      </c>
      <c r="J44" s="12">
        <v>0</v>
      </c>
      <c r="K44" s="12">
        <v>10</v>
      </c>
      <c r="L44" s="12">
        <v>17</v>
      </c>
      <c r="M44" s="12">
        <v>7</v>
      </c>
      <c r="N44" s="12">
        <v>20</v>
      </c>
      <c r="O44" s="12">
        <v>19</v>
      </c>
      <c r="P44" s="12">
        <v>4</v>
      </c>
      <c r="Q44" s="12">
        <v>11</v>
      </c>
      <c r="R44" s="12">
        <v>4</v>
      </c>
      <c r="S44" s="12">
        <v>12</v>
      </c>
      <c r="T44" s="12">
        <v>15</v>
      </c>
      <c r="U44" s="12">
        <v>4</v>
      </c>
      <c r="V44" s="12">
        <v>0</v>
      </c>
      <c r="W44" s="12">
        <v>5</v>
      </c>
      <c r="X44" s="12">
        <v>4</v>
      </c>
      <c r="Y44" s="12">
        <v>9</v>
      </c>
      <c r="Z44" s="12">
        <v>3</v>
      </c>
      <c r="AA44" s="12">
        <v>22</v>
      </c>
      <c r="AB44" s="12">
        <v>12</v>
      </c>
      <c r="AC44" s="12">
        <v>1</v>
      </c>
      <c r="AD44" s="12">
        <v>7</v>
      </c>
      <c r="AE44" s="12">
        <v>6</v>
      </c>
      <c r="AF44" s="12">
        <v>0</v>
      </c>
    </row>
    <row r="45" spans="1:32" x14ac:dyDescent="0.25">
      <c r="A45" s="19"/>
      <c r="B45" s="13" t="s">
        <v>237</v>
      </c>
      <c r="C45" s="14">
        <v>0.01</v>
      </c>
      <c r="D45" s="15" t="s">
        <v>213</v>
      </c>
      <c r="E45" s="14">
        <v>0.02</v>
      </c>
      <c r="F45" s="14">
        <v>0.01</v>
      </c>
      <c r="G45" s="14">
        <v>0.01</v>
      </c>
      <c r="H45" s="15" t="s">
        <v>213</v>
      </c>
      <c r="I45" s="15" t="s">
        <v>213</v>
      </c>
      <c r="J45" s="15" t="s">
        <v>213</v>
      </c>
      <c r="K45" s="14">
        <v>0.01</v>
      </c>
      <c r="L45" s="14">
        <v>0.02</v>
      </c>
      <c r="M45" s="14">
        <v>0.01</v>
      </c>
      <c r="N45" s="14">
        <v>0.02</v>
      </c>
      <c r="O45" s="14">
        <v>0.02</v>
      </c>
      <c r="P45" s="15" t="s">
        <v>213</v>
      </c>
      <c r="Q45" s="14">
        <v>0.01</v>
      </c>
      <c r="R45" s="14">
        <v>0.01</v>
      </c>
      <c r="S45" s="14">
        <v>0.01</v>
      </c>
      <c r="T45" s="14">
        <v>0.02</v>
      </c>
      <c r="U45" s="14">
        <v>0.01</v>
      </c>
      <c r="V45" s="15" t="s">
        <v>213</v>
      </c>
      <c r="W45" s="14">
        <v>0.01</v>
      </c>
      <c r="X45" s="15" t="s">
        <v>213</v>
      </c>
      <c r="Y45" s="14">
        <v>0.01</v>
      </c>
      <c r="Z45" s="15" t="s">
        <v>213</v>
      </c>
      <c r="AA45" s="14">
        <v>0.02</v>
      </c>
      <c r="AB45" s="14">
        <v>0.01</v>
      </c>
      <c r="AC45" s="15" t="s">
        <v>213</v>
      </c>
      <c r="AD45" s="14">
        <v>0.01</v>
      </c>
      <c r="AE45" s="14">
        <v>0.01</v>
      </c>
      <c r="AF45" s="15" t="s">
        <v>213</v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376</v>
      </c>
      <c r="C3" s="18"/>
      <c r="D3" s="18"/>
      <c r="E3" s="18"/>
      <c r="F3" s="18"/>
      <c r="H3" s="18" t="s">
        <v>377</v>
      </c>
      <c r="I3" s="18"/>
      <c r="J3" s="18"/>
      <c r="K3" s="18"/>
      <c r="L3" s="18"/>
    </row>
    <row r="4" spans="1:32" ht="27" customHeight="1" x14ac:dyDescent="0.25">
      <c r="B4" s="18" t="s">
        <v>378</v>
      </c>
      <c r="C4" s="18"/>
      <c r="D4" s="18"/>
      <c r="E4" s="18"/>
      <c r="F4" s="18"/>
      <c r="H4" s="18" t="s">
        <v>379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380</v>
      </c>
      <c r="C12" s="12">
        <v>4427</v>
      </c>
      <c r="D12" s="12">
        <v>106</v>
      </c>
      <c r="E12" s="12">
        <v>218</v>
      </c>
      <c r="F12" s="12">
        <v>191</v>
      </c>
      <c r="G12" s="12">
        <v>366</v>
      </c>
      <c r="H12" s="12">
        <v>151</v>
      </c>
      <c r="I12" s="12">
        <v>201</v>
      </c>
      <c r="J12" s="12">
        <v>50</v>
      </c>
      <c r="K12" s="12">
        <v>122</v>
      </c>
      <c r="L12" s="12">
        <v>365</v>
      </c>
      <c r="M12" s="12">
        <v>90</v>
      </c>
      <c r="N12" s="12">
        <v>273</v>
      </c>
      <c r="O12" s="12">
        <v>76</v>
      </c>
      <c r="P12" s="12">
        <v>222</v>
      </c>
      <c r="Q12" s="12">
        <v>156</v>
      </c>
      <c r="R12" s="12">
        <v>82</v>
      </c>
      <c r="S12" s="12">
        <v>160</v>
      </c>
      <c r="T12" s="12">
        <v>206</v>
      </c>
      <c r="U12" s="12">
        <v>86</v>
      </c>
      <c r="V12" s="12">
        <v>104</v>
      </c>
      <c r="W12" s="12">
        <v>119</v>
      </c>
      <c r="X12" s="12">
        <v>239</v>
      </c>
      <c r="Y12" s="12">
        <v>314</v>
      </c>
      <c r="Z12" s="12">
        <v>175</v>
      </c>
      <c r="AA12" s="12">
        <v>117</v>
      </c>
      <c r="AB12" s="12">
        <v>192</v>
      </c>
      <c r="AC12" s="12">
        <v>332</v>
      </c>
      <c r="AD12" s="12">
        <v>231</v>
      </c>
      <c r="AE12" s="12">
        <v>320</v>
      </c>
      <c r="AF12" s="12">
        <v>212</v>
      </c>
    </row>
    <row r="13" spans="1:32" x14ac:dyDescent="0.25">
      <c r="A13" s="19"/>
      <c r="B13" s="13" t="s">
        <v>381</v>
      </c>
      <c r="C13" s="14">
        <v>0.17</v>
      </c>
      <c r="D13" s="14">
        <v>0.11</v>
      </c>
      <c r="E13" s="14">
        <v>0.21</v>
      </c>
      <c r="F13" s="14">
        <v>0.18</v>
      </c>
      <c r="G13" s="14">
        <v>0.36</v>
      </c>
      <c r="H13" s="14">
        <v>0.12</v>
      </c>
      <c r="I13" s="14">
        <v>0.13</v>
      </c>
      <c r="J13" s="14">
        <v>0.17</v>
      </c>
      <c r="K13" s="14">
        <v>0.12</v>
      </c>
      <c r="L13" s="14">
        <v>0.36</v>
      </c>
      <c r="M13" s="14">
        <v>0.09</v>
      </c>
      <c r="N13" s="14">
        <v>0.27</v>
      </c>
      <c r="O13" s="14">
        <v>7.0000000000000007E-2</v>
      </c>
      <c r="P13" s="14">
        <v>0.22</v>
      </c>
      <c r="Q13" s="14">
        <v>0.15</v>
      </c>
      <c r="R13" s="14">
        <v>0.16</v>
      </c>
      <c r="S13" s="14">
        <v>0.16</v>
      </c>
      <c r="T13" s="14">
        <v>0.2</v>
      </c>
      <c r="U13" s="14">
        <v>0.17</v>
      </c>
      <c r="V13" s="14">
        <v>0.1</v>
      </c>
      <c r="W13" s="14">
        <v>0.24</v>
      </c>
      <c r="X13" s="14">
        <v>0.24</v>
      </c>
      <c r="Y13" s="14">
        <v>0.31</v>
      </c>
      <c r="Z13" s="14">
        <v>0.17</v>
      </c>
      <c r="AA13" s="14">
        <v>0.11</v>
      </c>
      <c r="AB13" s="14">
        <v>0.19</v>
      </c>
      <c r="AC13" s="14">
        <v>0.33</v>
      </c>
      <c r="AD13" s="14">
        <v>0.23</v>
      </c>
      <c r="AE13" s="14">
        <v>0.32</v>
      </c>
      <c r="AF13" s="14">
        <v>0.21</v>
      </c>
    </row>
    <row r="14" spans="1:32" x14ac:dyDescent="0.25">
      <c r="A14" s="19"/>
      <c r="B14" s="11" t="s">
        <v>382</v>
      </c>
      <c r="C14" s="12">
        <v>15608</v>
      </c>
      <c r="D14" s="12">
        <v>606</v>
      </c>
      <c r="E14" s="12">
        <v>552</v>
      </c>
      <c r="F14" s="12">
        <v>662</v>
      </c>
      <c r="G14" s="12">
        <v>547</v>
      </c>
      <c r="H14" s="12">
        <v>793</v>
      </c>
      <c r="I14" s="12">
        <v>957</v>
      </c>
      <c r="J14" s="12">
        <v>164</v>
      </c>
      <c r="K14" s="12">
        <v>656</v>
      </c>
      <c r="L14" s="12">
        <v>521</v>
      </c>
      <c r="M14" s="12">
        <v>608</v>
      </c>
      <c r="N14" s="12">
        <v>542</v>
      </c>
      <c r="O14" s="12">
        <v>478</v>
      </c>
      <c r="P14" s="12">
        <v>547</v>
      </c>
      <c r="Q14" s="12">
        <v>682</v>
      </c>
      <c r="R14" s="12">
        <v>296</v>
      </c>
      <c r="S14" s="12">
        <v>592</v>
      </c>
      <c r="T14" s="12">
        <v>635</v>
      </c>
      <c r="U14" s="12">
        <v>309</v>
      </c>
      <c r="V14" s="12">
        <v>701</v>
      </c>
      <c r="W14" s="12">
        <v>304</v>
      </c>
      <c r="X14" s="12">
        <v>604</v>
      </c>
      <c r="Y14" s="12">
        <v>545</v>
      </c>
      <c r="Z14" s="12">
        <v>696</v>
      </c>
      <c r="AA14" s="12">
        <v>631</v>
      </c>
      <c r="AB14" s="12">
        <v>556</v>
      </c>
      <c r="AC14" s="12">
        <v>544</v>
      </c>
      <c r="AD14" s="12">
        <v>590</v>
      </c>
      <c r="AE14" s="12">
        <v>590</v>
      </c>
      <c r="AF14" s="12">
        <v>633</v>
      </c>
    </row>
    <row r="15" spans="1:32" x14ac:dyDescent="0.25">
      <c r="A15" s="19"/>
      <c r="B15" s="13" t="s">
        <v>383</v>
      </c>
      <c r="C15" s="14">
        <v>0.59</v>
      </c>
      <c r="D15" s="14">
        <v>0.59</v>
      </c>
      <c r="E15" s="14">
        <v>0.53</v>
      </c>
      <c r="F15" s="14">
        <v>0.62</v>
      </c>
      <c r="G15" s="14">
        <v>0.54</v>
      </c>
      <c r="H15" s="14">
        <v>0.64</v>
      </c>
      <c r="I15" s="14">
        <v>0.63</v>
      </c>
      <c r="J15" s="14">
        <v>0.55000000000000004</v>
      </c>
      <c r="K15" s="14">
        <v>0.65</v>
      </c>
      <c r="L15" s="14">
        <v>0.52</v>
      </c>
      <c r="M15" s="14">
        <v>0.6</v>
      </c>
      <c r="N15" s="14">
        <v>0.54</v>
      </c>
      <c r="O15" s="14">
        <v>0.48</v>
      </c>
      <c r="P15" s="14">
        <v>0.55000000000000004</v>
      </c>
      <c r="Q15" s="14">
        <v>0.66</v>
      </c>
      <c r="R15" s="14">
        <v>0.59</v>
      </c>
      <c r="S15" s="14">
        <v>0.59</v>
      </c>
      <c r="T15" s="14">
        <v>0.62</v>
      </c>
      <c r="U15" s="14">
        <v>0.61</v>
      </c>
      <c r="V15" s="14">
        <v>0.68</v>
      </c>
      <c r="W15" s="14">
        <v>0.61</v>
      </c>
      <c r="X15" s="14">
        <v>0.6</v>
      </c>
      <c r="Y15" s="14">
        <v>0.54</v>
      </c>
      <c r="Z15" s="14">
        <v>0.69000000000000006</v>
      </c>
      <c r="AA15" s="14">
        <v>0.61</v>
      </c>
      <c r="AB15" s="14">
        <v>0.53</v>
      </c>
      <c r="AC15" s="14">
        <v>0.54</v>
      </c>
      <c r="AD15" s="14">
        <v>0.59</v>
      </c>
      <c r="AE15" s="14">
        <v>0.59</v>
      </c>
      <c r="AF15" s="14">
        <v>0.61</v>
      </c>
    </row>
    <row r="16" spans="1:32" x14ac:dyDescent="0.25">
      <c r="A16" s="19"/>
      <c r="B16" s="11" t="s">
        <v>384</v>
      </c>
      <c r="C16" s="12">
        <v>5305</v>
      </c>
      <c r="D16" s="12">
        <v>267</v>
      </c>
      <c r="E16" s="12">
        <v>197</v>
      </c>
      <c r="F16" s="12">
        <v>179</v>
      </c>
      <c r="G16" s="12">
        <v>82</v>
      </c>
      <c r="H16" s="12">
        <v>236</v>
      </c>
      <c r="I16" s="12">
        <v>306</v>
      </c>
      <c r="J16" s="12">
        <v>71</v>
      </c>
      <c r="K16" s="12">
        <v>160</v>
      </c>
      <c r="L16" s="12">
        <v>87</v>
      </c>
      <c r="M16" s="12">
        <v>241</v>
      </c>
      <c r="N16" s="12">
        <v>155</v>
      </c>
      <c r="O16" s="12">
        <v>370</v>
      </c>
      <c r="P16" s="12">
        <v>192</v>
      </c>
      <c r="Q16" s="12">
        <v>168</v>
      </c>
      <c r="R16" s="12">
        <v>92</v>
      </c>
      <c r="S16" s="12">
        <v>200</v>
      </c>
      <c r="T16" s="12">
        <v>140</v>
      </c>
      <c r="U16" s="12">
        <v>85</v>
      </c>
      <c r="V16" s="12">
        <v>193</v>
      </c>
      <c r="W16" s="12">
        <v>63</v>
      </c>
      <c r="X16" s="12">
        <v>150</v>
      </c>
      <c r="Y16" s="12">
        <v>117</v>
      </c>
      <c r="Z16" s="12">
        <v>112</v>
      </c>
      <c r="AA16" s="12">
        <v>266</v>
      </c>
      <c r="AB16" s="12">
        <v>231</v>
      </c>
      <c r="AC16" s="12">
        <v>110</v>
      </c>
      <c r="AD16" s="12">
        <v>152</v>
      </c>
      <c r="AE16" s="12">
        <v>78</v>
      </c>
      <c r="AF16" s="12">
        <v>173</v>
      </c>
    </row>
    <row r="17" spans="1:32" x14ac:dyDescent="0.25">
      <c r="A17" s="19"/>
      <c r="B17" s="13" t="s">
        <v>385</v>
      </c>
      <c r="C17" s="14">
        <v>0.2</v>
      </c>
      <c r="D17" s="14">
        <v>0.26</v>
      </c>
      <c r="E17" s="14">
        <v>0.19</v>
      </c>
      <c r="F17" s="14">
        <v>0.17</v>
      </c>
      <c r="G17" s="14">
        <v>0.08</v>
      </c>
      <c r="H17" s="14">
        <v>0.19</v>
      </c>
      <c r="I17" s="14">
        <v>0.2</v>
      </c>
      <c r="J17" s="14">
        <v>0.24</v>
      </c>
      <c r="K17" s="14">
        <v>0.16</v>
      </c>
      <c r="L17" s="14">
        <v>0.09</v>
      </c>
      <c r="M17" s="14">
        <v>0.24</v>
      </c>
      <c r="N17" s="14">
        <v>0.15</v>
      </c>
      <c r="O17" s="14">
        <v>0.37</v>
      </c>
      <c r="P17" s="14">
        <v>0.19</v>
      </c>
      <c r="Q17" s="14">
        <v>0.16</v>
      </c>
      <c r="R17" s="14">
        <v>0.18</v>
      </c>
      <c r="S17" s="14">
        <v>0.2</v>
      </c>
      <c r="T17" s="14">
        <v>0.14000000000000001</v>
      </c>
      <c r="U17" s="14">
        <v>0.17</v>
      </c>
      <c r="V17" s="14">
        <v>0.19</v>
      </c>
      <c r="W17" s="14">
        <v>0.12</v>
      </c>
      <c r="X17" s="14">
        <v>0.15</v>
      </c>
      <c r="Y17" s="14">
        <v>0.12</v>
      </c>
      <c r="Z17" s="14">
        <v>0.11</v>
      </c>
      <c r="AA17" s="14">
        <v>0.26</v>
      </c>
      <c r="AB17" s="14">
        <v>0.22</v>
      </c>
      <c r="AC17" s="14">
        <v>0.11</v>
      </c>
      <c r="AD17" s="14">
        <v>0.15</v>
      </c>
      <c r="AE17" s="14">
        <v>0.08</v>
      </c>
      <c r="AF17" s="14">
        <v>0.17</v>
      </c>
    </row>
    <row r="18" spans="1:32" x14ac:dyDescent="0.25">
      <c r="A18" s="19"/>
      <c r="B18" s="11" t="s">
        <v>386</v>
      </c>
      <c r="C18" s="12">
        <v>666</v>
      </c>
      <c r="D18" s="12">
        <v>39</v>
      </c>
      <c r="E18" s="12">
        <v>47</v>
      </c>
      <c r="F18" s="12">
        <v>14</v>
      </c>
      <c r="G18" s="12">
        <v>11</v>
      </c>
      <c r="H18" s="12">
        <v>31</v>
      </c>
      <c r="I18" s="12">
        <v>41</v>
      </c>
      <c r="J18" s="12">
        <v>10</v>
      </c>
      <c r="K18" s="12">
        <v>22</v>
      </c>
      <c r="L18" s="12">
        <v>13</v>
      </c>
      <c r="M18" s="12">
        <v>56</v>
      </c>
      <c r="N18" s="12">
        <v>20</v>
      </c>
      <c r="O18" s="12">
        <v>61</v>
      </c>
      <c r="P18" s="12">
        <v>22</v>
      </c>
      <c r="Q18" s="12">
        <v>8</v>
      </c>
      <c r="R18" s="12">
        <v>23</v>
      </c>
      <c r="S18" s="12">
        <v>25</v>
      </c>
      <c r="T18" s="12">
        <v>15</v>
      </c>
      <c r="U18" s="12">
        <v>15</v>
      </c>
      <c r="V18" s="12">
        <v>9</v>
      </c>
      <c r="W18" s="12">
        <v>9</v>
      </c>
      <c r="X18" s="12">
        <v>12</v>
      </c>
      <c r="Y18" s="12">
        <v>9</v>
      </c>
      <c r="Z18" s="12">
        <v>5</v>
      </c>
      <c r="AA18" s="12">
        <v>9</v>
      </c>
      <c r="AB18" s="12">
        <v>40</v>
      </c>
      <c r="AC18" s="12">
        <v>19</v>
      </c>
      <c r="AD18" s="12">
        <v>29</v>
      </c>
      <c r="AE18" s="12">
        <v>5</v>
      </c>
      <c r="AF18" s="12">
        <v>11</v>
      </c>
    </row>
    <row r="19" spans="1:32" x14ac:dyDescent="0.25">
      <c r="A19" s="19"/>
      <c r="B19" s="13" t="s">
        <v>387</v>
      </c>
      <c r="C19" s="14">
        <v>0.02</v>
      </c>
      <c r="D19" s="14">
        <v>0.04</v>
      </c>
      <c r="E19" s="14">
        <v>0.04</v>
      </c>
      <c r="F19" s="14">
        <v>0.01</v>
      </c>
      <c r="G19" s="14">
        <v>0.01</v>
      </c>
      <c r="H19" s="14">
        <v>0.03</v>
      </c>
      <c r="I19" s="14">
        <v>0.03</v>
      </c>
      <c r="J19" s="14">
        <v>0.03</v>
      </c>
      <c r="K19" s="14">
        <v>0.02</v>
      </c>
      <c r="L19" s="14">
        <v>0.01</v>
      </c>
      <c r="M19" s="14">
        <v>0.06</v>
      </c>
      <c r="N19" s="14">
        <v>0.02</v>
      </c>
      <c r="O19" s="14">
        <v>0.06</v>
      </c>
      <c r="P19" s="14">
        <v>0.02</v>
      </c>
      <c r="Q19" s="14">
        <v>0.01</v>
      </c>
      <c r="R19" s="14">
        <v>0.05</v>
      </c>
      <c r="S19" s="14">
        <v>0.02</v>
      </c>
      <c r="T19" s="14">
        <v>0.01</v>
      </c>
      <c r="U19" s="14">
        <v>0.03</v>
      </c>
      <c r="V19" s="14">
        <v>0.01</v>
      </c>
      <c r="W19" s="14">
        <v>0.02</v>
      </c>
      <c r="X19" s="14">
        <v>0.01</v>
      </c>
      <c r="Y19" s="14">
        <v>0.01</v>
      </c>
      <c r="Z19" s="15" t="s">
        <v>213</v>
      </c>
      <c r="AA19" s="14">
        <v>0.01</v>
      </c>
      <c r="AB19" s="14">
        <v>0.04</v>
      </c>
      <c r="AC19" s="14">
        <v>0.02</v>
      </c>
      <c r="AD19" s="14">
        <v>0.03</v>
      </c>
      <c r="AE19" s="15" t="s">
        <v>213</v>
      </c>
      <c r="AF19" s="14">
        <v>0.01</v>
      </c>
    </row>
    <row r="20" spans="1:32" x14ac:dyDescent="0.25">
      <c r="A20" s="19"/>
      <c r="B20" s="11" t="s">
        <v>224</v>
      </c>
      <c r="C20" s="12">
        <v>447</v>
      </c>
      <c r="D20" s="12">
        <v>3</v>
      </c>
      <c r="E20" s="12">
        <v>32</v>
      </c>
      <c r="F20" s="12">
        <v>18</v>
      </c>
      <c r="G20" s="12">
        <v>11</v>
      </c>
      <c r="H20" s="12">
        <v>19</v>
      </c>
      <c r="I20" s="12">
        <v>22</v>
      </c>
      <c r="J20" s="12">
        <v>3</v>
      </c>
      <c r="K20" s="12">
        <v>46</v>
      </c>
      <c r="L20" s="12">
        <v>18</v>
      </c>
      <c r="M20" s="12">
        <v>11</v>
      </c>
      <c r="N20" s="12">
        <v>21</v>
      </c>
      <c r="O20" s="12">
        <v>20</v>
      </c>
      <c r="P20" s="12">
        <v>19</v>
      </c>
      <c r="Q20" s="12">
        <v>17</v>
      </c>
      <c r="R20" s="12">
        <v>7</v>
      </c>
      <c r="S20" s="12">
        <v>27</v>
      </c>
      <c r="T20" s="12">
        <v>27</v>
      </c>
      <c r="U20" s="12">
        <v>12</v>
      </c>
      <c r="V20" s="12">
        <v>18</v>
      </c>
      <c r="W20" s="12">
        <v>8</v>
      </c>
      <c r="X20" s="12">
        <v>5</v>
      </c>
      <c r="Y20" s="12">
        <v>18</v>
      </c>
      <c r="Z20" s="12">
        <v>28</v>
      </c>
      <c r="AA20" s="12">
        <v>15</v>
      </c>
      <c r="AB20" s="12">
        <v>22</v>
      </c>
      <c r="AC20" s="12">
        <v>1</v>
      </c>
      <c r="AD20" s="12">
        <v>2</v>
      </c>
      <c r="AE20" s="12">
        <v>8</v>
      </c>
      <c r="AF20" s="12">
        <v>2</v>
      </c>
    </row>
    <row r="21" spans="1:32" x14ac:dyDescent="0.25">
      <c r="A21" s="19"/>
      <c r="B21" s="13" t="s">
        <v>237</v>
      </c>
      <c r="C21" s="14">
        <v>0.02</v>
      </c>
      <c r="D21" s="15" t="s">
        <v>213</v>
      </c>
      <c r="E21" s="14">
        <v>0.03</v>
      </c>
      <c r="F21" s="14">
        <v>0.02</v>
      </c>
      <c r="G21" s="14">
        <v>0.01</v>
      </c>
      <c r="H21" s="14">
        <v>0.02</v>
      </c>
      <c r="I21" s="14">
        <v>0.01</v>
      </c>
      <c r="J21" s="14">
        <v>0.01</v>
      </c>
      <c r="K21" s="14">
        <v>0.05</v>
      </c>
      <c r="L21" s="14">
        <v>0.02</v>
      </c>
      <c r="M21" s="14">
        <v>0.01</v>
      </c>
      <c r="N21" s="14">
        <v>0.02</v>
      </c>
      <c r="O21" s="14">
        <v>0.02</v>
      </c>
      <c r="P21" s="14">
        <v>0.02</v>
      </c>
      <c r="Q21" s="14">
        <v>0.02</v>
      </c>
      <c r="R21" s="14">
        <v>0.02</v>
      </c>
      <c r="S21" s="14">
        <v>0.03</v>
      </c>
      <c r="T21" s="14">
        <v>0.03</v>
      </c>
      <c r="U21" s="14">
        <v>0.02</v>
      </c>
      <c r="V21" s="14">
        <v>0.02</v>
      </c>
      <c r="W21" s="14">
        <v>0.01</v>
      </c>
      <c r="X21" s="15" t="s">
        <v>213</v>
      </c>
      <c r="Y21" s="14">
        <v>0.02</v>
      </c>
      <c r="Z21" s="14">
        <v>0.03</v>
      </c>
      <c r="AA21" s="14">
        <v>0.01</v>
      </c>
      <c r="AB21" s="14">
        <v>0.02</v>
      </c>
      <c r="AC21" s="15" t="s">
        <v>213</v>
      </c>
      <c r="AD21" s="15" t="s">
        <v>213</v>
      </c>
      <c r="AE21" s="14">
        <v>0.01</v>
      </c>
      <c r="AF21" s="15" t="s">
        <v>213</v>
      </c>
    </row>
    <row r="22" spans="1:32" x14ac:dyDescent="0.25">
      <c r="A22" s="19"/>
      <c r="B22" s="11" t="s">
        <v>388</v>
      </c>
      <c r="C22" s="12">
        <v>20035</v>
      </c>
      <c r="D22" s="12">
        <v>712</v>
      </c>
      <c r="E22" s="12">
        <v>770</v>
      </c>
      <c r="F22" s="12">
        <v>853</v>
      </c>
      <c r="G22" s="12">
        <v>913</v>
      </c>
      <c r="H22" s="12">
        <v>944</v>
      </c>
      <c r="I22" s="12">
        <v>1158</v>
      </c>
      <c r="J22" s="12">
        <v>214</v>
      </c>
      <c r="K22" s="12">
        <v>778</v>
      </c>
      <c r="L22" s="12">
        <v>886</v>
      </c>
      <c r="M22" s="12">
        <v>698</v>
      </c>
      <c r="N22" s="12">
        <v>815</v>
      </c>
      <c r="O22" s="12">
        <v>554</v>
      </c>
      <c r="P22" s="12">
        <v>769</v>
      </c>
      <c r="Q22" s="12">
        <v>838</v>
      </c>
      <c r="R22" s="12">
        <v>378</v>
      </c>
      <c r="S22" s="12">
        <v>752</v>
      </c>
      <c r="T22" s="12">
        <v>841</v>
      </c>
      <c r="U22" s="12">
        <v>395</v>
      </c>
      <c r="V22" s="12">
        <v>805</v>
      </c>
      <c r="W22" s="12">
        <v>423</v>
      </c>
      <c r="X22" s="12">
        <v>843</v>
      </c>
      <c r="Y22" s="12">
        <v>859</v>
      </c>
      <c r="Z22" s="12">
        <v>871</v>
      </c>
      <c r="AA22" s="12">
        <v>748</v>
      </c>
      <c r="AB22" s="12">
        <v>748</v>
      </c>
      <c r="AC22" s="12">
        <v>876</v>
      </c>
      <c r="AD22" s="12">
        <v>821</v>
      </c>
      <c r="AE22" s="12">
        <v>910</v>
      </c>
      <c r="AF22" s="12">
        <v>845</v>
      </c>
    </row>
    <row r="23" spans="1:32" x14ac:dyDescent="0.25">
      <c r="A23" s="19"/>
      <c r="B23" s="13" t="s">
        <v>389</v>
      </c>
      <c r="C23" s="14">
        <v>0.76</v>
      </c>
      <c r="D23" s="14">
        <v>0.70000000000000007</v>
      </c>
      <c r="E23" s="14">
        <v>0.74</v>
      </c>
      <c r="F23" s="14">
        <v>0.8</v>
      </c>
      <c r="G23" s="14">
        <v>0.9</v>
      </c>
      <c r="H23" s="14">
        <v>0.76</v>
      </c>
      <c r="I23" s="14">
        <v>0.76</v>
      </c>
      <c r="J23" s="14">
        <v>0.72</v>
      </c>
      <c r="K23" s="14">
        <v>0.77</v>
      </c>
      <c r="L23" s="14">
        <v>0.88</v>
      </c>
      <c r="M23" s="14">
        <v>0.69000000000000006</v>
      </c>
      <c r="N23" s="14">
        <v>0.81</v>
      </c>
      <c r="O23" s="14">
        <v>0.55000000000000004</v>
      </c>
      <c r="P23" s="14">
        <v>0.77</v>
      </c>
      <c r="Q23" s="14">
        <v>0.81</v>
      </c>
      <c r="R23" s="14">
        <v>0.75</v>
      </c>
      <c r="S23" s="14">
        <v>0.75</v>
      </c>
      <c r="T23" s="14">
        <v>0.82000000000000006</v>
      </c>
      <c r="U23" s="14">
        <v>0.78</v>
      </c>
      <c r="V23" s="14">
        <v>0.78</v>
      </c>
      <c r="W23" s="14">
        <v>0.85</v>
      </c>
      <c r="X23" s="14">
        <v>0.84</v>
      </c>
      <c r="Y23" s="14">
        <v>0.85</v>
      </c>
      <c r="Z23" s="14">
        <v>0.86</v>
      </c>
      <c r="AA23" s="14">
        <v>0.72</v>
      </c>
      <c r="AB23" s="14">
        <v>0.72</v>
      </c>
      <c r="AC23" s="14">
        <v>0.87</v>
      </c>
      <c r="AD23" s="14">
        <v>0.82000000000000006</v>
      </c>
      <c r="AE23" s="14">
        <v>0.91</v>
      </c>
      <c r="AF23" s="14">
        <v>0.82000000000000006</v>
      </c>
    </row>
    <row r="24" spans="1:32" x14ac:dyDescent="0.25">
      <c r="A24" s="19"/>
      <c r="B24" s="11" t="s">
        <v>390</v>
      </c>
      <c r="C24" s="12">
        <v>5971</v>
      </c>
      <c r="D24" s="12">
        <v>306</v>
      </c>
      <c r="E24" s="12">
        <v>244</v>
      </c>
      <c r="F24" s="12">
        <v>193</v>
      </c>
      <c r="G24" s="12">
        <v>93</v>
      </c>
      <c r="H24" s="12">
        <v>267</v>
      </c>
      <c r="I24" s="12">
        <v>347</v>
      </c>
      <c r="J24" s="12">
        <v>81</v>
      </c>
      <c r="K24" s="12">
        <v>182</v>
      </c>
      <c r="L24" s="12">
        <v>100</v>
      </c>
      <c r="M24" s="12">
        <v>297</v>
      </c>
      <c r="N24" s="12">
        <v>175</v>
      </c>
      <c r="O24" s="12">
        <v>431</v>
      </c>
      <c r="P24" s="12">
        <v>214</v>
      </c>
      <c r="Q24" s="12">
        <v>176</v>
      </c>
      <c r="R24" s="12">
        <v>115</v>
      </c>
      <c r="S24" s="12">
        <v>225</v>
      </c>
      <c r="T24" s="12">
        <v>155</v>
      </c>
      <c r="U24" s="12">
        <v>100</v>
      </c>
      <c r="V24" s="12">
        <v>202</v>
      </c>
      <c r="W24" s="12">
        <v>72</v>
      </c>
      <c r="X24" s="12">
        <v>162</v>
      </c>
      <c r="Y24" s="12">
        <v>126</v>
      </c>
      <c r="Z24" s="12">
        <v>117</v>
      </c>
      <c r="AA24" s="12">
        <v>275</v>
      </c>
      <c r="AB24" s="12">
        <v>271</v>
      </c>
      <c r="AC24" s="12">
        <v>129</v>
      </c>
      <c r="AD24" s="12">
        <v>181</v>
      </c>
      <c r="AE24" s="12">
        <v>83</v>
      </c>
      <c r="AF24" s="12">
        <v>184</v>
      </c>
    </row>
    <row r="25" spans="1:32" x14ac:dyDescent="0.25">
      <c r="A25" s="19"/>
      <c r="B25" s="13" t="s">
        <v>391</v>
      </c>
      <c r="C25" s="14">
        <v>0.22</v>
      </c>
      <c r="D25" s="14">
        <v>0.3</v>
      </c>
      <c r="E25" s="14">
        <v>0.23</v>
      </c>
      <c r="F25" s="14">
        <v>0.18</v>
      </c>
      <c r="G25" s="14">
        <v>0.09</v>
      </c>
      <c r="H25" s="14">
        <v>0.22</v>
      </c>
      <c r="I25" s="14">
        <v>0.23</v>
      </c>
      <c r="J25" s="14">
        <v>0.27</v>
      </c>
      <c r="K25" s="14">
        <v>0.18</v>
      </c>
      <c r="L25" s="14">
        <v>0.1</v>
      </c>
      <c r="M25" s="14">
        <v>0.3</v>
      </c>
      <c r="N25" s="14">
        <v>0.17</v>
      </c>
      <c r="O25" s="14">
        <v>0.43</v>
      </c>
      <c r="P25" s="14">
        <v>0.21</v>
      </c>
      <c r="Q25" s="14">
        <v>0.17</v>
      </c>
      <c r="R25" s="14">
        <v>0.23</v>
      </c>
      <c r="S25" s="14">
        <v>0.22</v>
      </c>
      <c r="T25" s="14">
        <v>0.15</v>
      </c>
      <c r="U25" s="14">
        <v>0.2</v>
      </c>
      <c r="V25" s="14">
        <v>0.2</v>
      </c>
      <c r="W25" s="14">
        <v>0.14000000000000001</v>
      </c>
      <c r="X25" s="14">
        <v>0.16</v>
      </c>
      <c r="Y25" s="14">
        <v>0.13</v>
      </c>
      <c r="Z25" s="14">
        <v>0.11</v>
      </c>
      <c r="AA25" s="14">
        <v>0.27</v>
      </c>
      <c r="AB25" s="14">
        <v>0.26</v>
      </c>
      <c r="AC25" s="14">
        <v>0.13</v>
      </c>
      <c r="AD25" s="14">
        <v>0.18</v>
      </c>
      <c r="AE25" s="14">
        <v>0.08</v>
      </c>
      <c r="AF25" s="14">
        <v>0.18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392</v>
      </c>
      <c r="C3" s="18"/>
      <c r="D3" s="18"/>
      <c r="E3" s="18"/>
      <c r="F3" s="18"/>
      <c r="H3" s="18" t="s">
        <v>393</v>
      </c>
      <c r="I3" s="18"/>
      <c r="J3" s="18"/>
      <c r="K3" s="18"/>
      <c r="L3" s="18"/>
    </row>
    <row r="4" spans="1:32" ht="27" customHeight="1" x14ac:dyDescent="0.25">
      <c r="B4" s="18" t="s">
        <v>394</v>
      </c>
      <c r="C4" s="18"/>
      <c r="D4" s="18"/>
      <c r="E4" s="18"/>
      <c r="F4" s="18"/>
      <c r="H4" s="18" t="s">
        <v>395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380</v>
      </c>
      <c r="C12" s="12">
        <v>2301</v>
      </c>
      <c r="D12" s="12">
        <v>54</v>
      </c>
      <c r="E12" s="12">
        <v>136</v>
      </c>
      <c r="F12" s="12">
        <v>102</v>
      </c>
      <c r="G12" s="12">
        <v>289</v>
      </c>
      <c r="H12" s="12">
        <v>53</v>
      </c>
      <c r="I12" s="12">
        <v>67</v>
      </c>
      <c r="J12" s="12">
        <v>14</v>
      </c>
      <c r="K12" s="12">
        <v>65</v>
      </c>
      <c r="L12" s="12">
        <v>297</v>
      </c>
      <c r="M12" s="12">
        <v>45</v>
      </c>
      <c r="N12" s="12">
        <v>111</v>
      </c>
      <c r="O12" s="12">
        <v>32</v>
      </c>
      <c r="P12" s="12">
        <v>185</v>
      </c>
      <c r="Q12" s="12">
        <v>104</v>
      </c>
      <c r="R12" s="12">
        <v>20</v>
      </c>
      <c r="S12" s="12">
        <v>88</v>
      </c>
      <c r="T12" s="12">
        <v>145</v>
      </c>
      <c r="U12" s="12">
        <v>92</v>
      </c>
      <c r="V12" s="12">
        <v>100</v>
      </c>
      <c r="W12" s="12">
        <v>67</v>
      </c>
      <c r="X12" s="12">
        <v>70</v>
      </c>
      <c r="Y12" s="12">
        <v>220</v>
      </c>
      <c r="Z12" s="12">
        <v>135</v>
      </c>
      <c r="AA12" s="12">
        <v>71</v>
      </c>
      <c r="AB12" s="12">
        <v>123</v>
      </c>
      <c r="AC12" s="12">
        <v>148</v>
      </c>
      <c r="AD12" s="12">
        <v>111</v>
      </c>
      <c r="AE12" s="12">
        <v>93</v>
      </c>
      <c r="AF12" s="12">
        <v>64</v>
      </c>
    </row>
    <row r="13" spans="1:32" x14ac:dyDescent="0.25">
      <c r="A13" s="19"/>
      <c r="B13" s="13" t="s">
        <v>381</v>
      </c>
      <c r="C13" s="14">
        <v>0.09</v>
      </c>
      <c r="D13" s="14">
        <v>0.05</v>
      </c>
      <c r="E13" s="14">
        <v>0.13</v>
      </c>
      <c r="F13" s="14">
        <v>0.1</v>
      </c>
      <c r="G13" s="14">
        <v>0.28000000000000003</v>
      </c>
      <c r="H13" s="14">
        <v>0.04</v>
      </c>
      <c r="I13" s="14">
        <v>0.04</v>
      </c>
      <c r="J13" s="14">
        <v>0.05</v>
      </c>
      <c r="K13" s="14">
        <v>0.06</v>
      </c>
      <c r="L13" s="14">
        <v>0.3</v>
      </c>
      <c r="M13" s="14">
        <v>0.05</v>
      </c>
      <c r="N13" s="14">
        <v>0.11</v>
      </c>
      <c r="O13" s="14">
        <v>0.03</v>
      </c>
      <c r="P13" s="14">
        <v>0.18</v>
      </c>
      <c r="Q13" s="14">
        <v>0.1</v>
      </c>
      <c r="R13" s="14">
        <v>0.04</v>
      </c>
      <c r="S13" s="14">
        <v>0.09</v>
      </c>
      <c r="T13" s="14">
        <v>0.14000000000000001</v>
      </c>
      <c r="U13" s="14">
        <v>0.18</v>
      </c>
      <c r="V13" s="14">
        <v>0.1</v>
      </c>
      <c r="W13" s="14">
        <v>0.14000000000000001</v>
      </c>
      <c r="X13" s="14">
        <v>7.0000000000000007E-2</v>
      </c>
      <c r="Y13" s="14">
        <v>0.22</v>
      </c>
      <c r="Z13" s="14">
        <v>0.13</v>
      </c>
      <c r="AA13" s="14">
        <v>7.0000000000000007E-2</v>
      </c>
      <c r="AB13" s="14">
        <v>0.12</v>
      </c>
      <c r="AC13" s="14">
        <v>0.15</v>
      </c>
      <c r="AD13" s="14">
        <v>0.11</v>
      </c>
      <c r="AE13" s="14">
        <v>0.09</v>
      </c>
      <c r="AF13" s="14">
        <v>0.06</v>
      </c>
    </row>
    <row r="14" spans="1:32" x14ac:dyDescent="0.25">
      <c r="A14" s="19"/>
      <c r="B14" s="11" t="s">
        <v>382</v>
      </c>
      <c r="C14" s="12">
        <v>12685</v>
      </c>
      <c r="D14" s="12">
        <v>478</v>
      </c>
      <c r="E14" s="12">
        <v>443</v>
      </c>
      <c r="F14" s="12">
        <v>634</v>
      </c>
      <c r="G14" s="12">
        <v>600</v>
      </c>
      <c r="H14" s="12">
        <v>608</v>
      </c>
      <c r="I14" s="12">
        <v>710</v>
      </c>
      <c r="J14" s="12">
        <v>102</v>
      </c>
      <c r="K14" s="12">
        <v>553</v>
      </c>
      <c r="L14" s="12">
        <v>527</v>
      </c>
      <c r="M14" s="12">
        <v>392</v>
      </c>
      <c r="N14" s="12">
        <v>398</v>
      </c>
      <c r="O14" s="12">
        <v>330</v>
      </c>
      <c r="P14" s="12">
        <v>493</v>
      </c>
      <c r="Q14" s="12">
        <v>561</v>
      </c>
      <c r="R14" s="12">
        <v>222</v>
      </c>
      <c r="S14" s="12">
        <v>496</v>
      </c>
      <c r="T14" s="12">
        <v>585</v>
      </c>
      <c r="U14" s="12">
        <v>319</v>
      </c>
      <c r="V14" s="12">
        <v>488</v>
      </c>
      <c r="W14" s="12">
        <v>258</v>
      </c>
      <c r="X14" s="12">
        <v>581</v>
      </c>
      <c r="Y14" s="12">
        <v>477</v>
      </c>
      <c r="Z14" s="12">
        <v>665</v>
      </c>
      <c r="AA14" s="12">
        <v>531</v>
      </c>
      <c r="AB14" s="12">
        <v>492</v>
      </c>
      <c r="AC14" s="12">
        <v>512</v>
      </c>
      <c r="AD14" s="12">
        <v>471</v>
      </c>
      <c r="AE14" s="12">
        <v>595</v>
      </c>
      <c r="AF14" s="12">
        <v>652</v>
      </c>
    </row>
    <row r="15" spans="1:32" x14ac:dyDescent="0.25">
      <c r="A15" s="19"/>
      <c r="B15" s="13" t="s">
        <v>383</v>
      </c>
      <c r="C15" s="14">
        <v>0.48</v>
      </c>
      <c r="D15" s="14">
        <v>0.47</v>
      </c>
      <c r="E15" s="14">
        <v>0.42</v>
      </c>
      <c r="F15" s="14">
        <v>0.59</v>
      </c>
      <c r="G15" s="14">
        <v>0.59</v>
      </c>
      <c r="H15" s="14">
        <v>0.49</v>
      </c>
      <c r="I15" s="14">
        <v>0.47</v>
      </c>
      <c r="J15" s="14">
        <v>0.34</v>
      </c>
      <c r="K15" s="14">
        <v>0.55000000000000004</v>
      </c>
      <c r="L15" s="14">
        <v>0.52</v>
      </c>
      <c r="M15" s="14">
        <v>0.39</v>
      </c>
      <c r="N15" s="14">
        <v>0.39</v>
      </c>
      <c r="O15" s="14">
        <v>0.33</v>
      </c>
      <c r="P15" s="14">
        <v>0.49</v>
      </c>
      <c r="Q15" s="14">
        <v>0.54</v>
      </c>
      <c r="R15" s="14">
        <v>0.44</v>
      </c>
      <c r="S15" s="14">
        <v>0.5</v>
      </c>
      <c r="T15" s="14">
        <v>0.57000000000000006</v>
      </c>
      <c r="U15" s="14">
        <v>0.63</v>
      </c>
      <c r="V15" s="14">
        <v>0.47</v>
      </c>
      <c r="W15" s="14">
        <v>0.51</v>
      </c>
      <c r="X15" s="14">
        <v>0.57999999999999996</v>
      </c>
      <c r="Y15" s="14">
        <v>0.47</v>
      </c>
      <c r="Z15" s="14">
        <v>0.65</v>
      </c>
      <c r="AA15" s="14">
        <v>0.51</v>
      </c>
      <c r="AB15" s="14">
        <v>0.47</v>
      </c>
      <c r="AC15" s="14">
        <v>0.51</v>
      </c>
      <c r="AD15" s="14">
        <v>0.47</v>
      </c>
      <c r="AE15" s="14">
        <v>0.59</v>
      </c>
      <c r="AF15" s="14">
        <v>0.63</v>
      </c>
    </row>
    <row r="16" spans="1:32" x14ac:dyDescent="0.25">
      <c r="A16" s="19"/>
      <c r="B16" s="11" t="s">
        <v>384</v>
      </c>
      <c r="C16" s="12">
        <v>8981</v>
      </c>
      <c r="D16" s="12">
        <v>370</v>
      </c>
      <c r="E16" s="12">
        <v>314</v>
      </c>
      <c r="F16" s="12">
        <v>274</v>
      </c>
      <c r="G16" s="12">
        <v>99</v>
      </c>
      <c r="H16" s="12">
        <v>461</v>
      </c>
      <c r="I16" s="12">
        <v>601</v>
      </c>
      <c r="J16" s="12">
        <v>140</v>
      </c>
      <c r="K16" s="12">
        <v>251</v>
      </c>
      <c r="L16" s="12">
        <v>136</v>
      </c>
      <c r="M16" s="12">
        <v>422</v>
      </c>
      <c r="N16" s="12">
        <v>377</v>
      </c>
      <c r="O16" s="12">
        <v>467</v>
      </c>
      <c r="P16" s="12">
        <v>227</v>
      </c>
      <c r="Q16" s="12">
        <v>319</v>
      </c>
      <c r="R16" s="12">
        <v>199</v>
      </c>
      <c r="S16" s="12">
        <v>321</v>
      </c>
      <c r="T16" s="12">
        <v>234</v>
      </c>
      <c r="U16" s="12">
        <v>76</v>
      </c>
      <c r="V16" s="12">
        <v>356</v>
      </c>
      <c r="W16" s="12">
        <v>148</v>
      </c>
      <c r="X16" s="12">
        <v>302</v>
      </c>
      <c r="Y16" s="12">
        <v>237</v>
      </c>
      <c r="Z16" s="12">
        <v>168</v>
      </c>
      <c r="AA16" s="12">
        <v>400</v>
      </c>
      <c r="AB16" s="12">
        <v>333</v>
      </c>
      <c r="AC16" s="12">
        <v>264</v>
      </c>
      <c r="AD16" s="12">
        <v>316</v>
      </c>
      <c r="AE16" s="12">
        <v>277</v>
      </c>
      <c r="AF16" s="12">
        <v>272</v>
      </c>
    </row>
    <row r="17" spans="1:32" x14ac:dyDescent="0.25">
      <c r="A17" s="19"/>
      <c r="B17" s="13" t="s">
        <v>385</v>
      </c>
      <c r="C17" s="14">
        <v>0.34</v>
      </c>
      <c r="D17" s="14">
        <v>0.36</v>
      </c>
      <c r="E17" s="14">
        <v>0.3</v>
      </c>
      <c r="F17" s="14">
        <v>0.26</v>
      </c>
      <c r="G17" s="14">
        <v>0.1</v>
      </c>
      <c r="H17" s="14">
        <v>0.38</v>
      </c>
      <c r="I17" s="14">
        <v>0.39</v>
      </c>
      <c r="J17" s="14">
        <v>0.47</v>
      </c>
      <c r="K17" s="14">
        <v>0.25</v>
      </c>
      <c r="L17" s="14">
        <v>0.13</v>
      </c>
      <c r="M17" s="14">
        <v>0.42</v>
      </c>
      <c r="N17" s="14">
        <v>0.37</v>
      </c>
      <c r="O17" s="14">
        <v>0.46</v>
      </c>
      <c r="P17" s="14">
        <v>0.23</v>
      </c>
      <c r="Q17" s="14">
        <v>0.31</v>
      </c>
      <c r="R17" s="14">
        <v>0.4</v>
      </c>
      <c r="S17" s="14">
        <v>0.32</v>
      </c>
      <c r="T17" s="14">
        <v>0.23</v>
      </c>
      <c r="U17" s="14">
        <v>0.15</v>
      </c>
      <c r="V17" s="14">
        <v>0.35</v>
      </c>
      <c r="W17" s="14">
        <v>0.3</v>
      </c>
      <c r="X17" s="14">
        <v>0.3</v>
      </c>
      <c r="Y17" s="14">
        <v>0.24</v>
      </c>
      <c r="Z17" s="14">
        <v>0.17</v>
      </c>
      <c r="AA17" s="14">
        <v>0.38</v>
      </c>
      <c r="AB17" s="14">
        <v>0.32</v>
      </c>
      <c r="AC17" s="14">
        <v>0.26</v>
      </c>
      <c r="AD17" s="14">
        <v>0.32</v>
      </c>
      <c r="AE17" s="14">
        <v>0.28000000000000003</v>
      </c>
      <c r="AF17" s="14">
        <v>0.27</v>
      </c>
    </row>
    <row r="18" spans="1:32" x14ac:dyDescent="0.25">
      <c r="A18" s="19"/>
      <c r="B18" s="11" t="s">
        <v>386</v>
      </c>
      <c r="C18" s="12">
        <v>1961</v>
      </c>
      <c r="D18" s="12">
        <v>113</v>
      </c>
      <c r="E18" s="12">
        <v>111</v>
      </c>
      <c r="F18" s="12">
        <v>37</v>
      </c>
      <c r="G18" s="12">
        <v>20</v>
      </c>
      <c r="H18" s="12">
        <v>87</v>
      </c>
      <c r="I18" s="12">
        <v>122</v>
      </c>
      <c r="J18" s="12">
        <v>36</v>
      </c>
      <c r="K18" s="12">
        <v>82</v>
      </c>
      <c r="L18" s="12">
        <v>28</v>
      </c>
      <c r="M18" s="12">
        <v>143</v>
      </c>
      <c r="N18" s="12">
        <v>90</v>
      </c>
      <c r="O18" s="12">
        <v>156</v>
      </c>
      <c r="P18" s="12">
        <v>78</v>
      </c>
      <c r="Q18" s="12">
        <v>33</v>
      </c>
      <c r="R18" s="12">
        <v>51</v>
      </c>
      <c r="S18" s="12">
        <v>64</v>
      </c>
      <c r="T18" s="12">
        <v>31</v>
      </c>
      <c r="U18" s="12">
        <v>11</v>
      </c>
      <c r="V18" s="12">
        <v>63</v>
      </c>
      <c r="W18" s="12">
        <v>22</v>
      </c>
      <c r="X18" s="12">
        <v>51</v>
      </c>
      <c r="Y18" s="12">
        <v>43</v>
      </c>
      <c r="Z18" s="12">
        <v>18</v>
      </c>
      <c r="AA18" s="12">
        <v>17</v>
      </c>
      <c r="AB18" s="12">
        <v>61</v>
      </c>
      <c r="AC18" s="12">
        <v>62</v>
      </c>
      <c r="AD18" s="12">
        <v>102</v>
      </c>
      <c r="AE18" s="12">
        <v>26</v>
      </c>
      <c r="AF18" s="12">
        <v>39</v>
      </c>
    </row>
    <row r="19" spans="1:32" x14ac:dyDescent="0.25">
      <c r="A19" s="19"/>
      <c r="B19" s="13" t="s">
        <v>387</v>
      </c>
      <c r="C19" s="14">
        <v>7.0000000000000007E-2</v>
      </c>
      <c r="D19" s="14">
        <v>0.11</v>
      </c>
      <c r="E19" s="14">
        <v>0.11</v>
      </c>
      <c r="F19" s="14">
        <v>0.03</v>
      </c>
      <c r="G19" s="14">
        <v>0.02</v>
      </c>
      <c r="H19" s="14">
        <v>7.0000000000000007E-2</v>
      </c>
      <c r="I19" s="14">
        <v>0.08</v>
      </c>
      <c r="J19" s="14">
        <v>0.12</v>
      </c>
      <c r="K19" s="14">
        <v>0.08</v>
      </c>
      <c r="L19" s="14">
        <v>0.03</v>
      </c>
      <c r="M19" s="14">
        <v>0.14000000000000001</v>
      </c>
      <c r="N19" s="14">
        <v>0.09</v>
      </c>
      <c r="O19" s="14">
        <v>0.16</v>
      </c>
      <c r="P19" s="14">
        <v>0.08</v>
      </c>
      <c r="Q19" s="14">
        <v>0.03</v>
      </c>
      <c r="R19" s="14">
        <v>0.1</v>
      </c>
      <c r="S19" s="14">
        <v>0.06</v>
      </c>
      <c r="T19" s="14">
        <v>0.03</v>
      </c>
      <c r="U19" s="14">
        <v>0.02</v>
      </c>
      <c r="V19" s="14">
        <v>0.06</v>
      </c>
      <c r="W19" s="14">
        <v>0.04</v>
      </c>
      <c r="X19" s="14">
        <v>0.05</v>
      </c>
      <c r="Y19" s="14">
        <v>0.04</v>
      </c>
      <c r="Z19" s="14">
        <v>0.02</v>
      </c>
      <c r="AA19" s="14">
        <v>0.02</v>
      </c>
      <c r="AB19" s="14">
        <v>0.06</v>
      </c>
      <c r="AC19" s="14">
        <v>0.06</v>
      </c>
      <c r="AD19" s="14">
        <v>0.1</v>
      </c>
      <c r="AE19" s="14">
        <v>0.03</v>
      </c>
      <c r="AF19" s="14">
        <v>0.04</v>
      </c>
    </row>
    <row r="20" spans="1:32" x14ac:dyDescent="0.25">
      <c r="A20" s="19"/>
      <c r="B20" s="11" t="s">
        <v>224</v>
      </c>
      <c r="C20" s="12">
        <v>525</v>
      </c>
      <c r="D20" s="12">
        <v>6</v>
      </c>
      <c r="E20" s="12">
        <v>41</v>
      </c>
      <c r="F20" s="12">
        <v>18</v>
      </c>
      <c r="G20" s="12">
        <v>7</v>
      </c>
      <c r="H20" s="12">
        <v>20</v>
      </c>
      <c r="I20" s="12">
        <v>27</v>
      </c>
      <c r="J20" s="12">
        <v>6</v>
      </c>
      <c r="K20" s="12">
        <v>55</v>
      </c>
      <c r="L20" s="12">
        <v>18</v>
      </c>
      <c r="M20" s="12">
        <v>5</v>
      </c>
      <c r="N20" s="12">
        <v>35</v>
      </c>
      <c r="O20" s="12">
        <v>19</v>
      </c>
      <c r="P20" s="12">
        <v>19</v>
      </c>
      <c r="Q20" s="12">
        <v>15</v>
      </c>
      <c r="R20" s="12">
        <v>8</v>
      </c>
      <c r="S20" s="12">
        <v>34</v>
      </c>
      <c r="T20" s="12">
        <v>28</v>
      </c>
      <c r="U20" s="12">
        <v>10</v>
      </c>
      <c r="V20" s="12">
        <v>19</v>
      </c>
      <c r="W20" s="12">
        <v>7</v>
      </c>
      <c r="X20" s="12">
        <v>6</v>
      </c>
      <c r="Y20" s="12">
        <v>26</v>
      </c>
      <c r="Z20" s="12">
        <v>31</v>
      </c>
      <c r="AA20" s="12">
        <v>19</v>
      </c>
      <c r="AB20" s="12">
        <v>32</v>
      </c>
      <c r="AC20" s="12">
        <v>19</v>
      </c>
      <c r="AD20" s="12">
        <v>3</v>
      </c>
      <c r="AE20" s="12">
        <v>9</v>
      </c>
      <c r="AF20" s="12">
        <v>3</v>
      </c>
    </row>
    <row r="21" spans="1:32" x14ac:dyDescent="0.25">
      <c r="A21" s="19"/>
      <c r="B21" s="13" t="s">
        <v>237</v>
      </c>
      <c r="C21" s="14">
        <v>0.02</v>
      </c>
      <c r="D21" s="14">
        <v>0.01</v>
      </c>
      <c r="E21" s="14">
        <v>0.04</v>
      </c>
      <c r="F21" s="14">
        <v>0.02</v>
      </c>
      <c r="G21" s="14">
        <v>0.01</v>
      </c>
      <c r="H21" s="14">
        <v>0.02</v>
      </c>
      <c r="I21" s="14">
        <v>0.02</v>
      </c>
      <c r="J21" s="14">
        <v>0.02</v>
      </c>
      <c r="K21" s="14">
        <v>0.06</v>
      </c>
      <c r="L21" s="14">
        <v>0.02</v>
      </c>
      <c r="M21" s="15" t="s">
        <v>213</v>
      </c>
      <c r="N21" s="14">
        <v>0.04</v>
      </c>
      <c r="O21" s="14">
        <v>0.02</v>
      </c>
      <c r="P21" s="14">
        <v>0.02</v>
      </c>
      <c r="Q21" s="14">
        <v>0.02</v>
      </c>
      <c r="R21" s="14">
        <v>0.02</v>
      </c>
      <c r="S21" s="14">
        <v>0.03</v>
      </c>
      <c r="T21" s="14">
        <v>0.03</v>
      </c>
      <c r="U21" s="14">
        <v>0.02</v>
      </c>
      <c r="V21" s="14">
        <v>0.02</v>
      </c>
      <c r="W21" s="14">
        <v>0.01</v>
      </c>
      <c r="X21" s="15" t="s">
        <v>213</v>
      </c>
      <c r="Y21" s="14">
        <v>0.03</v>
      </c>
      <c r="Z21" s="14">
        <v>0.03</v>
      </c>
      <c r="AA21" s="14">
        <v>0.02</v>
      </c>
      <c r="AB21" s="14">
        <v>0.03</v>
      </c>
      <c r="AC21" s="14">
        <v>0.02</v>
      </c>
      <c r="AD21" s="15" t="s">
        <v>213</v>
      </c>
      <c r="AE21" s="14">
        <v>0.01</v>
      </c>
      <c r="AF21" s="15" t="s">
        <v>213</v>
      </c>
    </row>
    <row r="22" spans="1:32" x14ac:dyDescent="0.25">
      <c r="A22" s="19"/>
      <c r="B22" s="11" t="s">
        <v>388</v>
      </c>
      <c r="C22" s="12">
        <v>14986</v>
      </c>
      <c r="D22" s="12">
        <v>532</v>
      </c>
      <c r="E22" s="12">
        <v>579</v>
      </c>
      <c r="F22" s="12">
        <v>736</v>
      </c>
      <c r="G22" s="12">
        <v>889</v>
      </c>
      <c r="H22" s="12">
        <v>661</v>
      </c>
      <c r="I22" s="12">
        <v>777</v>
      </c>
      <c r="J22" s="12">
        <v>116</v>
      </c>
      <c r="K22" s="12">
        <v>618</v>
      </c>
      <c r="L22" s="12">
        <v>824</v>
      </c>
      <c r="M22" s="12">
        <v>437</v>
      </c>
      <c r="N22" s="12">
        <v>509</v>
      </c>
      <c r="O22" s="12">
        <v>362</v>
      </c>
      <c r="P22" s="12">
        <v>678</v>
      </c>
      <c r="Q22" s="12">
        <v>665</v>
      </c>
      <c r="R22" s="12">
        <v>242</v>
      </c>
      <c r="S22" s="12">
        <v>584</v>
      </c>
      <c r="T22" s="12">
        <v>730</v>
      </c>
      <c r="U22" s="12">
        <v>411</v>
      </c>
      <c r="V22" s="12">
        <v>588</v>
      </c>
      <c r="W22" s="12">
        <v>325</v>
      </c>
      <c r="X22" s="12">
        <v>651</v>
      </c>
      <c r="Y22" s="12">
        <v>697</v>
      </c>
      <c r="Z22" s="12">
        <v>800</v>
      </c>
      <c r="AA22" s="12">
        <v>602</v>
      </c>
      <c r="AB22" s="12">
        <v>615</v>
      </c>
      <c r="AC22" s="12">
        <v>660</v>
      </c>
      <c r="AD22" s="12">
        <v>582</v>
      </c>
      <c r="AE22" s="12">
        <v>688</v>
      </c>
      <c r="AF22" s="12">
        <v>716</v>
      </c>
    </row>
    <row r="23" spans="1:32" x14ac:dyDescent="0.25">
      <c r="A23" s="19"/>
      <c r="B23" s="13" t="s">
        <v>389</v>
      </c>
      <c r="C23" s="14">
        <v>0.57000000000000006</v>
      </c>
      <c r="D23" s="14">
        <v>0.52</v>
      </c>
      <c r="E23" s="14">
        <v>0.55000000000000004</v>
      </c>
      <c r="F23" s="14">
        <v>0.69000000000000006</v>
      </c>
      <c r="G23" s="14">
        <v>0.87</v>
      </c>
      <c r="H23" s="14">
        <v>0.53</v>
      </c>
      <c r="I23" s="14">
        <v>0.51</v>
      </c>
      <c r="J23" s="14">
        <v>0.39</v>
      </c>
      <c r="K23" s="14">
        <v>0.61</v>
      </c>
      <c r="L23" s="14">
        <v>0.82000000000000006</v>
      </c>
      <c r="M23" s="14">
        <v>0.44</v>
      </c>
      <c r="N23" s="14">
        <v>0.5</v>
      </c>
      <c r="O23" s="14">
        <v>0.36</v>
      </c>
      <c r="P23" s="14">
        <v>0.67</v>
      </c>
      <c r="Q23" s="14">
        <v>0.64</v>
      </c>
      <c r="R23" s="14">
        <v>0.48</v>
      </c>
      <c r="S23" s="14">
        <v>0.59</v>
      </c>
      <c r="T23" s="14">
        <v>0.71</v>
      </c>
      <c r="U23" s="14">
        <v>0.81</v>
      </c>
      <c r="V23" s="14">
        <v>0.57000000000000006</v>
      </c>
      <c r="W23" s="14">
        <v>0.65</v>
      </c>
      <c r="X23" s="14">
        <v>0.65</v>
      </c>
      <c r="Y23" s="14">
        <v>0.69000000000000006</v>
      </c>
      <c r="Z23" s="14">
        <v>0.78</v>
      </c>
      <c r="AA23" s="14">
        <v>0.57999999999999996</v>
      </c>
      <c r="AB23" s="14">
        <v>0.59</v>
      </c>
      <c r="AC23" s="14">
        <v>0.66</v>
      </c>
      <c r="AD23" s="14">
        <v>0.57999999999999996</v>
      </c>
      <c r="AE23" s="14">
        <v>0.68</v>
      </c>
      <c r="AF23" s="14">
        <v>0.69000000000000006</v>
      </c>
    </row>
    <row r="24" spans="1:32" x14ac:dyDescent="0.25">
      <c r="A24" s="19"/>
      <c r="B24" s="11" t="s">
        <v>390</v>
      </c>
      <c r="C24" s="12">
        <v>10942</v>
      </c>
      <c r="D24" s="12">
        <v>483</v>
      </c>
      <c r="E24" s="12">
        <v>425</v>
      </c>
      <c r="F24" s="12">
        <v>311</v>
      </c>
      <c r="G24" s="12">
        <v>119</v>
      </c>
      <c r="H24" s="12">
        <v>548</v>
      </c>
      <c r="I24" s="12">
        <v>723</v>
      </c>
      <c r="J24" s="12">
        <v>176</v>
      </c>
      <c r="K24" s="12">
        <v>333</v>
      </c>
      <c r="L24" s="12">
        <v>164</v>
      </c>
      <c r="M24" s="12">
        <v>565</v>
      </c>
      <c r="N24" s="12">
        <v>467</v>
      </c>
      <c r="O24" s="12">
        <v>623</v>
      </c>
      <c r="P24" s="12">
        <v>305</v>
      </c>
      <c r="Q24" s="12">
        <v>352</v>
      </c>
      <c r="R24" s="12">
        <v>250</v>
      </c>
      <c r="S24" s="12">
        <v>385</v>
      </c>
      <c r="T24" s="12">
        <v>265</v>
      </c>
      <c r="U24" s="12">
        <v>87</v>
      </c>
      <c r="V24" s="12">
        <v>419</v>
      </c>
      <c r="W24" s="12">
        <v>170</v>
      </c>
      <c r="X24" s="12">
        <v>353</v>
      </c>
      <c r="Y24" s="12">
        <v>280</v>
      </c>
      <c r="Z24" s="12">
        <v>186</v>
      </c>
      <c r="AA24" s="12">
        <v>417</v>
      </c>
      <c r="AB24" s="12">
        <v>394</v>
      </c>
      <c r="AC24" s="12">
        <v>326</v>
      </c>
      <c r="AD24" s="12">
        <v>418</v>
      </c>
      <c r="AE24" s="12">
        <v>303</v>
      </c>
      <c r="AF24" s="12">
        <v>311</v>
      </c>
    </row>
    <row r="25" spans="1:32" x14ac:dyDescent="0.25">
      <c r="A25" s="19"/>
      <c r="B25" s="13" t="s">
        <v>391</v>
      </c>
      <c r="C25" s="14">
        <v>0.41</v>
      </c>
      <c r="D25" s="14">
        <v>0.47</v>
      </c>
      <c r="E25" s="14">
        <v>0.41</v>
      </c>
      <c r="F25" s="14">
        <v>0.28999999999999998</v>
      </c>
      <c r="G25" s="14">
        <v>0.12</v>
      </c>
      <c r="H25" s="14">
        <v>0.45</v>
      </c>
      <c r="I25" s="14">
        <v>0.47</v>
      </c>
      <c r="J25" s="14">
        <v>0.59</v>
      </c>
      <c r="K25" s="14">
        <v>0.33</v>
      </c>
      <c r="L25" s="14">
        <v>0.16</v>
      </c>
      <c r="M25" s="14">
        <v>0.56000000000000005</v>
      </c>
      <c r="N25" s="14">
        <v>0.46</v>
      </c>
      <c r="O25" s="14">
        <v>0.62</v>
      </c>
      <c r="P25" s="14">
        <v>0.31</v>
      </c>
      <c r="Q25" s="14">
        <v>0.34</v>
      </c>
      <c r="R25" s="14">
        <v>0.5</v>
      </c>
      <c r="S25" s="14">
        <v>0.38</v>
      </c>
      <c r="T25" s="14">
        <v>0.26</v>
      </c>
      <c r="U25" s="14">
        <v>0.17</v>
      </c>
      <c r="V25" s="14">
        <v>0.41</v>
      </c>
      <c r="W25" s="14">
        <v>0.34</v>
      </c>
      <c r="X25" s="14">
        <v>0.35</v>
      </c>
      <c r="Y25" s="14">
        <v>0.28000000000000003</v>
      </c>
      <c r="Z25" s="14">
        <v>0.19</v>
      </c>
      <c r="AA25" s="14">
        <v>0.4</v>
      </c>
      <c r="AB25" s="14">
        <v>0.38</v>
      </c>
      <c r="AC25" s="14">
        <v>0.32</v>
      </c>
      <c r="AD25" s="14">
        <v>0.42</v>
      </c>
      <c r="AE25" s="14">
        <v>0.31</v>
      </c>
      <c r="AF25" s="14">
        <v>0.31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396</v>
      </c>
      <c r="C3" s="18"/>
      <c r="D3" s="18"/>
      <c r="E3" s="18"/>
      <c r="F3" s="18"/>
      <c r="H3" s="18" t="s">
        <v>397</v>
      </c>
      <c r="I3" s="18"/>
      <c r="J3" s="18"/>
      <c r="K3" s="18"/>
      <c r="L3" s="18"/>
    </row>
    <row r="4" spans="1:32" ht="27" customHeight="1" x14ac:dyDescent="0.25">
      <c r="B4" s="18" t="s">
        <v>398</v>
      </c>
      <c r="C4" s="18"/>
      <c r="D4" s="18"/>
      <c r="E4" s="18"/>
      <c r="F4" s="18"/>
      <c r="H4" s="18" t="s">
        <v>399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380</v>
      </c>
      <c r="C12" s="12">
        <v>2077</v>
      </c>
      <c r="D12" s="12">
        <v>50</v>
      </c>
      <c r="E12" s="12">
        <v>133</v>
      </c>
      <c r="F12" s="12">
        <v>75</v>
      </c>
      <c r="G12" s="12">
        <v>147</v>
      </c>
      <c r="H12" s="12">
        <v>49</v>
      </c>
      <c r="I12" s="12">
        <v>58</v>
      </c>
      <c r="J12" s="12">
        <v>9</v>
      </c>
      <c r="K12" s="12">
        <v>59</v>
      </c>
      <c r="L12" s="12">
        <v>248</v>
      </c>
      <c r="M12" s="12">
        <v>40</v>
      </c>
      <c r="N12" s="12">
        <v>110</v>
      </c>
      <c r="O12" s="12">
        <v>32</v>
      </c>
      <c r="P12" s="12">
        <v>144</v>
      </c>
      <c r="Q12" s="12">
        <v>126</v>
      </c>
      <c r="R12" s="12">
        <v>10</v>
      </c>
      <c r="S12" s="12">
        <v>92</v>
      </c>
      <c r="T12" s="12">
        <v>139</v>
      </c>
      <c r="U12" s="12">
        <v>42</v>
      </c>
      <c r="V12" s="12">
        <v>82</v>
      </c>
      <c r="W12" s="12">
        <v>73</v>
      </c>
      <c r="X12" s="12">
        <v>57</v>
      </c>
      <c r="Y12" s="12">
        <v>155</v>
      </c>
      <c r="Z12" s="12">
        <v>108</v>
      </c>
      <c r="AA12" s="12">
        <v>73</v>
      </c>
      <c r="AB12" s="12">
        <v>109</v>
      </c>
      <c r="AC12" s="12">
        <v>111</v>
      </c>
      <c r="AD12" s="12">
        <v>96</v>
      </c>
      <c r="AE12" s="12">
        <v>37</v>
      </c>
      <c r="AF12" s="12">
        <v>38</v>
      </c>
    </row>
    <row r="13" spans="1:32" x14ac:dyDescent="0.25">
      <c r="A13" s="19"/>
      <c r="B13" s="13" t="s">
        <v>381</v>
      </c>
      <c r="C13" s="14">
        <v>0.08</v>
      </c>
      <c r="D13" s="14">
        <v>0.05</v>
      </c>
      <c r="E13" s="14">
        <v>0.13</v>
      </c>
      <c r="F13" s="14">
        <v>7.0000000000000007E-2</v>
      </c>
      <c r="G13" s="14">
        <v>0.14000000000000001</v>
      </c>
      <c r="H13" s="14">
        <v>0.04</v>
      </c>
      <c r="I13" s="14">
        <v>0.04</v>
      </c>
      <c r="J13" s="14">
        <v>0.03</v>
      </c>
      <c r="K13" s="14">
        <v>0.06</v>
      </c>
      <c r="L13" s="14">
        <v>0.25</v>
      </c>
      <c r="M13" s="14">
        <v>0.04</v>
      </c>
      <c r="N13" s="14">
        <v>0.11</v>
      </c>
      <c r="O13" s="14">
        <v>0.03</v>
      </c>
      <c r="P13" s="14">
        <v>0.14000000000000001</v>
      </c>
      <c r="Q13" s="14">
        <v>0.12</v>
      </c>
      <c r="R13" s="14">
        <v>0.02</v>
      </c>
      <c r="S13" s="14">
        <v>0.09</v>
      </c>
      <c r="T13" s="14">
        <v>0.14000000000000001</v>
      </c>
      <c r="U13" s="14">
        <v>0.08</v>
      </c>
      <c r="V13" s="14">
        <v>0.08</v>
      </c>
      <c r="W13" s="14">
        <v>0.15</v>
      </c>
      <c r="X13" s="14">
        <v>0.06</v>
      </c>
      <c r="Y13" s="14">
        <v>0.16</v>
      </c>
      <c r="Z13" s="14">
        <v>0.1</v>
      </c>
      <c r="AA13" s="14">
        <v>7.0000000000000007E-2</v>
      </c>
      <c r="AB13" s="14">
        <v>0.11</v>
      </c>
      <c r="AC13" s="14">
        <v>0.11</v>
      </c>
      <c r="AD13" s="14">
        <v>0.1</v>
      </c>
      <c r="AE13" s="14">
        <v>0.04</v>
      </c>
      <c r="AF13" s="14">
        <v>0.04</v>
      </c>
    </row>
    <row r="14" spans="1:32" x14ac:dyDescent="0.25">
      <c r="A14" s="19"/>
      <c r="B14" s="11" t="s">
        <v>382</v>
      </c>
      <c r="C14" s="12">
        <v>13091</v>
      </c>
      <c r="D14" s="12">
        <v>474</v>
      </c>
      <c r="E14" s="12">
        <v>419</v>
      </c>
      <c r="F14" s="12">
        <v>485</v>
      </c>
      <c r="G14" s="12">
        <v>663</v>
      </c>
      <c r="H14" s="12">
        <v>637</v>
      </c>
      <c r="I14" s="12">
        <v>751</v>
      </c>
      <c r="J14" s="12">
        <v>114</v>
      </c>
      <c r="K14" s="12">
        <v>546</v>
      </c>
      <c r="L14" s="12">
        <v>530</v>
      </c>
      <c r="M14" s="12">
        <v>408</v>
      </c>
      <c r="N14" s="12">
        <v>459</v>
      </c>
      <c r="O14" s="12">
        <v>376</v>
      </c>
      <c r="P14" s="12">
        <v>468</v>
      </c>
      <c r="Q14" s="12">
        <v>566</v>
      </c>
      <c r="R14" s="12">
        <v>232</v>
      </c>
      <c r="S14" s="12">
        <v>554</v>
      </c>
      <c r="T14" s="12">
        <v>584</v>
      </c>
      <c r="U14" s="12">
        <v>237</v>
      </c>
      <c r="V14" s="12">
        <v>570</v>
      </c>
      <c r="W14" s="12">
        <v>277</v>
      </c>
      <c r="X14" s="12">
        <v>636</v>
      </c>
      <c r="Y14" s="12">
        <v>410</v>
      </c>
      <c r="Z14" s="12">
        <v>609</v>
      </c>
      <c r="AA14" s="12">
        <v>585</v>
      </c>
      <c r="AB14" s="12">
        <v>496</v>
      </c>
      <c r="AC14" s="12">
        <v>523</v>
      </c>
      <c r="AD14" s="12">
        <v>527</v>
      </c>
      <c r="AE14" s="12">
        <v>549</v>
      </c>
      <c r="AF14" s="12">
        <v>616</v>
      </c>
    </row>
    <row r="15" spans="1:32" x14ac:dyDescent="0.25">
      <c r="A15" s="19"/>
      <c r="B15" s="13" t="s">
        <v>383</v>
      </c>
      <c r="C15" s="14">
        <v>0.49</v>
      </c>
      <c r="D15" s="14">
        <v>0.46</v>
      </c>
      <c r="E15" s="14">
        <v>0.4</v>
      </c>
      <c r="F15" s="14">
        <v>0.46</v>
      </c>
      <c r="G15" s="14">
        <v>0.65</v>
      </c>
      <c r="H15" s="14">
        <v>0.52</v>
      </c>
      <c r="I15" s="14">
        <v>0.49</v>
      </c>
      <c r="J15" s="14">
        <v>0.38</v>
      </c>
      <c r="K15" s="14">
        <v>0.54</v>
      </c>
      <c r="L15" s="14">
        <v>0.52</v>
      </c>
      <c r="M15" s="14">
        <v>0.41</v>
      </c>
      <c r="N15" s="14">
        <v>0.45</v>
      </c>
      <c r="O15" s="14">
        <v>0.38</v>
      </c>
      <c r="P15" s="14">
        <v>0.47</v>
      </c>
      <c r="Q15" s="14">
        <v>0.55000000000000004</v>
      </c>
      <c r="R15" s="14">
        <v>0.46</v>
      </c>
      <c r="S15" s="14">
        <v>0.55000000000000004</v>
      </c>
      <c r="T15" s="14">
        <v>0.57000000000000006</v>
      </c>
      <c r="U15" s="14">
        <v>0.47</v>
      </c>
      <c r="V15" s="14">
        <v>0.56000000000000005</v>
      </c>
      <c r="W15" s="14">
        <v>0.55000000000000004</v>
      </c>
      <c r="X15" s="14">
        <v>0.63</v>
      </c>
      <c r="Y15" s="14">
        <v>0.41</v>
      </c>
      <c r="Z15" s="14">
        <v>0.6</v>
      </c>
      <c r="AA15" s="14">
        <v>0.57000000000000006</v>
      </c>
      <c r="AB15" s="14">
        <v>0.48</v>
      </c>
      <c r="AC15" s="14">
        <v>0.52</v>
      </c>
      <c r="AD15" s="14">
        <v>0.52</v>
      </c>
      <c r="AE15" s="14">
        <v>0.55000000000000004</v>
      </c>
      <c r="AF15" s="14">
        <v>0.6</v>
      </c>
    </row>
    <row r="16" spans="1:32" x14ac:dyDescent="0.25">
      <c r="A16" s="19"/>
      <c r="B16" s="11" t="s">
        <v>384</v>
      </c>
      <c r="C16" s="12">
        <v>8359</v>
      </c>
      <c r="D16" s="12">
        <v>363</v>
      </c>
      <c r="E16" s="12">
        <v>278</v>
      </c>
      <c r="F16" s="12">
        <v>364</v>
      </c>
      <c r="G16" s="12">
        <v>151</v>
      </c>
      <c r="H16" s="12">
        <v>431</v>
      </c>
      <c r="I16" s="12">
        <v>562</v>
      </c>
      <c r="J16" s="12">
        <v>130</v>
      </c>
      <c r="K16" s="12">
        <v>254</v>
      </c>
      <c r="L16" s="12">
        <v>142</v>
      </c>
      <c r="M16" s="12">
        <v>396</v>
      </c>
      <c r="N16" s="12">
        <v>312</v>
      </c>
      <c r="O16" s="12">
        <v>440</v>
      </c>
      <c r="P16" s="12">
        <v>260</v>
      </c>
      <c r="Q16" s="12">
        <v>267</v>
      </c>
      <c r="R16" s="12">
        <v>190</v>
      </c>
      <c r="S16" s="12">
        <v>236</v>
      </c>
      <c r="T16" s="12">
        <v>210</v>
      </c>
      <c r="U16" s="12">
        <v>181</v>
      </c>
      <c r="V16" s="12">
        <v>282</v>
      </c>
      <c r="W16" s="12">
        <v>112</v>
      </c>
      <c r="X16" s="12">
        <v>244</v>
      </c>
      <c r="Y16" s="12">
        <v>272</v>
      </c>
      <c r="Z16" s="12">
        <v>201</v>
      </c>
      <c r="AA16" s="12">
        <v>305</v>
      </c>
      <c r="AB16" s="12">
        <v>313</v>
      </c>
      <c r="AC16" s="12">
        <v>284</v>
      </c>
      <c r="AD16" s="12">
        <v>280</v>
      </c>
      <c r="AE16" s="12">
        <v>305</v>
      </c>
      <c r="AF16" s="12">
        <v>328</v>
      </c>
    </row>
    <row r="17" spans="1:32" x14ac:dyDescent="0.25">
      <c r="A17" s="19"/>
      <c r="B17" s="13" t="s">
        <v>385</v>
      </c>
      <c r="C17" s="14">
        <v>0.32</v>
      </c>
      <c r="D17" s="14">
        <v>0.36</v>
      </c>
      <c r="E17" s="14">
        <v>0.27</v>
      </c>
      <c r="F17" s="14">
        <v>0.34</v>
      </c>
      <c r="G17" s="14">
        <v>0.15</v>
      </c>
      <c r="H17" s="14">
        <v>0.35</v>
      </c>
      <c r="I17" s="14">
        <v>0.37</v>
      </c>
      <c r="J17" s="14">
        <v>0.44</v>
      </c>
      <c r="K17" s="14">
        <v>0.25</v>
      </c>
      <c r="L17" s="14">
        <v>0.14000000000000001</v>
      </c>
      <c r="M17" s="14">
        <v>0.39</v>
      </c>
      <c r="N17" s="14">
        <v>0.31</v>
      </c>
      <c r="O17" s="14">
        <v>0.44</v>
      </c>
      <c r="P17" s="14">
        <v>0.26</v>
      </c>
      <c r="Q17" s="14">
        <v>0.26</v>
      </c>
      <c r="R17" s="14">
        <v>0.38</v>
      </c>
      <c r="S17" s="14">
        <v>0.24</v>
      </c>
      <c r="T17" s="14">
        <v>0.2</v>
      </c>
      <c r="U17" s="14">
        <v>0.36</v>
      </c>
      <c r="V17" s="14">
        <v>0.27</v>
      </c>
      <c r="W17" s="14">
        <v>0.22</v>
      </c>
      <c r="X17" s="14">
        <v>0.24</v>
      </c>
      <c r="Y17" s="14">
        <v>0.27</v>
      </c>
      <c r="Z17" s="14">
        <v>0.2</v>
      </c>
      <c r="AA17" s="14">
        <v>0.28999999999999998</v>
      </c>
      <c r="AB17" s="14">
        <v>0.3</v>
      </c>
      <c r="AC17" s="14">
        <v>0.28000000000000003</v>
      </c>
      <c r="AD17" s="14">
        <v>0.28000000000000003</v>
      </c>
      <c r="AE17" s="14">
        <v>0.3</v>
      </c>
      <c r="AF17" s="14">
        <v>0.32</v>
      </c>
    </row>
    <row r="18" spans="1:32" x14ac:dyDescent="0.25">
      <c r="A18" s="19"/>
      <c r="B18" s="11" t="s">
        <v>386</v>
      </c>
      <c r="C18" s="12">
        <v>1951</v>
      </c>
      <c r="D18" s="12">
        <v>122</v>
      </c>
      <c r="E18" s="12">
        <v>138</v>
      </c>
      <c r="F18" s="12">
        <v>96</v>
      </c>
      <c r="G18" s="12">
        <v>36</v>
      </c>
      <c r="H18" s="12">
        <v>76</v>
      </c>
      <c r="I18" s="12">
        <v>118</v>
      </c>
      <c r="J18" s="12">
        <v>41</v>
      </c>
      <c r="K18" s="12">
        <v>68</v>
      </c>
      <c r="L18" s="12">
        <v>38</v>
      </c>
      <c r="M18" s="12">
        <v>140</v>
      </c>
      <c r="N18" s="12">
        <v>80</v>
      </c>
      <c r="O18" s="12">
        <v>115</v>
      </c>
      <c r="P18" s="12">
        <v>85</v>
      </c>
      <c r="Q18" s="12">
        <v>27</v>
      </c>
      <c r="R18" s="12">
        <v>50</v>
      </c>
      <c r="S18" s="12">
        <v>47</v>
      </c>
      <c r="T18" s="12">
        <v>31</v>
      </c>
      <c r="U18" s="12">
        <v>36</v>
      </c>
      <c r="V18" s="12">
        <v>67</v>
      </c>
      <c r="W18" s="12">
        <v>25</v>
      </c>
      <c r="X18" s="12">
        <v>60</v>
      </c>
      <c r="Y18" s="12">
        <v>123</v>
      </c>
      <c r="Z18" s="12">
        <v>52</v>
      </c>
      <c r="AA18" s="12">
        <v>15</v>
      </c>
      <c r="AB18" s="12">
        <v>88</v>
      </c>
      <c r="AC18" s="12">
        <v>62</v>
      </c>
      <c r="AD18" s="12">
        <v>81</v>
      </c>
      <c r="AE18" s="12">
        <v>63</v>
      </c>
      <c r="AF18" s="12">
        <v>36</v>
      </c>
    </row>
    <row r="19" spans="1:32" x14ac:dyDescent="0.25">
      <c r="A19" s="19"/>
      <c r="B19" s="13" t="s">
        <v>387</v>
      </c>
      <c r="C19" s="14">
        <v>7.0000000000000007E-2</v>
      </c>
      <c r="D19" s="14">
        <v>0.12</v>
      </c>
      <c r="E19" s="14">
        <v>0.13</v>
      </c>
      <c r="F19" s="14">
        <v>0.09</v>
      </c>
      <c r="G19" s="14">
        <v>0.04</v>
      </c>
      <c r="H19" s="14">
        <v>0.06</v>
      </c>
      <c r="I19" s="14">
        <v>0.08</v>
      </c>
      <c r="J19" s="14">
        <v>0.14000000000000001</v>
      </c>
      <c r="K19" s="14">
        <v>7.0000000000000007E-2</v>
      </c>
      <c r="L19" s="14">
        <v>0.04</v>
      </c>
      <c r="M19" s="14">
        <v>0.14000000000000001</v>
      </c>
      <c r="N19" s="14">
        <v>0.08</v>
      </c>
      <c r="O19" s="14">
        <v>0.11</v>
      </c>
      <c r="P19" s="14">
        <v>0.08</v>
      </c>
      <c r="Q19" s="14">
        <v>0.03</v>
      </c>
      <c r="R19" s="14">
        <v>0.1</v>
      </c>
      <c r="S19" s="14">
        <v>0.05</v>
      </c>
      <c r="T19" s="14">
        <v>0.03</v>
      </c>
      <c r="U19" s="14">
        <v>7.0000000000000007E-2</v>
      </c>
      <c r="V19" s="14">
        <v>7.0000000000000007E-2</v>
      </c>
      <c r="W19" s="14">
        <v>0.05</v>
      </c>
      <c r="X19" s="14">
        <v>0.06</v>
      </c>
      <c r="Y19" s="14">
        <v>0.12</v>
      </c>
      <c r="Z19" s="14">
        <v>0.05</v>
      </c>
      <c r="AA19" s="14">
        <v>0.01</v>
      </c>
      <c r="AB19" s="14">
        <v>0.08</v>
      </c>
      <c r="AC19" s="14">
        <v>0.06</v>
      </c>
      <c r="AD19" s="14">
        <v>0.08</v>
      </c>
      <c r="AE19" s="14">
        <v>0.06</v>
      </c>
      <c r="AF19" s="14">
        <v>0.03</v>
      </c>
    </row>
    <row r="20" spans="1:32" x14ac:dyDescent="0.25">
      <c r="A20" s="19"/>
      <c r="B20" s="11" t="s">
        <v>224</v>
      </c>
      <c r="C20" s="12">
        <v>976</v>
      </c>
      <c r="D20" s="12">
        <v>12</v>
      </c>
      <c r="E20" s="12">
        <v>78</v>
      </c>
      <c r="F20" s="12">
        <v>45</v>
      </c>
      <c r="G20" s="12">
        <v>19</v>
      </c>
      <c r="H20" s="12">
        <v>36</v>
      </c>
      <c r="I20" s="12">
        <v>38</v>
      </c>
      <c r="J20" s="12">
        <v>2</v>
      </c>
      <c r="K20" s="12">
        <v>80</v>
      </c>
      <c r="L20" s="12">
        <v>48</v>
      </c>
      <c r="M20" s="12">
        <v>22</v>
      </c>
      <c r="N20" s="12">
        <v>50</v>
      </c>
      <c r="O20" s="12">
        <v>41</v>
      </c>
      <c r="P20" s="12">
        <v>46</v>
      </c>
      <c r="Q20" s="12">
        <v>44</v>
      </c>
      <c r="R20" s="12">
        <v>20</v>
      </c>
      <c r="S20" s="12">
        <v>75</v>
      </c>
      <c r="T20" s="12">
        <v>59</v>
      </c>
      <c r="U20" s="12">
        <v>12</v>
      </c>
      <c r="V20" s="12">
        <v>26</v>
      </c>
      <c r="W20" s="12">
        <v>15</v>
      </c>
      <c r="X20" s="12">
        <v>13</v>
      </c>
      <c r="Y20" s="12">
        <v>44</v>
      </c>
      <c r="Z20" s="12">
        <v>47</v>
      </c>
      <c r="AA20" s="12">
        <v>58</v>
      </c>
      <c r="AB20" s="12">
        <v>35</v>
      </c>
      <c r="AC20" s="12">
        <v>25</v>
      </c>
      <c r="AD20" s="12">
        <v>19</v>
      </c>
      <c r="AE20" s="12">
        <v>47</v>
      </c>
      <c r="AF20" s="12">
        <v>13</v>
      </c>
    </row>
    <row r="21" spans="1:32" x14ac:dyDescent="0.25">
      <c r="A21" s="19"/>
      <c r="B21" s="13" t="s">
        <v>237</v>
      </c>
      <c r="C21" s="14">
        <v>0.04</v>
      </c>
      <c r="D21" s="14">
        <v>0.01</v>
      </c>
      <c r="E21" s="14">
        <v>7.0000000000000007E-2</v>
      </c>
      <c r="F21" s="14">
        <v>0.04</v>
      </c>
      <c r="G21" s="14">
        <v>0.02</v>
      </c>
      <c r="H21" s="14">
        <v>0.03</v>
      </c>
      <c r="I21" s="14">
        <v>0.02</v>
      </c>
      <c r="J21" s="14">
        <v>0.01</v>
      </c>
      <c r="K21" s="14">
        <v>0.08</v>
      </c>
      <c r="L21" s="14">
        <v>0.05</v>
      </c>
      <c r="M21" s="14">
        <v>0.02</v>
      </c>
      <c r="N21" s="14">
        <v>0.05</v>
      </c>
      <c r="O21" s="14">
        <v>0.04</v>
      </c>
      <c r="P21" s="14">
        <v>0.05</v>
      </c>
      <c r="Q21" s="14">
        <v>0.04</v>
      </c>
      <c r="R21" s="14">
        <v>0.04</v>
      </c>
      <c r="S21" s="14">
        <v>7.0000000000000007E-2</v>
      </c>
      <c r="T21" s="14">
        <v>0.06</v>
      </c>
      <c r="U21" s="14">
        <v>0.02</v>
      </c>
      <c r="V21" s="14">
        <v>0.02</v>
      </c>
      <c r="W21" s="14">
        <v>0.03</v>
      </c>
      <c r="X21" s="14">
        <v>0.01</v>
      </c>
      <c r="Y21" s="14">
        <v>0.04</v>
      </c>
      <c r="Z21" s="14">
        <v>0.05</v>
      </c>
      <c r="AA21" s="14">
        <v>0.06</v>
      </c>
      <c r="AB21" s="14">
        <v>0.03</v>
      </c>
      <c r="AC21" s="14">
        <v>0.03</v>
      </c>
      <c r="AD21" s="14">
        <v>0.02</v>
      </c>
      <c r="AE21" s="14">
        <v>0.05</v>
      </c>
      <c r="AF21" s="14">
        <v>0.01</v>
      </c>
    </row>
    <row r="22" spans="1:32" x14ac:dyDescent="0.25">
      <c r="A22" s="19"/>
      <c r="B22" s="11" t="s">
        <v>388</v>
      </c>
      <c r="C22" s="12">
        <v>15168</v>
      </c>
      <c r="D22" s="12">
        <v>524</v>
      </c>
      <c r="E22" s="12">
        <v>552</v>
      </c>
      <c r="F22" s="12">
        <v>560</v>
      </c>
      <c r="G22" s="12">
        <v>810</v>
      </c>
      <c r="H22" s="12">
        <v>686</v>
      </c>
      <c r="I22" s="12">
        <v>809</v>
      </c>
      <c r="J22" s="12">
        <v>123</v>
      </c>
      <c r="K22" s="12">
        <v>605</v>
      </c>
      <c r="L22" s="12">
        <v>778</v>
      </c>
      <c r="M22" s="12">
        <v>448</v>
      </c>
      <c r="N22" s="12">
        <v>569</v>
      </c>
      <c r="O22" s="12">
        <v>408</v>
      </c>
      <c r="P22" s="12">
        <v>612</v>
      </c>
      <c r="Q22" s="12">
        <v>692</v>
      </c>
      <c r="R22" s="12">
        <v>242</v>
      </c>
      <c r="S22" s="12">
        <v>646</v>
      </c>
      <c r="T22" s="12">
        <v>723</v>
      </c>
      <c r="U22" s="12">
        <v>279</v>
      </c>
      <c r="V22" s="12">
        <v>652</v>
      </c>
      <c r="W22" s="12">
        <v>350</v>
      </c>
      <c r="X22" s="12">
        <v>693</v>
      </c>
      <c r="Y22" s="12">
        <v>565</v>
      </c>
      <c r="Z22" s="12">
        <v>717</v>
      </c>
      <c r="AA22" s="12">
        <v>658</v>
      </c>
      <c r="AB22" s="12">
        <v>605</v>
      </c>
      <c r="AC22" s="12">
        <v>634</v>
      </c>
      <c r="AD22" s="12">
        <v>623</v>
      </c>
      <c r="AE22" s="12">
        <v>586</v>
      </c>
      <c r="AF22" s="12">
        <v>654</v>
      </c>
    </row>
    <row r="23" spans="1:32" x14ac:dyDescent="0.25">
      <c r="A23" s="19"/>
      <c r="B23" s="13" t="s">
        <v>389</v>
      </c>
      <c r="C23" s="14">
        <v>0.57000000000000006</v>
      </c>
      <c r="D23" s="14">
        <v>0.51</v>
      </c>
      <c r="E23" s="14">
        <v>0.53</v>
      </c>
      <c r="F23" s="14">
        <v>0.53</v>
      </c>
      <c r="G23" s="14">
        <v>0.79</v>
      </c>
      <c r="H23" s="14">
        <v>0.56000000000000005</v>
      </c>
      <c r="I23" s="14">
        <v>0.53</v>
      </c>
      <c r="J23" s="14">
        <v>0.41</v>
      </c>
      <c r="K23" s="14">
        <v>0.6</v>
      </c>
      <c r="L23" s="14">
        <v>0.77</v>
      </c>
      <c r="M23" s="14">
        <v>0.45</v>
      </c>
      <c r="N23" s="14">
        <v>0.56000000000000005</v>
      </c>
      <c r="O23" s="14">
        <v>0.41</v>
      </c>
      <c r="P23" s="14">
        <v>0.61</v>
      </c>
      <c r="Q23" s="14">
        <v>0.67</v>
      </c>
      <c r="R23" s="14">
        <v>0.48</v>
      </c>
      <c r="S23" s="14">
        <v>0.64</v>
      </c>
      <c r="T23" s="14">
        <v>0.71</v>
      </c>
      <c r="U23" s="14">
        <v>0.55000000000000004</v>
      </c>
      <c r="V23" s="14">
        <v>0.64</v>
      </c>
      <c r="W23" s="14">
        <v>0.70000000000000007</v>
      </c>
      <c r="X23" s="14">
        <v>0.69000000000000006</v>
      </c>
      <c r="Y23" s="14">
        <v>0.57000000000000006</v>
      </c>
      <c r="Z23" s="14">
        <v>0.70000000000000007</v>
      </c>
      <c r="AA23" s="14">
        <v>0.64</v>
      </c>
      <c r="AB23" s="14">
        <v>0.59</v>
      </c>
      <c r="AC23" s="14">
        <v>0.63</v>
      </c>
      <c r="AD23" s="14">
        <v>0.62</v>
      </c>
      <c r="AE23" s="14">
        <v>0.59</v>
      </c>
      <c r="AF23" s="14">
        <v>0.64</v>
      </c>
    </row>
    <row r="24" spans="1:32" x14ac:dyDescent="0.25">
      <c r="A24" s="19"/>
      <c r="B24" s="11" t="s">
        <v>390</v>
      </c>
      <c r="C24" s="12">
        <v>10310</v>
      </c>
      <c r="D24" s="12">
        <v>485</v>
      </c>
      <c r="E24" s="12">
        <v>416</v>
      </c>
      <c r="F24" s="12">
        <v>460</v>
      </c>
      <c r="G24" s="12">
        <v>187</v>
      </c>
      <c r="H24" s="12">
        <v>507</v>
      </c>
      <c r="I24" s="12">
        <v>680</v>
      </c>
      <c r="J24" s="12">
        <v>171</v>
      </c>
      <c r="K24" s="12">
        <v>322</v>
      </c>
      <c r="L24" s="12">
        <v>180</v>
      </c>
      <c r="M24" s="12">
        <v>536</v>
      </c>
      <c r="N24" s="12">
        <v>392</v>
      </c>
      <c r="O24" s="12">
        <v>555</v>
      </c>
      <c r="P24" s="12">
        <v>345</v>
      </c>
      <c r="Q24" s="12">
        <v>294</v>
      </c>
      <c r="R24" s="12">
        <v>240</v>
      </c>
      <c r="S24" s="12">
        <v>283</v>
      </c>
      <c r="T24" s="12">
        <v>241</v>
      </c>
      <c r="U24" s="12">
        <v>217</v>
      </c>
      <c r="V24" s="12">
        <v>349</v>
      </c>
      <c r="W24" s="12">
        <v>137</v>
      </c>
      <c r="X24" s="12">
        <v>304</v>
      </c>
      <c r="Y24" s="12">
        <v>395</v>
      </c>
      <c r="Z24" s="12">
        <v>253</v>
      </c>
      <c r="AA24" s="12">
        <v>320</v>
      </c>
      <c r="AB24" s="12">
        <v>401</v>
      </c>
      <c r="AC24" s="12">
        <v>346</v>
      </c>
      <c r="AD24" s="12">
        <v>361</v>
      </c>
      <c r="AE24" s="12">
        <v>368</v>
      </c>
      <c r="AF24" s="12">
        <v>364</v>
      </c>
    </row>
    <row r="25" spans="1:32" x14ac:dyDescent="0.25">
      <c r="A25" s="19"/>
      <c r="B25" s="13" t="s">
        <v>391</v>
      </c>
      <c r="C25" s="14">
        <v>0.39</v>
      </c>
      <c r="D25" s="14">
        <v>0.48</v>
      </c>
      <c r="E25" s="14">
        <v>0.4</v>
      </c>
      <c r="F25" s="14">
        <v>0.43</v>
      </c>
      <c r="G25" s="14">
        <v>0.19</v>
      </c>
      <c r="H25" s="14">
        <v>0.41</v>
      </c>
      <c r="I25" s="14">
        <v>0.45</v>
      </c>
      <c r="J25" s="14">
        <v>0.57999999999999996</v>
      </c>
      <c r="K25" s="14">
        <v>0.32</v>
      </c>
      <c r="L25" s="14">
        <v>0.18</v>
      </c>
      <c r="M25" s="14">
        <v>0.53</v>
      </c>
      <c r="N25" s="14">
        <v>0.39</v>
      </c>
      <c r="O25" s="14">
        <v>0.55000000000000004</v>
      </c>
      <c r="P25" s="14">
        <v>0.34</v>
      </c>
      <c r="Q25" s="14">
        <v>0.28999999999999998</v>
      </c>
      <c r="R25" s="14">
        <v>0.48</v>
      </c>
      <c r="S25" s="14">
        <v>0.28999999999999998</v>
      </c>
      <c r="T25" s="14">
        <v>0.23</v>
      </c>
      <c r="U25" s="14">
        <v>0.43</v>
      </c>
      <c r="V25" s="14">
        <v>0.34</v>
      </c>
      <c r="W25" s="14">
        <v>0.27</v>
      </c>
      <c r="X25" s="14">
        <v>0.3</v>
      </c>
      <c r="Y25" s="14">
        <v>0.39</v>
      </c>
      <c r="Z25" s="14">
        <v>0.25</v>
      </c>
      <c r="AA25" s="14">
        <v>0.3</v>
      </c>
      <c r="AB25" s="14">
        <v>0.38</v>
      </c>
      <c r="AC25" s="14">
        <v>0.34</v>
      </c>
      <c r="AD25" s="14">
        <v>0.36</v>
      </c>
      <c r="AE25" s="14">
        <v>0.36</v>
      </c>
      <c r="AF25" s="14">
        <v>0.35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400</v>
      </c>
      <c r="C3" s="18"/>
      <c r="D3" s="18"/>
      <c r="E3" s="18"/>
      <c r="F3" s="18"/>
      <c r="H3" s="18" t="s">
        <v>401</v>
      </c>
      <c r="I3" s="18"/>
      <c r="J3" s="18"/>
      <c r="K3" s="18"/>
      <c r="L3" s="18"/>
    </row>
    <row r="4" spans="1:32" ht="27" customHeight="1" x14ac:dyDescent="0.25">
      <c r="B4" s="18" t="s">
        <v>402</v>
      </c>
      <c r="C4" s="18"/>
      <c r="D4" s="18"/>
      <c r="E4" s="18"/>
      <c r="F4" s="18"/>
      <c r="H4" s="18" t="s">
        <v>403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380</v>
      </c>
      <c r="C12" s="12">
        <v>1515</v>
      </c>
      <c r="D12" s="12">
        <v>36</v>
      </c>
      <c r="E12" s="12">
        <v>100</v>
      </c>
      <c r="F12" s="12">
        <v>60</v>
      </c>
      <c r="G12" s="12">
        <v>54</v>
      </c>
      <c r="H12" s="12">
        <v>46</v>
      </c>
      <c r="I12" s="12">
        <v>53</v>
      </c>
      <c r="J12" s="12">
        <v>7</v>
      </c>
      <c r="K12" s="12">
        <v>58</v>
      </c>
      <c r="L12" s="12">
        <v>155</v>
      </c>
      <c r="M12" s="12">
        <v>40</v>
      </c>
      <c r="N12" s="12">
        <v>78</v>
      </c>
      <c r="O12" s="12">
        <v>23</v>
      </c>
      <c r="P12" s="12">
        <v>126</v>
      </c>
      <c r="Q12" s="12">
        <v>83</v>
      </c>
      <c r="R12" s="12">
        <v>11</v>
      </c>
      <c r="S12" s="12">
        <v>64</v>
      </c>
      <c r="T12" s="12">
        <v>99</v>
      </c>
      <c r="U12" s="12">
        <v>27</v>
      </c>
      <c r="V12" s="12">
        <v>76</v>
      </c>
      <c r="W12" s="12">
        <v>50</v>
      </c>
      <c r="X12" s="12">
        <v>19</v>
      </c>
      <c r="Y12" s="12">
        <v>89</v>
      </c>
      <c r="Z12" s="12">
        <v>92</v>
      </c>
      <c r="AA12" s="12">
        <v>49</v>
      </c>
      <c r="AB12" s="12">
        <v>98</v>
      </c>
      <c r="AC12" s="12">
        <v>81</v>
      </c>
      <c r="AD12" s="12">
        <v>71</v>
      </c>
      <c r="AE12" s="12">
        <v>31</v>
      </c>
      <c r="AF12" s="12">
        <v>20</v>
      </c>
    </row>
    <row r="13" spans="1:32" x14ac:dyDescent="0.25">
      <c r="A13" s="19"/>
      <c r="B13" s="13" t="s">
        <v>381</v>
      </c>
      <c r="C13" s="14">
        <v>0.06</v>
      </c>
      <c r="D13" s="14">
        <v>0.04</v>
      </c>
      <c r="E13" s="14">
        <v>0.1</v>
      </c>
      <c r="F13" s="14">
        <v>0.06</v>
      </c>
      <c r="G13" s="14">
        <v>0.05</v>
      </c>
      <c r="H13" s="14">
        <v>0.04</v>
      </c>
      <c r="I13" s="14">
        <v>0.04</v>
      </c>
      <c r="J13" s="14">
        <v>0.02</v>
      </c>
      <c r="K13" s="14">
        <v>0.06</v>
      </c>
      <c r="L13" s="14">
        <v>0.15</v>
      </c>
      <c r="M13" s="14">
        <v>0.04</v>
      </c>
      <c r="N13" s="14">
        <v>0.08</v>
      </c>
      <c r="O13" s="14">
        <v>0.02</v>
      </c>
      <c r="P13" s="14">
        <v>0.13</v>
      </c>
      <c r="Q13" s="14">
        <v>0.08</v>
      </c>
      <c r="R13" s="14">
        <v>0.02</v>
      </c>
      <c r="S13" s="14">
        <v>0.06</v>
      </c>
      <c r="T13" s="14">
        <v>0.1</v>
      </c>
      <c r="U13" s="14">
        <v>0.05</v>
      </c>
      <c r="V13" s="14">
        <v>0.08</v>
      </c>
      <c r="W13" s="14">
        <v>0.1</v>
      </c>
      <c r="X13" s="14">
        <v>0.02</v>
      </c>
      <c r="Y13" s="14">
        <v>0.09</v>
      </c>
      <c r="Z13" s="14">
        <v>0.09</v>
      </c>
      <c r="AA13" s="14">
        <v>0.05</v>
      </c>
      <c r="AB13" s="14">
        <v>0.09</v>
      </c>
      <c r="AC13" s="14">
        <v>0.08</v>
      </c>
      <c r="AD13" s="14">
        <v>7.0000000000000007E-2</v>
      </c>
      <c r="AE13" s="14">
        <v>0.03</v>
      </c>
      <c r="AF13" s="14">
        <v>0.02</v>
      </c>
    </row>
    <row r="14" spans="1:32" x14ac:dyDescent="0.25">
      <c r="A14" s="19"/>
      <c r="B14" s="11" t="s">
        <v>382</v>
      </c>
      <c r="C14" s="12">
        <v>9894</v>
      </c>
      <c r="D14" s="12">
        <v>306</v>
      </c>
      <c r="E14" s="12">
        <v>435</v>
      </c>
      <c r="F14" s="12">
        <v>542</v>
      </c>
      <c r="G14" s="12">
        <v>445</v>
      </c>
      <c r="H14" s="12">
        <v>411</v>
      </c>
      <c r="I14" s="12">
        <v>503</v>
      </c>
      <c r="J14" s="12">
        <v>92</v>
      </c>
      <c r="K14" s="12">
        <v>537</v>
      </c>
      <c r="L14" s="12">
        <v>419</v>
      </c>
      <c r="M14" s="12">
        <v>367</v>
      </c>
      <c r="N14" s="12">
        <v>356</v>
      </c>
      <c r="O14" s="12">
        <v>256</v>
      </c>
      <c r="P14" s="12">
        <v>414</v>
      </c>
      <c r="Q14" s="12">
        <v>435</v>
      </c>
      <c r="R14" s="12">
        <v>162</v>
      </c>
      <c r="S14" s="12">
        <v>502</v>
      </c>
      <c r="T14" s="12">
        <v>512</v>
      </c>
      <c r="U14" s="12">
        <v>130</v>
      </c>
      <c r="V14" s="12">
        <v>495</v>
      </c>
      <c r="W14" s="12">
        <v>174</v>
      </c>
      <c r="X14" s="12">
        <v>252</v>
      </c>
      <c r="Y14" s="12">
        <v>362</v>
      </c>
      <c r="Z14" s="12">
        <v>584</v>
      </c>
      <c r="AA14" s="12">
        <v>424</v>
      </c>
      <c r="AB14" s="12">
        <v>485</v>
      </c>
      <c r="AC14" s="12">
        <v>457</v>
      </c>
      <c r="AD14" s="12">
        <v>488</v>
      </c>
      <c r="AE14" s="12">
        <v>315</v>
      </c>
      <c r="AF14" s="12">
        <v>297</v>
      </c>
    </row>
    <row r="15" spans="1:32" x14ac:dyDescent="0.25">
      <c r="A15" s="19"/>
      <c r="B15" s="13" t="s">
        <v>383</v>
      </c>
      <c r="C15" s="14">
        <v>0.38</v>
      </c>
      <c r="D15" s="14">
        <v>0.3</v>
      </c>
      <c r="E15" s="14">
        <v>0.41</v>
      </c>
      <c r="F15" s="14">
        <v>0.51</v>
      </c>
      <c r="G15" s="14">
        <v>0.44</v>
      </c>
      <c r="H15" s="14">
        <v>0.33</v>
      </c>
      <c r="I15" s="14">
        <v>0.33</v>
      </c>
      <c r="J15" s="14">
        <v>0.31</v>
      </c>
      <c r="K15" s="14">
        <v>0.53</v>
      </c>
      <c r="L15" s="14">
        <v>0.42</v>
      </c>
      <c r="M15" s="14">
        <v>0.37</v>
      </c>
      <c r="N15" s="14">
        <v>0.35</v>
      </c>
      <c r="O15" s="14">
        <v>0.26</v>
      </c>
      <c r="P15" s="14">
        <v>0.41</v>
      </c>
      <c r="Q15" s="14">
        <v>0.42</v>
      </c>
      <c r="R15" s="14">
        <v>0.32</v>
      </c>
      <c r="S15" s="14">
        <v>0.5</v>
      </c>
      <c r="T15" s="14">
        <v>0.5</v>
      </c>
      <c r="U15" s="14">
        <v>0.26</v>
      </c>
      <c r="V15" s="14">
        <v>0.48</v>
      </c>
      <c r="W15" s="14">
        <v>0.35</v>
      </c>
      <c r="X15" s="14">
        <v>0.25</v>
      </c>
      <c r="Y15" s="14">
        <v>0.36</v>
      </c>
      <c r="Z15" s="14">
        <v>0.57999999999999996</v>
      </c>
      <c r="AA15" s="14">
        <v>0.41</v>
      </c>
      <c r="AB15" s="14">
        <v>0.47</v>
      </c>
      <c r="AC15" s="14">
        <v>0.46</v>
      </c>
      <c r="AD15" s="14">
        <v>0.49</v>
      </c>
      <c r="AE15" s="14">
        <v>0.32</v>
      </c>
      <c r="AF15" s="14">
        <v>0.28999999999999998</v>
      </c>
    </row>
    <row r="16" spans="1:32" x14ac:dyDescent="0.25">
      <c r="A16" s="19"/>
      <c r="B16" s="11" t="s">
        <v>384</v>
      </c>
      <c r="C16" s="12">
        <v>10907</v>
      </c>
      <c r="D16" s="12">
        <v>484</v>
      </c>
      <c r="E16" s="12">
        <v>302</v>
      </c>
      <c r="F16" s="12">
        <v>360</v>
      </c>
      <c r="G16" s="12">
        <v>428</v>
      </c>
      <c r="H16" s="12">
        <v>577</v>
      </c>
      <c r="I16" s="12">
        <v>723</v>
      </c>
      <c r="J16" s="12">
        <v>145</v>
      </c>
      <c r="K16" s="12">
        <v>246</v>
      </c>
      <c r="L16" s="12">
        <v>308</v>
      </c>
      <c r="M16" s="12">
        <v>395</v>
      </c>
      <c r="N16" s="12">
        <v>401</v>
      </c>
      <c r="O16" s="12">
        <v>500</v>
      </c>
      <c r="P16" s="12">
        <v>305</v>
      </c>
      <c r="Q16" s="12">
        <v>383</v>
      </c>
      <c r="R16" s="12">
        <v>216</v>
      </c>
      <c r="S16" s="12">
        <v>298</v>
      </c>
      <c r="T16" s="12">
        <v>291</v>
      </c>
      <c r="U16" s="12">
        <v>233</v>
      </c>
      <c r="V16" s="12">
        <v>352</v>
      </c>
      <c r="W16" s="12">
        <v>211</v>
      </c>
      <c r="X16" s="12">
        <v>615</v>
      </c>
      <c r="Y16" s="12">
        <v>369</v>
      </c>
      <c r="Z16" s="12">
        <v>232</v>
      </c>
      <c r="AA16" s="12">
        <v>412</v>
      </c>
      <c r="AB16" s="12">
        <v>324</v>
      </c>
      <c r="AC16" s="12">
        <v>350</v>
      </c>
      <c r="AD16" s="12">
        <v>355</v>
      </c>
      <c r="AE16" s="12">
        <v>514</v>
      </c>
      <c r="AF16" s="12">
        <v>570</v>
      </c>
    </row>
    <row r="17" spans="1:32" x14ac:dyDescent="0.25">
      <c r="A17" s="19"/>
      <c r="B17" s="13" t="s">
        <v>385</v>
      </c>
      <c r="C17" s="14">
        <v>0.41</v>
      </c>
      <c r="D17" s="14">
        <v>0.47</v>
      </c>
      <c r="E17" s="14">
        <v>0.28999999999999998</v>
      </c>
      <c r="F17" s="14">
        <v>0.34</v>
      </c>
      <c r="G17" s="14">
        <v>0.42</v>
      </c>
      <c r="H17" s="14">
        <v>0.47</v>
      </c>
      <c r="I17" s="14">
        <v>0.47</v>
      </c>
      <c r="J17" s="14">
        <v>0.49</v>
      </c>
      <c r="K17" s="14">
        <v>0.25</v>
      </c>
      <c r="L17" s="14">
        <v>0.3</v>
      </c>
      <c r="M17" s="14">
        <v>0.39</v>
      </c>
      <c r="N17" s="14">
        <v>0.39</v>
      </c>
      <c r="O17" s="14">
        <v>0.5</v>
      </c>
      <c r="P17" s="14">
        <v>0.3</v>
      </c>
      <c r="Q17" s="14">
        <v>0.37</v>
      </c>
      <c r="R17" s="14">
        <v>0.43</v>
      </c>
      <c r="S17" s="14">
        <v>0.3</v>
      </c>
      <c r="T17" s="14">
        <v>0.28000000000000003</v>
      </c>
      <c r="U17" s="14">
        <v>0.46</v>
      </c>
      <c r="V17" s="14">
        <v>0.34</v>
      </c>
      <c r="W17" s="14">
        <v>0.42</v>
      </c>
      <c r="X17" s="14">
        <v>0.61</v>
      </c>
      <c r="Y17" s="14">
        <v>0.37</v>
      </c>
      <c r="Z17" s="14">
        <v>0.23</v>
      </c>
      <c r="AA17" s="14">
        <v>0.4</v>
      </c>
      <c r="AB17" s="14">
        <v>0.31</v>
      </c>
      <c r="AC17" s="14">
        <v>0.35</v>
      </c>
      <c r="AD17" s="14">
        <v>0.35</v>
      </c>
      <c r="AE17" s="14">
        <v>0.51</v>
      </c>
      <c r="AF17" s="14">
        <v>0.55000000000000004</v>
      </c>
    </row>
    <row r="18" spans="1:32" x14ac:dyDescent="0.25">
      <c r="A18" s="19"/>
      <c r="B18" s="11" t="s">
        <v>386</v>
      </c>
      <c r="C18" s="12">
        <v>3005</v>
      </c>
      <c r="D18" s="12">
        <v>184</v>
      </c>
      <c r="E18" s="12">
        <v>91</v>
      </c>
      <c r="F18" s="12">
        <v>60</v>
      </c>
      <c r="G18" s="12">
        <v>71</v>
      </c>
      <c r="H18" s="12">
        <v>143</v>
      </c>
      <c r="I18" s="12">
        <v>186</v>
      </c>
      <c r="J18" s="12">
        <v>44</v>
      </c>
      <c r="K18" s="12">
        <v>45</v>
      </c>
      <c r="L18" s="12">
        <v>68</v>
      </c>
      <c r="M18" s="12">
        <v>175</v>
      </c>
      <c r="N18" s="12">
        <v>129</v>
      </c>
      <c r="O18" s="12">
        <v>185</v>
      </c>
      <c r="P18" s="12">
        <v>110</v>
      </c>
      <c r="Q18" s="12">
        <v>87</v>
      </c>
      <c r="R18" s="12">
        <v>73</v>
      </c>
      <c r="S18" s="12">
        <v>49</v>
      </c>
      <c r="T18" s="12">
        <v>41</v>
      </c>
      <c r="U18" s="12">
        <v>110</v>
      </c>
      <c r="V18" s="12">
        <v>62</v>
      </c>
      <c r="W18" s="12">
        <v>52</v>
      </c>
      <c r="X18" s="12">
        <v>108</v>
      </c>
      <c r="Y18" s="12">
        <v>125</v>
      </c>
      <c r="Z18" s="12">
        <v>45</v>
      </c>
      <c r="AA18" s="12">
        <v>90</v>
      </c>
      <c r="AB18" s="12">
        <v>82</v>
      </c>
      <c r="AC18" s="12">
        <v>94</v>
      </c>
      <c r="AD18" s="12">
        <v>65</v>
      </c>
      <c r="AE18" s="12">
        <v>110</v>
      </c>
      <c r="AF18" s="12">
        <v>140</v>
      </c>
    </row>
    <row r="19" spans="1:32" x14ac:dyDescent="0.25">
      <c r="A19" s="19"/>
      <c r="B19" s="13" t="s">
        <v>387</v>
      </c>
      <c r="C19" s="14">
        <v>0.11</v>
      </c>
      <c r="D19" s="14">
        <v>0.18</v>
      </c>
      <c r="E19" s="14">
        <v>0.09</v>
      </c>
      <c r="F19" s="14">
        <v>0.05</v>
      </c>
      <c r="G19" s="14">
        <v>7.0000000000000007E-2</v>
      </c>
      <c r="H19" s="14">
        <v>0.12</v>
      </c>
      <c r="I19" s="14">
        <v>0.12</v>
      </c>
      <c r="J19" s="14">
        <v>0.15</v>
      </c>
      <c r="K19" s="14">
        <v>0.04</v>
      </c>
      <c r="L19" s="14">
        <v>7.0000000000000007E-2</v>
      </c>
      <c r="M19" s="14">
        <v>0.17</v>
      </c>
      <c r="N19" s="14">
        <v>0.13</v>
      </c>
      <c r="O19" s="14">
        <v>0.18</v>
      </c>
      <c r="P19" s="14">
        <v>0.11</v>
      </c>
      <c r="Q19" s="14">
        <v>0.09</v>
      </c>
      <c r="R19" s="14">
        <v>0.15</v>
      </c>
      <c r="S19" s="14">
        <v>0.05</v>
      </c>
      <c r="T19" s="14">
        <v>0.04</v>
      </c>
      <c r="U19" s="14">
        <v>0.22</v>
      </c>
      <c r="V19" s="14">
        <v>0.06</v>
      </c>
      <c r="W19" s="14">
        <v>0.1</v>
      </c>
      <c r="X19" s="14">
        <v>0.11</v>
      </c>
      <c r="Y19" s="14">
        <v>0.12</v>
      </c>
      <c r="Z19" s="14">
        <v>0.04</v>
      </c>
      <c r="AA19" s="14">
        <v>0.08</v>
      </c>
      <c r="AB19" s="14">
        <v>0.08</v>
      </c>
      <c r="AC19" s="14">
        <v>0.09</v>
      </c>
      <c r="AD19" s="14">
        <v>7.0000000000000007E-2</v>
      </c>
      <c r="AE19" s="14">
        <v>0.11</v>
      </c>
      <c r="AF19" s="14">
        <v>0.14000000000000001</v>
      </c>
    </row>
    <row r="20" spans="1:32" x14ac:dyDescent="0.25">
      <c r="A20" s="19"/>
      <c r="B20" s="11" t="s">
        <v>224</v>
      </c>
      <c r="C20" s="12">
        <v>1133</v>
      </c>
      <c r="D20" s="12">
        <v>12</v>
      </c>
      <c r="E20" s="12">
        <v>118</v>
      </c>
      <c r="F20" s="12">
        <v>42</v>
      </c>
      <c r="G20" s="12">
        <v>19</v>
      </c>
      <c r="H20" s="12">
        <v>53</v>
      </c>
      <c r="I20" s="12">
        <v>62</v>
      </c>
      <c r="J20" s="12">
        <v>9</v>
      </c>
      <c r="K20" s="12">
        <v>120</v>
      </c>
      <c r="L20" s="12">
        <v>57</v>
      </c>
      <c r="M20" s="12">
        <v>29</v>
      </c>
      <c r="N20" s="12">
        <v>47</v>
      </c>
      <c r="O20" s="12">
        <v>40</v>
      </c>
      <c r="P20" s="12">
        <v>48</v>
      </c>
      <c r="Q20" s="12">
        <v>44</v>
      </c>
      <c r="R20" s="12">
        <v>39</v>
      </c>
      <c r="S20" s="12">
        <v>91</v>
      </c>
      <c r="T20" s="12">
        <v>81</v>
      </c>
      <c r="U20" s="12">
        <v>7</v>
      </c>
      <c r="V20" s="12">
        <v>41</v>
      </c>
      <c r="W20" s="12">
        <v>14</v>
      </c>
      <c r="X20" s="12">
        <v>15</v>
      </c>
      <c r="Y20" s="12">
        <v>58</v>
      </c>
      <c r="Z20" s="12">
        <v>63</v>
      </c>
      <c r="AA20" s="12">
        <v>62</v>
      </c>
      <c r="AB20" s="12">
        <v>52</v>
      </c>
      <c r="AC20" s="12">
        <v>23</v>
      </c>
      <c r="AD20" s="12">
        <v>24</v>
      </c>
      <c r="AE20" s="12">
        <v>31</v>
      </c>
      <c r="AF20" s="12">
        <v>4</v>
      </c>
    </row>
    <row r="21" spans="1:32" x14ac:dyDescent="0.25">
      <c r="A21" s="19"/>
      <c r="B21" s="13" t="s">
        <v>237</v>
      </c>
      <c r="C21" s="14">
        <v>0.04</v>
      </c>
      <c r="D21" s="14">
        <v>0.01</v>
      </c>
      <c r="E21" s="14">
        <v>0.11</v>
      </c>
      <c r="F21" s="14">
        <v>0.04</v>
      </c>
      <c r="G21" s="14">
        <v>0.02</v>
      </c>
      <c r="H21" s="14">
        <v>0.04</v>
      </c>
      <c r="I21" s="14">
        <v>0.04</v>
      </c>
      <c r="J21" s="14">
        <v>0.03</v>
      </c>
      <c r="K21" s="14">
        <v>0.12</v>
      </c>
      <c r="L21" s="14">
        <v>0.06</v>
      </c>
      <c r="M21" s="14">
        <v>0.03</v>
      </c>
      <c r="N21" s="14">
        <v>0.05</v>
      </c>
      <c r="O21" s="14">
        <v>0.04</v>
      </c>
      <c r="P21" s="14">
        <v>0.05</v>
      </c>
      <c r="Q21" s="14">
        <v>0.04</v>
      </c>
      <c r="R21" s="14">
        <v>0.08</v>
      </c>
      <c r="S21" s="14">
        <v>0.09</v>
      </c>
      <c r="T21" s="14">
        <v>0.08</v>
      </c>
      <c r="U21" s="14">
        <v>0.01</v>
      </c>
      <c r="V21" s="14">
        <v>0.04</v>
      </c>
      <c r="W21" s="14">
        <v>0.03</v>
      </c>
      <c r="X21" s="14">
        <v>0.01</v>
      </c>
      <c r="Y21" s="14">
        <v>0.06</v>
      </c>
      <c r="Z21" s="14">
        <v>0.06</v>
      </c>
      <c r="AA21" s="14">
        <v>0.06</v>
      </c>
      <c r="AB21" s="14">
        <v>0.05</v>
      </c>
      <c r="AC21" s="14">
        <v>0.02</v>
      </c>
      <c r="AD21" s="14">
        <v>0.02</v>
      </c>
      <c r="AE21" s="14">
        <v>0.03</v>
      </c>
      <c r="AF21" s="15" t="s">
        <v>213</v>
      </c>
    </row>
    <row r="22" spans="1:32" x14ac:dyDescent="0.25">
      <c r="A22" s="19"/>
      <c r="B22" s="11" t="s">
        <v>388</v>
      </c>
      <c r="C22" s="12">
        <v>11409</v>
      </c>
      <c r="D22" s="12">
        <v>342</v>
      </c>
      <c r="E22" s="12">
        <v>535</v>
      </c>
      <c r="F22" s="12">
        <v>602</v>
      </c>
      <c r="G22" s="12">
        <v>499</v>
      </c>
      <c r="H22" s="12">
        <v>457</v>
      </c>
      <c r="I22" s="12">
        <v>556</v>
      </c>
      <c r="J22" s="12">
        <v>99</v>
      </c>
      <c r="K22" s="12">
        <v>595</v>
      </c>
      <c r="L22" s="12">
        <v>574</v>
      </c>
      <c r="M22" s="12">
        <v>407</v>
      </c>
      <c r="N22" s="12">
        <v>434</v>
      </c>
      <c r="O22" s="12">
        <v>279</v>
      </c>
      <c r="P22" s="12">
        <v>540</v>
      </c>
      <c r="Q22" s="12">
        <v>518</v>
      </c>
      <c r="R22" s="12">
        <v>173</v>
      </c>
      <c r="S22" s="12">
        <v>566</v>
      </c>
      <c r="T22" s="12">
        <v>611</v>
      </c>
      <c r="U22" s="12">
        <v>157</v>
      </c>
      <c r="V22" s="12">
        <v>571</v>
      </c>
      <c r="W22" s="12">
        <v>224</v>
      </c>
      <c r="X22" s="12">
        <v>271</v>
      </c>
      <c r="Y22" s="12">
        <v>451</v>
      </c>
      <c r="Z22" s="12">
        <v>676</v>
      </c>
      <c r="AA22" s="12">
        <v>473</v>
      </c>
      <c r="AB22" s="12">
        <v>583</v>
      </c>
      <c r="AC22" s="12">
        <v>538</v>
      </c>
      <c r="AD22" s="12">
        <v>559</v>
      </c>
      <c r="AE22" s="12">
        <v>346</v>
      </c>
      <c r="AF22" s="12">
        <v>317</v>
      </c>
    </row>
    <row r="23" spans="1:32" x14ac:dyDescent="0.25">
      <c r="A23" s="19"/>
      <c r="B23" s="13" t="s">
        <v>389</v>
      </c>
      <c r="C23" s="14">
        <v>0.44</v>
      </c>
      <c r="D23" s="14">
        <v>0.34</v>
      </c>
      <c r="E23" s="14">
        <v>0.51</v>
      </c>
      <c r="F23" s="14">
        <v>0.57000000000000006</v>
      </c>
      <c r="G23" s="14">
        <v>0.49</v>
      </c>
      <c r="H23" s="14">
        <v>0.37</v>
      </c>
      <c r="I23" s="14">
        <v>0.37</v>
      </c>
      <c r="J23" s="14">
        <v>0.33</v>
      </c>
      <c r="K23" s="14">
        <v>0.59</v>
      </c>
      <c r="L23" s="14">
        <v>0.57000000000000006</v>
      </c>
      <c r="M23" s="14">
        <v>0.41</v>
      </c>
      <c r="N23" s="14">
        <v>0.43</v>
      </c>
      <c r="O23" s="14">
        <v>0.28000000000000003</v>
      </c>
      <c r="P23" s="14">
        <v>0.54</v>
      </c>
      <c r="Q23" s="14">
        <v>0.5</v>
      </c>
      <c r="R23" s="14">
        <v>0.34</v>
      </c>
      <c r="S23" s="14">
        <v>0.56000000000000005</v>
      </c>
      <c r="T23" s="14">
        <v>0.6</v>
      </c>
      <c r="U23" s="14">
        <v>0.31</v>
      </c>
      <c r="V23" s="14">
        <v>0.56000000000000005</v>
      </c>
      <c r="W23" s="14">
        <v>0.45</v>
      </c>
      <c r="X23" s="14">
        <v>0.27</v>
      </c>
      <c r="Y23" s="14">
        <v>0.45</v>
      </c>
      <c r="Z23" s="14">
        <v>0.67</v>
      </c>
      <c r="AA23" s="14">
        <v>0.46</v>
      </c>
      <c r="AB23" s="14">
        <v>0.56000000000000005</v>
      </c>
      <c r="AC23" s="14">
        <v>0.54</v>
      </c>
      <c r="AD23" s="14">
        <v>0.56000000000000005</v>
      </c>
      <c r="AE23" s="14">
        <v>0.35</v>
      </c>
      <c r="AF23" s="14">
        <v>0.31</v>
      </c>
    </row>
    <row r="24" spans="1:32" x14ac:dyDescent="0.25">
      <c r="A24" s="19"/>
      <c r="B24" s="11" t="s">
        <v>390</v>
      </c>
      <c r="C24" s="12">
        <v>13912</v>
      </c>
      <c r="D24" s="12">
        <v>668</v>
      </c>
      <c r="E24" s="12">
        <v>393</v>
      </c>
      <c r="F24" s="12">
        <v>420</v>
      </c>
      <c r="G24" s="12">
        <v>499</v>
      </c>
      <c r="H24" s="12">
        <v>720</v>
      </c>
      <c r="I24" s="12">
        <v>909</v>
      </c>
      <c r="J24" s="12">
        <v>189</v>
      </c>
      <c r="K24" s="12">
        <v>291</v>
      </c>
      <c r="L24" s="12">
        <v>376</v>
      </c>
      <c r="M24" s="12">
        <v>570</v>
      </c>
      <c r="N24" s="12">
        <v>530</v>
      </c>
      <c r="O24" s="12">
        <v>685</v>
      </c>
      <c r="P24" s="12">
        <v>415</v>
      </c>
      <c r="Q24" s="12">
        <v>470</v>
      </c>
      <c r="R24" s="12">
        <v>289</v>
      </c>
      <c r="S24" s="12">
        <v>347</v>
      </c>
      <c r="T24" s="12">
        <v>332</v>
      </c>
      <c r="U24" s="12">
        <v>343</v>
      </c>
      <c r="V24" s="12">
        <v>414</v>
      </c>
      <c r="W24" s="12">
        <v>263</v>
      </c>
      <c r="X24" s="12">
        <v>723</v>
      </c>
      <c r="Y24" s="12">
        <v>494</v>
      </c>
      <c r="Z24" s="12">
        <v>277</v>
      </c>
      <c r="AA24" s="12">
        <v>502</v>
      </c>
      <c r="AB24" s="12">
        <v>406</v>
      </c>
      <c r="AC24" s="12">
        <v>444</v>
      </c>
      <c r="AD24" s="12">
        <v>420</v>
      </c>
      <c r="AE24" s="12">
        <v>624</v>
      </c>
      <c r="AF24" s="12">
        <v>710</v>
      </c>
    </row>
    <row r="25" spans="1:32" x14ac:dyDescent="0.25">
      <c r="A25" s="19"/>
      <c r="B25" s="13" t="s">
        <v>391</v>
      </c>
      <c r="C25" s="14">
        <v>0.52</v>
      </c>
      <c r="D25" s="14">
        <v>0.65</v>
      </c>
      <c r="E25" s="14">
        <v>0.38</v>
      </c>
      <c r="F25" s="14">
        <v>0.39</v>
      </c>
      <c r="G25" s="14">
        <v>0.49</v>
      </c>
      <c r="H25" s="14">
        <v>0.59</v>
      </c>
      <c r="I25" s="14">
        <v>0.59</v>
      </c>
      <c r="J25" s="14">
        <v>0.64</v>
      </c>
      <c r="K25" s="14">
        <v>0.28999999999999998</v>
      </c>
      <c r="L25" s="14">
        <v>0.37</v>
      </c>
      <c r="M25" s="14">
        <v>0.56000000000000005</v>
      </c>
      <c r="N25" s="14">
        <v>0.52</v>
      </c>
      <c r="O25" s="14">
        <v>0.68</v>
      </c>
      <c r="P25" s="14">
        <v>0.41</v>
      </c>
      <c r="Q25" s="14">
        <v>0.46</v>
      </c>
      <c r="R25" s="14">
        <v>0.57999999999999996</v>
      </c>
      <c r="S25" s="14">
        <v>0.35</v>
      </c>
      <c r="T25" s="14">
        <v>0.32</v>
      </c>
      <c r="U25" s="14">
        <v>0.68</v>
      </c>
      <c r="V25" s="14">
        <v>0.4</v>
      </c>
      <c r="W25" s="14">
        <v>0.52</v>
      </c>
      <c r="X25" s="14">
        <v>0.72</v>
      </c>
      <c r="Y25" s="14">
        <v>0.49</v>
      </c>
      <c r="Z25" s="14">
        <v>0.27</v>
      </c>
      <c r="AA25" s="14">
        <v>0.48</v>
      </c>
      <c r="AB25" s="14">
        <v>0.39</v>
      </c>
      <c r="AC25" s="14">
        <v>0.44</v>
      </c>
      <c r="AD25" s="14">
        <v>0.42</v>
      </c>
      <c r="AE25" s="14">
        <v>0.62</v>
      </c>
      <c r="AF25" s="14">
        <v>0.69000000000000006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53</v>
      </c>
      <c r="C3" s="18"/>
      <c r="D3" s="18"/>
      <c r="E3" s="18"/>
      <c r="F3" s="18"/>
      <c r="H3" s="18" t="s">
        <v>54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404</v>
      </c>
      <c r="C12" s="12">
        <v>14545</v>
      </c>
      <c r="D12" s="12">
        <v>533</v>
      </c>
      <c r="E12" s="12">
        <v>398</v>
      </c>
      <c r="F12" s="12">
        <v>395</v>
      </c>
      <c r="G12" s="12">
        <v>768</v>
      </c>
      <c r="H12" s="12">
        <v>854</v>
      </c>
      <c r="I12" s="12">
        <v>986</v>
      </c>
      <c r="J12" s="12">
        <v>132</v>
      </c>
      <c r="K12" s="12">
        <v>632</v>
      </c>
      <c r="L12" s="12">
        <v>734</v>
      </c>
      <c r="M12" s="12">
        <v>524</v>
      </c>
      <c r="N12" s="12">
        <v>595</v>
      </c>
      <c r="O12" s="12">
        <v>502</v>
      </c>
      <c r="P12" s="12">
        <v>442</v>
      </c>
      <c r="Q12" s="12">
        <v>564</v>
      </c>
      <c r="R12" s="12">
        <v>320</v>
      </c>
      <c r="S12" s="12">
        <v>635</v>
      </c>
      <c r="T12" s="12">
        <v>663</v>
      </c>
      <c r="U12" s="12">
        <v>330</v>
      </c>
      <c r="V12" s="12">
        <v>387</v>
      </c>
      <c r="W12" s="12">
        <v>295</v>
      </c>
      <c r="X12" s="12">
        <v>746</v>
      </c>
      <c r="Y12" s="12">
        <v>348</v>
      </c>
      <c r="Z12" s="12">
        <v>424</v>
      </c>
      <c r="AA12" s="12">
        <v>678</v>
      </c>
      <c r="AB12" s="12">
        <v>395</v>
      </c>
      <c r="AC12" s="12">
        <v>558</v>
      </c>
      <c r="AD12" s="12">
        <v>580</v>
      </c>
      <c r="AE12" s="12">
        <v>725</v>
      </c>
      <c r="AF12" s="12">
        <v>638</v>
      </c>
    </row>
    <row r="13" spans="1:32" x14ac:dyDescent="0.25">
      <c r="A13" s="19"/>
      <c r="B13" s="13" t="s">
        <v>405</v>
      </c>
      <c r="C13" s="14">
        <v>0.55000000000000004</v>
      </c>
      <c r="D13" s="14">
        <v>0.52</v>
      </c>
      <c r="E13" s="14">
        <v>0.38</v>
      </c>
      <c r="F13" s="14">
        <v>0.37</v>
      </c>
      <c r="G13" s="14">
        <v>0.76</v>
      </c>
      <c r="H13" s="14">
        <v>0.70000000000000007</v>
      </c>
      <c r="I13" s="14">
        <v>0.65</v>
      </c>
      <c r="J13" s="14">
        <v>0.44</v>
      </c>
      <c r="K13" s="14">
        <v>0.63</v>
      </c>
      <c r="L13" s="14">
        <v>0.73</v>
      </c>
      <c r="M13" s="14">
        <v>0.52</v>
      </c>
      <c r="N13" s="14">
        <v>0.59</v>
      </c>
      <c r="O13" s="14">
        <v>0.5</v>
      </c>
      <c r="P13" s="14">
        <v>0.44</v>
      </c>
      <c r="Q13" s="14">
        <v>0.55000000000000004</v>
      </c>
      <c r="R13" s="14">
        <v>0.64</v>
      </c>
      <c r="S13" s="14">
        <v>0.63</v>
      </c>
      <c r="T13" s="14">
        <v>0.65</v>
      </c>
      <c r="U13" s="14">
        <v>0.65</v>
      </c>
      <c r="V13" s="14">
        <v>0.38</v>
      </c>
      <c r="W13" s="14">
        <v>0.59</v>
      </c>
      <c r="X13" s="14">
        <v>0.74</v>
      </c>
      <c r="Y13" s="14">
        <v>0.35</v>
      </c>
      <c r="Z13" s="14">
        <v>0.42</v>
      </c>
      <c r="AA13" s="14">
        <v>0.65</v>
      </c>
      <c r="AB13" s="14">
        <v>0.38</v>
      </c>
      <c r="AC13" s="14">
        <v>0.55000000000000004</v>
      </c>
      <c r="AD13" s="14">
        <v>0.57999999999999996</v>
      </c>
      <c r="AE13" s="14">
        <v>0.72</v>
      </c>
      <c r="AF13" s="14">
        <v>0.62</v>
      </c>
    </row>
    <row r="14" spans="1:32" x14ac:dyDescent="0.25">
      <c r="A14" s="19"/>
      <c r="B14" s="11" t="s">
        <v>406</v>
      </c>
      <c r="C14" s="12">
        <v>4204</v>
      </c>
      <c r="D14" s="12">
        <v>162</v>
      </c>
      <c r="E14" s="12">
        <v>247</v>
      </c>
      <c r="F14" s="12">
        <v>220</v>
      </c>
      <c r="G14" s="12">
        <v>59</v>
      </c>
      <c r="H14" s="12">
        <v>97</v>
      </c>
      <c r="I14" s="12">
        <v>158</v>
      </c>
      <c r="J14" s="12">
        <v>61</v>
      </c>
      <c r="K14" s="12">
        <v>94</v>
      </c>
      <c r="L14" s="12">
        <v>94</v>
      </c>
      <c r="M14" s="12">
        <v>146</v>
      </c>
      <c r="N14" s="12">
        <v>120</v>
      </c>
      <c r="O14" s="12">
        <v>162</v>
      </c>
      <c r="P14" s="12">
        <v>223</v>
      </c>
      <c r="Q14" s="12">
        <v>142</v>
      </c>
      <c r="R14" s="12">
        <v>49</v>
      </c>
      <c r="S14" s="12">
        <v>88</v>
      </c>
      <c r="T14" s="12">
        <v>134</v>
      </c>
      <c r="U14" s="12">
        <v>54</v>
      </c>
      <c r="V14" s="12">
        <v>260</v>
      </c>
      <c r="W14" s="12">
        <v>97</v>
      </c>
      <c r="X14" s="12">
        <v>88</v>
      </c>
      <c r="Y14" s="12">
        <v>285</v>
      </c>
      <c r="Z14" s="12">
        <v>324</v>
      </c>
      <c r="AA14" s="12">
        <v>162</v>
      </c>
      <c r="AB14" s="12">
        <v>339</v>
      </c>
      <c r="AC14" s="12">
        <v>107</v>
      </c>
      <c r="AD14" s="12">
        <v>126</v>
      </c>
      <c r="AE14" s="12">
        <v>78</v>
      </c>
      <c r="AF14" s="12">
        <v>66</v>
      </c>
    </row>
    <row r="15" spans="1:32" x14ac:dyDescent="0.25">
      <c r="A15" s="19"/>
      <c r="B15" s="13" t="s">
        <v>407</v>
      </c>
      <c r="C15" s="14">
        <v>0.16</v>
      </c>
      <c r="D15" s="14">
        <v>0.16</v>
      </c>
      <c r="E15" s="14">
        <v>0.24</v>
      </c>
      <c r="F15" s="14">
        <v>0.21</v>
      </c>
      <c r="G15" s="14">
        <v>0.06</v>
      </c>
      <c r="H15" s="14">
        <v>0.08</v>
      </c>
      <c r="I15" s="14">
        <v>0.1</v>
      </c>
      <c r="J15" s="14">
        <v>0.21</v>
      </c>
      <c r="K15" s="14">
        <v>0.09</v>
      </c>
      <c r="L15" s="14">
        <v>0.09</v>
      </c>
      <c r="M15" s="14">
        <v>0.14000000000000001</v>
      </c>
      <c r="N15" s="14">
        <v>0.12</v>
      </c>
      <c r="O15" s="14">
        <v>0.16</v>
      </c>
      <c r="P15" s="14">
        <v>0.22</v>
      </c>
      <c r="Q15" s="14">
        <v>0.14000000000000001</v>
      </c>
      <c r="R15" s="14">
        <v>0.1</v>
      </c>
      <c r="S15" s="14">
        <v>0.09</v>
      </c>
      <c r="T15" s="14">
        <v>0.13</v>
      </c>
      <c r="U15" s="14">
        <v>0.11</v>
      </c>
      <c r="V15" s="14">
        <v>0.25</v>
      </c>
      <c r="W15" s="14">
        <v>0.19</v>
      </c>
      <c r="X15" s="14">
        <v>0.09</v>
      </c>
      <c r="Y15" s="14">
        <v>0.28000000000000003</v>
      </c>
      <c r="Z15" s="14">
        <v>0.32</v>
      </c>
      <c r="AA15" s="14">
        <v>0.16</v>
      </c>
      <c r="AB15" s="14">
        <v>0.33</v>
      </c>
      <c r="AC15" s="14">
        <v>0.11</v>
      </c>
      <c r="AD15" s="14">
        <v>0.13</v>
      </c>
      <c r="AE15" s="14">
        <v>0.08</v>
      </c>
      <c r="AF15" s="14">
        <v>0.06</v>
      </c>
    </row>
    <row r="16" spans="1:32" x14ac:dyDescent="0.25">
      <c r="A16" s="19"/>
      <c r="B16" s="11" t="s">
        <v>408</v>
      </c>
      <c r="C16" s="12">
        <v>7358</v>
      </c>
      <c r="D16" s="12">
        <v>322</v>
      </c>
      <c r="E16" s="12">
        <v>358</v>
      </c>
      <c r="F16" s="12">
        <v>418</v>
      </c>
      <c r="G16" s="12">
        <v>179</v>
      </c>
      <c r="H16" s="12">
        <v>276</v>
      </c>
      <c r="I16" s="12">
        <v>379</v>
      </c>
      <c r="J16" s="12">
        <v>103</v>
      </c>
      <c r="K16" s="12">
        <v>255</v>
      </c>
      <c r="L16" s="12">
        <v>165</v>
      </c>
      <c r="M16" s="12">
        <v>321</v>
      </c>
      <c r="N16" s="12">
        <v>282</v>
      </c>
      <c r="O16" s="12">
        <v>324</v>
      </c>
      <c r="P16" s="12">
        <v>325</v>
      </c>
      <c r="Q16" s="12">
        <v>309</v>
      </c>
      <c r="R16" s="12">
        <v>121</v>
      </c>
      <c r="S16" s="12">
        <v>241</v>
      </c>
      <c r="T16" s="12">
        <v>220</v>
      </c>
      <c r="U16" s="12">
        <v>120</v>
      </c>
      <c r="V16" s="12">
        <v>362</v>
      </c>
      <c r="W16" s="12">
        <v>108</v>
      </c>
      <c r="X16" s="12">
        <v>171</v>
      </c>
      <c r="Y16" s="12">
        <v>347</v>
      </c>
      <c r="Z16" s="12">
        <v>254</v>
      </c>
      <c r="AA16" s="12">
        <v>161</v>
      </c>
      <c r="AB16" s="12">
        <v>293</v>
      </c>
      <c r="AC16" s="12">
        <v>328</v>
      </c>
      <c r="AD16" s="12">
        <v>282</v>
      </c>
      <c r="AE16" s="12">
        <v>181</v>
      </c>
      <c r="AF16" s="12">
        <v>325</v>
      </c>
    </row>
    <row r="17" spans="1:32" x14ac:dyDescent="0.25">
      <c r="A17" s="19"/>
      <c r="B17" s="13" t="s">
        <v>409</v>
      </c>
      <c r="C17" s="14">
        <v>0.28000000000000003</v>
      </c>
      <c r="D17" s="14">
        <v>0.32</v>
      </c>
      <c r="E17" s="14">
        <v>0.34</v>
      </c>
      <c r="F17" s="14">
        <v>0.39</v>
      </c>
      <c r="G17" s="14">
        <v>0.17</v>
      </c>
      <c r="H17" s="14">
        <v>0.22</v>
      </c>
      <c r="I17" s="14">
        <v>0.25</v>
      </c>
      <c r="J17" s="14">
        <v>0.35</v>
      </c>
      <c r="K17" s="14">
        <v>0.25</v>
      </c>
      <c r="L17" s="14">
        <v>0.17</v>
      </c>
      <c r="M17" s="14">
        <v>0.32</v>
      </c>
      <c r="N17" s="14">
        <v>0.28000000000000003</v>
      </c>
      <c r="O17" s="14">
        <v>0.32</v>
      </c>
      <c r="P17" s="14">
        <v>0.33</v>
      </c>
      <c r="Q17" s="14">
        <v>0.3</v>
      </c>
      <c r="R17" s="14">
        <v>0.24</v>
      </c>
      <c r="S17" s="14">
        <v>0.24</v>
      </c>
      <c r="T17" s="14">
        <v>0.21</v>
      </c>
      <c r="U17" s="14">
        <v>0.23</v>
      </c>
      <c r="V17" s="14">
        <v>0.35</v>
      </c>
      <c r="W17" s="14">
        <v>0.22</v>
      </c>
      <c r="X17" s="14">
        <v>0.17</v>
      </c>
      <c r="Y17" s="14">
        <v>0.35</v>
      </c>
      <c r="Z17" s="14">
        <v>0.25</v>
      </c>
      <c r="AA17" s="14">
        <v>0.16</v>
      </c>
      <c r="AB17" s="14">
        <v>0.28000000000000003</v>
      </c>
      <c r="AC17" s="14">
        <v>0.33</v>
      </c>
      <c r="AD17" s="14">
        <v>0.28000000000000003</v>
      </c>
      <c r="AE17" s="14">
        <v>0.18</v>
      </c>
      <c r="AF17" s="14">
        <v>0.32</v>
      </c>
    </row>
    <row r="18" spans="1:32" x14ac:dyDescent="0.25">
      <c r="A18" s="19"/>
      <c r="B18" s="11" t="s">
        <v>224</v>
      </c>
      <c r="C18" s="12">
        <v>345</v>
      </c>
      <c r="D18" s="12">
        <v>4</v>
      </c>
      <c r="E18" s="12">
        <v>42</v>
      </c>
      <c r="F18" s="12">
        <v>31</v>
      </c>
      <c r="G18" s="12">
        <v>10</v>
      </c>
      <c r="H18" s="12">
        <v>3</v>
      </c>
      <c r="I18" s="12">
        <v>4</v>
      </c>
      <c r="J18" s="12">
        <v>1</v>
      </c>
      <c r="K18" s="12">
        <v>25</v>
      </c>
      <c r="L18" s="12">
        <v>12</v>
      </c>
      <c r="M18" s="12">
        <v>16</v>
      </c>
      <c r="N18" s="12">
        <v>14</v>
      </c>
      <c r="O18" s="12">
        <v>16</v>
      </c>
      <c r="P18" s="12">
        <v>12</v>
      </c>
      <c r="Q18" s="12">
        <v>16</v>
      </c>
      <c r="R18" s="12">
        <v>11</v>
      </c>
      <c r="S18" s="12">
        <v>40</v>
      </c>
      <c r="T18" s="12">
        <v>6</v>
      </c>
      <c r="U18" s="12">
        <v>4</v>
      </c>
      <c r="V18" s="12">
        <v>17</v>
      </c>
      <c r="W18" s="12">
        <v>2</v>
      </c>
      <c r="X18" s="12">
        <v>5</v>
      </c>
      <c r="Y18" s="12">
        <v>22</v>
      </c>
      <c r="Z18" s="12">
        <v>15</v>
      </c>
      <c r="AA18" s="12">
        <v>36</v>
      </c>
      <c r="AB18" s="12">
        <v>14</v>
      </c>
      <c r="AC18" s="12">
        <v>12</v>
      </c>
      <c r="AD18" s="12">
        <v>15</v>
      </c>
      <c r="AE18" s="12">
        <v>18</v>
      </c>
      <c r="AF18" s="12">
        <v>2</v>
      </c>
    </row>
    <row r="19" spans="1:32" x14ac:dyDescent="0.25">
      <c r="A19" s="19"/>
      <c r="B19" s="13" t="s">
        <v>237</v>
      </c>
      <c r="C19" s="14">
        <v>0.01</v>
      </c>
      <c r="D19" s="15" t="s">
        <v>213</v>
      </c>
      <c r="E19" s="14">
        <v>0.04</v>
      </c>
      <c r="F19" s="14">
        <v>0.03</v>
      </c>
      <c r="G19" s="14">
        <v>0.01</v>
      </c>
      <c r="H19" s="15" t="s">
        <v>213</v>
      </c>
      <c r="I19" s="15" t="s">
        <v>213</v>
      </c>
      <c r="J19" s="15" t="s">
        <v>213</v>
      </c>
      <c r="K19" s="14">
        <v>0.03</v>
      </c>
      <c r="L19" s="14">
        <v>0.01</v>
      </c>
      <c r="M19" s="14">
        <v>0.02</v>
      </c>
      <c r="N19" s="14">
        <v>0.01</v>
      </c>
      <c r="O19" s="14">
        <v>0.02</v>
      </c>
      <c r="P19" s="14">
        <v>0.01</v>
      </c>
      <c r="Q19" s="14">
        <v>0.01</v>
      </c>
      <c r="R19" s="14">
        <v>0.02</v>
      </c>
      <c r="S19" s="14">
        <v>0.04</v>
      </c>
      <c r="T19" s="14">
        <v>0.01</v>
      </c>
      <c r="U19" s="14">
        <v>0.01</v>
      </c>
      <c r="V19" s="14">
        <v>0.02</v>
      </c>
      <c r="W19" s="15" t="s">
        <v>213</v>
      </c>
      <c r="X19" s="15" t="s">
        <v>213</v>
      </c>
      <c r="Y19" s="14">
        <v>0.02</v>
      </c>
      <c r="Z19" s="14">
        <v>0.01</v>
      </c>
      <c r="AA19" s="14">
        <v>0.03</v>
      </c>
      <c r="AB19" s="14">
        <v>0.01</v>
      </c>
      <c r="AC19" s="14">
        <v>0.01</v>
      </c>
      <c r="AD19" s="14">
        <v>0.01</v>
      </c>
      <c r="AE19" s="14">
        <v>0.02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9"/>
  <sheetViews>
    <sheetView zoomScale="85" workbookViewId="0">
      <pane xSplit="3" ySplit="9" topLeftCell="K34" activePane="bottomRight" state="frozen"/>
      <selection pane="topRight"/>
      <selection pane="bottomLeft"/>
      <selection pane="bottomRight" activeCell="B39" sqref="B39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410</v>
      </c>
      <c r="C3" s="18"/>
      <c r="D3" s="18"/>
      <c r="E3" s="18"/>
      <c r="F3" s="18"/>
      <c r="H3" s="18" t="s">
        <v>411</v>
      </c>
      <c r="I3" s="18"/>
      <c r="J3" s="18"/>
      <c r="K3" s="18"/>
      <c r="L3" s="18"/>
    </row>
    <row r="4" spans="1:32" ht="27" customHeight="1" x14ac:dyDescent="0.25">
      <c r="B4" s="18" t="s">
        <v>412</v>
      </c>
      <c r="C4" s="18"/>
      <c r="D4" s="18"/>
      <c r="E4" s="18"/>
      <c r="F4" s="18"/>
      <c r="H4" s="18" t="s">
        <v>413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HYPERLINK("#Content!A29","&lt;&lt;Back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400</v>
      </c>
      <c r="D12" s="12">
        <v>19</v>
      </c>
      <c r="E12" s="12">
        <v>25</v>
      </c>
      <c r="F12" s="12">
        <v>37</v>
      </c>
      <c r="G12" s="12">
        <v>19</v>
      </c>
      <c r="H12" s="12">
        <v>18</v>
      </c>
      <c r="I12" s="12">
        <v>22</v>
      </c>
      <c r="J12" s="12">
        <v>4</v>
      </c>
      <c r="K12" s="12">
        <v>33</v>
      </c>
      <c r="L12" s="12">
        <v>24</v>
      </c>
      <c r="M12" s="12">
        <v>11</v>
      </c>
      <c r="N12" s="12">
        <v>9</v>
      </c>
      <c r="O12" s="12">
        <v>26</v>
      </c>
      <c r="P12" s="12">
        <v>13</v>
      </c>
      <c r="Q12" s="12">
        <v>13</v>
      </c>
      <c r="R12" s="12">
        <v>3</v>
      </c>
      <c r="S12" s="12">
        <v>37</v>
      </c>
      <c r="T12" s="12">
        <v>27</v>
      </c>
      <c r="U12" s="12">
        <v>8</v>
      </c>
      <c r="V12" s="12">
        <v>16</v>
      </c>
      <c r="W12" s="12">
        <v>14</v>
      </c>
      <c r="X12" s="12">
        <v>11</v>
      </c>
      <c r="Y12" s="12">
        <v>12</v>
      </c>
      <c r="Z12" s="12">
        <v>2</v>
      </c>
      <c r="AA12" s="12">
        <v>1</v>
      </c>
      <c r="AB12" s="12">
        <v>20</v>
      </c>
      <c r="AC12" s="12">
        <v>37</v>
      </c>
      <c r="AD12" s="12">
        <v>24</v>
      </c>
      <c r="AE12" s="12">
        <v>4</v>
      </c>
      <c r="AF12" s="12">
        <v>14</v>
      </c>
    </row>
    <row r="13" spans="1:32" x14ac:dyDescent="0.25">
      <c r="A13" s="19"/>
      <c r="B13" s="13" t="s">
        <v>415</v>
      </c>
      <c r="C13" s="14">
        <v>0.01</v>
      </c>
      <c r="D13" s="14">
        <v>0.02</v>
      </c>
      <c r="E13" s="14">
        <v>0.02</v>
      </c>
      <c r="F13" s="14">
        <v>0.03</v>
      </c>
      <c r="G13" s="14">
        <v>0.02</v>
      </c>
      <c r="H13" s="14">
        <v>0.01</v>
      </c>
      <c r="I13" s="14">
        <v>0.01</v>
      </c>
      <c r="J13" s="14">
        <v>0.01</v>
      </c>
      <c r="K13" s="14">
        <v>0.03</v>
      </c>
      <c r="L13" s="14">
        <v>0.02</v>
      </c>
      <c r="M13" s="14">
        <v>0.01</v>
      </c>
      <c r="N13" s="14">
        <v>0.01</v>
      </c>
      <c r="O13" s="14">
        <v>0.03</v>
      </c>
      <c r="P13" s="14">
        <v>0.01</v>
      </c>
      <c r="Q13" s="14">
        <v>0.01</v>
      </c>
      <c r="R13" s="14">
        <v>0.01</v>
      </c>
      <c r="S13" s="14">
        <v>0.04</v>
      </c>
      <c r="T13" s="14">
        <v>0.03</v>
      </c>
      <c r="U13" s="14">
        <v>0.02</v>
      </c>
      <c r="V13" s="14">
        <v>0.02</v>
      </c>
      <c r="W13" s="14">
        <v>0.03</v>
      </c>
      <c r="X13" s="14">
        <v>0.01</v>
      </c>
      <c r="Y13" s="14">
        <v>0.01</v>
      </c>
      <c r="Z13" s="15" t="s">
        <v>213</v>
      </c>
      <c r="AA13" s="15" t="s">
        <v>213</v>
      </c>
      <c r="AB13" s="14">
        <v>0.02</v>
      </c>
      <c r="AC13" s="14">
        <v>0.04</v>
      </c>
      <c r="AD13" s="14">
        <v>0.02</v>
      </c>
      <c r="AE13" s="15" t="s">
        <v>213</v>
      </c>
      <c r="AF13" s="14">
        <v>0.01</v>
      </c>
    </row>
    <row r="14" spans="1:32" x14ac:dyDescent="0.25">
      <c r="A14" s="19"/>
      <c r="B14" s="11" t="s">
        <v>416</v>
      </c>
      <c r="C14" s="12">
        <v>484</v>
      </c>
      <c r="D14" s="12">
        <v>14</v>
      </c>
      <c r="E14" s="12">
        <v>23</v>
      </c>
      <c r="F14" s="12">
        <v>19</v>
      </c>
      <c r="G14" s="12">
        <v>28</v>
      </c>
      <c r="H14" s="12">
        <v>66</v>
      </c>
      <c r="I14" s="12">
        <v>74</v>
      </c>
      <c r="J14" s="12">
        <v>8</v>
      </c>
      <c r="K14" s="12">
        <v>15</v>
      </c>
      <c r="L14" s="12">
        <v>16</v>
      </c>
      <c r="M14" s="12">
        <v>11</v>
      </c>
      <c r="N14" s="12">
        <v>9</v>
      </c>
      <c r="O14" s="12">
        <v>16</v>
      </c>
      <c r="P14" s="12">
        <v>9</v>
      </c>
      <c r="Q14" s="12">
        <v>12</v>
      </c>
      <c r="R14" s="12">
        <v>1</v>
      </c>
      <c r="S14" s="12">
        <v>8</v>
      </c>
      <c r="T14" s="12">
        <v>7</v>
      </c>
      <c r="U14" s="12">
        <v>5</v>
      </c>
      <c r="V14" s="12">
        <v>8</v>
      </c>
      <c r="W14" s="12">
        <v>2</v>
      </c>
      <c r="X14" s="12">
        <v>15</v>
      </c>
      <c r="Y14" s="12">
        <v>7</v>
      </c>
      <c r="Z14" s="12">
        <v>1</v>
      </c>
      <c r="AA14" s="12">
        <v>1</v>
      </c>
      <c r="AB14" s="12">
        <v>15</v>
      </c>
      <c r="AC14" s="12">
        <v>22</v>
      </c>
      <c r="AD14" s="12">
        <v>12</v>
      </c>
      <c r="AE14" s="12">
        <v>6</v>
      </c>
      <c r="AF14" s="12">
        <v>16</v>
      </c>
    </row>
    <row r="15" spans="1:32" x14ac:dyDescent="0.25">
      <c r="A15" s="19"/>
      <c r="B15" s="13" t="s">
        <v>416</v>
      </c>
      <c r="C15" s="14">
        <v>0.02</v>
      </c>
      <c r="D15" s="14">
        <v>0.01</v>
      </c>
      <c r="E15" s="14">
        <v>0.02</v>
      </c>
      <c r="F15" s="14">
        <v>0.02</v>
      </c>
      <c r="G15" s="14">
        <v>0.03</v>
      </c>
      <c r="H15" s="14">
        <v>0.05</v>
      </c>
      <c r="I15" s="14">
        <v>0.05</v>
      </c>
      <c r="J15" s="14">
        <v>0.03</v>
      </c>
      <c r="K15" s="14">
        <v>0.01</v>
      </c>
      <c r="L15" s="14">
        <v>0.02</v>
      </c>
      <c r="M15" s="14">
        <v>0.01</v>
      </c>
      <c r="N15" s="14">
        <v>0.01</v>
      </c>
      <c r="O15" s="14">
        <v>0.01</v>
      </c>
      <c r="P15" s="14">
        <v>0.01</v>
      </c>
      <c r="Q15" s="14">
        <v>0.01</v>
      </c>
      <c r="R15" s="15" t="s">
        <v>213</v>
      </c>
      <c r="S15" s="14">
        <v>0.01</v>
      </c>
      <c r="T15" s="14">
        <v>0.01</v>
      </c>
      <c r="U15" s="14">
        <v>0.01</v>
      </c>
      <c r="V15" s="14">
        <v>0.01</v>
      </c>
      <c r="W15" s="15" t="s">
        <v>213</v>
      </c>
      <c r="X15" s="14">
        <v>0.01</v>
      </c>
      <c r="Y15" s="14">
        <v>0.01</v>
      </c>
      <c r="Z15" s="15" t="s">
        <v>213</v>
      </c>
      <c r="AA15" s="15" t="s">
        <v>213</v>
      </c>
      <c r="AB15" s="14">
        <v>0.01</v>
      </c>
      <c r="AC15" s="14">
        <v>0.02</v>
      </c>
      <c r="AD15" s="14">
        <v>0.01</v>
      </c>
      <c r="AE15" s="14">
        <v>0.01</v>
      </c>
      <c r="AF15" s="14">
        <v>0.01</v>
      </c>
    </row>
    <row r="16" spans="1:32" x14ac:dyDescent="0.25">
      <c r="A16" s="19"/>
      <c r="B16" s="11" t="s">
        <v>417</v>
      </c>
      <c r="C16" s="12">
        <v>712</v>
      </c>
      <c r="D16" s="12">
        <v>20</v>
      </c>
      <c r="E16" s="12">
        <v>48</v>
      </c>
      <c r="F16" s="12">
        <v>64</v>
      </c>
      <c r="G16" s="12">
        <v>36</v>
      </c>
      <c r="H16" s="12">
        <v>60</v>
      </c>
      <c r="I16" s="12">
        <v>71</v>
      </c>
      <c r="J16" s="12">
        <v>11</v>
      </c>
      <c r="K16" s="12">
        <v>46</v>
      </c>
      <c r="L16" s="12">
        <v>31</v>
      </c>
      <c r="M16" s="12">
        <v>23</v>
      </c>
      <c r="N16" s="12">
        <v>9</v>
      </c>
      <c r="O16" s="12">
        <v>30</v>
      </c>
      <c r="P16" s="12">
        <v>37</v>
      </c>
      <c r="Q16" s="12">
        <v>13</v>
      </c>
      <c r="R16" s="12">
        <v>9</v>
      </c>
      <c r="S16" s="12">
        <v>29</v>
      </c>
      <c r="T16" s="12">
        <v>23</v>
      </c>
      <c r="U16" s="12">
        <v>9</v>
      </c>
      <c r="V16" s="12">
        <v>36</v>
      </c>
      <c r="W16" s="12">
        <v>4</v>
      </c>
      <c r="X16" s="12">
        <v>25</v>
      </c>
      <c r="Y16" s="12">
        <v>40</v>
      </c>
      <c r="Z16" s="12">
        <v>5</v>
      </c>
      <c r="AA16" s="12">
        <v>3</v>
      </c>
      <c r="AB16" s="12">
        <v>22</v>
      </c>
      <c r="AC16" s="12">
        <v>52</v>
      </c>
      <c r="AD16" s="12">
        <v>43</v>
      </c>
      <c r="AE16" s="12">
        <v>21</v>
      </c>
      <c r="AF16" s="12">
        <v>60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0.05</v>
      </c>
      <c r="F17" s="14">
        <v>0.06</v>
      </c>
      <c r="G17" s="14">
        <v>0.03</v>
      </c>
      <c r="H17" s="14">
        <v>0.05</v>
      </c>
      <c r="I17" s="14">
        <v>0.05</v>
      </c>
      <c r="J17" s="14">
        <v>0.04</v>
      </c>
      <c r="K17" s="14">
        <v>0.05</v>
      </c>
      <c r="L17" s="14">
        <v>0.03</v>
      </c>
      <c r="M17" s="14">
        <v>0.02</v>
      </c>
      <c r="N17" s="14">
        <v>0.01</v>
      </c>
      <c r="O17" s="14">
        <v>0.03</v>
      </c>
      <c r="P17" s="14">
        <v>0.04</v>
      </c>
      <c r="Q17" s="14">
        <v>0.01</v>
      </c>
      <c r="R17" s="14">
        <v>0.02</v>
      </c>
      <c r="S17" s="14">
        <v>0.03</v>
      </c>
      <c r="T17" s="14">
        <v>0.02</v>
      </c>
      <c r="U17" s="14">
        <v>0.02</v>
      </c>
      <c r="V17" s="14">
        <v>0.03</v>
      </c>
      <c r="W17" s="14">
        <v>0.01</v>
      </c>
      <c r="X17" s="14">
        <v>0.03</v>
      </c>
      <c r="Y17" s="14">
        <v>0.04</v>
      </c>
      <c r="Z17" s="14">
        <v>0.01</v>
      </c>
      <c r="AA17" s="15" t="s">
        <v>213</v>
      </c>
      <c r="AB17" s="14">
        <v>0.02</v>
      </c>
      <c r="AC17" s="14">
        <v>0.05</v>
      </c>
      <c r="AD17" s="14">
        <v>0.04</v>
      </c>
      <c r="AE17" s="14">
        <v>0.02</v>
      </c>
      <c r="AF17" s="14">
        <v>0.06</v>
      </c>
    </row>
    <row r="18" spans="1:32" x14ac:dyDescent="0.25">
      <c r="A18" s="19"/>
      <c r="B18" s="11" t="s">
        <v>418</v>
      </c>
      <c r="C18" s="12">
        <v>953</v>
      </c>
      <c r="D18" s="12">
        <v>41</v>
      </c>
      <c r="E18" s="12">
        <v>64</v>
      </c>
      <c r="F18" s="12">
        <v>112</v>
      </c>
      <c r="G18" s="12">
        <v>68</v>
      </c>
      <c r="H18" s="12">
        <v>58</v>
      </c>
      <c r="I18" s="12">
        <v>73</v>
      </c>
      <c r="J18" s="12">
        <v>14</v>
      </c>
      <c r="K18" s="12">
        <v>69</v>
      </c>
      <c r="L18" s="12">
        <v>40</v>
      </c>
      <c r="M18" s="12">
        <v>26</v>
      </c>
      <c r="N18" s="12">
        <v>13</v>
      </c>
      <c r="O18" s="12">
        <v>23</v>
      </c>
      <c r="P18" s="12">
        <v>51</v>
      </c>
      <c r="Q18" s="12">
        <v>26</v>
      </c>
      <c r="R18" s="12">
        <v>12</v>
      </c>
      <c r="S18" s="12">
        <v>44</v>
      </c>
      <c r="T18" s="12">
        <v>36</v>
      </c>
      <c r="U18" s="12">
        <v>15</v>
      </c>
      <c r="V18" s="12">
        <v>65</v>
      </c>
      <c r="W18" s="12">
        <v>8</v>
      </c>
      <c r="X18" s="12">
        <v>53</v>
      </c>
      <c r="Y18" s="12">
        <v>37</v>
      </c>
      <c r="Z18" s="12">
        <v>21</v>
      </c>
      <c r="AA18" s="12">
        <v>34</v>
      </c>
      <c r="AB18" s="12">
        <v>40</v>
      </c>
      <c r="AC18" s="12">
        <v>76</v>
      </c>
      <c r="AD18" s="12">
        <v>50</v>
      </c>
      <c r="AE18" s="12">
        <v>44</v>
      </c>
      <c r="AF18" s="12">
        <v>72</v>
      </c>
    </row>
    <row r="19" spans="1:32" x14ac:dyDescent="0.25">
      <c r="A19" s="19"/>
      <c r="B19" s="13" t="s">
        <v>418</v>
      </c>
      <c r="C19" s="14">
        <v>0.04</v>
      </c>
      <c r="D19" s="14">
        <v>0.04</v>
      </c>
      <c r="E19" s="14">
        <v>0.06</v>
      </c>
      <c r="F19" s="14">
        <v>0.11</v>
      </c>
      <c r="G19" s="14">
        <v>7.0000000000000007E-2</v>
      </c>
      <c r="H19" s="14">
        <v>0.05</v>
      </c>
      <c r="I19" s="14">
        <v>0.05</v>
      </c>
      <c r="J19" s="14">
        <v>0.05</v>
      </c>
      <c r="K19" s="14">
        <v>7.0000000000000007E-2</v>
      </c>
      <c r="L19" s="14">
        <v>0.04</v>
      </c>
      <c r="M19" s="14">
        <v>0.03</v>
      </c>
      <c r="N19" s="14">
        <v>0.01</v>
      </c>
      <c r="O19" s="14">
        <v>0.02</v>
      </c>
      <c r="P19" s="14">
        <v>0.05</v>
      </c>
      <c r="Q19" s="14">
        <v>0.02</v>
      </c>
      <c r="R19" s="14">
        <v>0.02</v>
      </c>
      <c r="S19" s="14">
        <v>0.04</v>
      </c>
      <c r="T19" s="14">
        <v>0.03</v>
      </c>
      <c r="U19" s="14">
        <v>0.03</v>
      </c>
      <c r="V19" s="14">
        <v>0.06</v>
      </c>
      <c r="W19" s="14">
        <v>0.02</v>
      </c>
      <c r="X19" s="14">
        <v>0.05</v>
      </c>
      <c r="Y19" s="14">
        <v>0.04</v>
      </c>
      <c r="Z19" s="14">
        <v>0.02</v>
      </c>
      <c r="AA19" s="14">
        <v>0.03</v>
      </c>
      <c r="AB19" s="14">
        <v>0.04</v>
      </c>
      <c r="AC19" s="14">
        <v>7.0000000000000007E-2</v>
      </c>
      <c r="AD19" s="14">
        <v>0.05</v>
      </c>
      <c r="AE19" s="14">
        <v>0.05</v>
      </c>
      <c r="AF19" s="14">
        <v>7.0000000000000007E-2</v>
      </c>
    </row>
    <row r="20" spans="1:32" x14ac:dyDescent="0.25">
      <c r="A20" s="19"/>
      <c r="B20" s="11" t="s">
        <v>419</v>
      </c>
      <c r="C20" s="12">
        <v>2049</v>
      </c>
      <c r="D20" s="12">
        <v>84</v>
      </c>
      <c r="E20" s="12">
        <v>134</v>
      </c>
      <c r="F20" s="12">
        <v>116</v>
      </c>
      <c r="G20" s="12">
        <v>101</v>
      </c>
      <c r="H20" s="12">
        <v>115</v>
      </c>
      <c r="I20" s="12">
        <v>137</v>
      </c>
      <c r="J20" s="12">
        <v>21</v>
      </c>
      <c r="K20" s="12">
        <v>108</v>
      </c>
      <c r="L20" s="12">
        <v>82</v>
      </c>
      <c r="M20" s="12">
        <v>61</v>
      </c>
      <c r="N20" s="12">
        <v>45</v>
      </c>
      <c r="O20" s="12">
        <v>76</v>
      </c>
      <c r="P20" s="12">
        <v>77</v>
      </c>
      <c r="Q20" s="12">
        <v>38</v>
      </c>
      <c r="R20" s="12">
        <v>34</v>
      </c>
      <c r="S20" s="12">
        <v>90</v>
      </c>
      <c r="T20" s="12">
        <v>109</v>
      </c>
      <c r="U20" s="12">
        <v>35</v>
      </c>
      <c r="V20" s="12">
        <v>112</v>
      </c>
      <c r="W20" s="12">
        <v>33</v>
      </c>
      <c r="X20" s="12">
        <v>79</v>
      </c>
      <c r="Y20" s="12">
        <v>101</v>
      </c>
      <c r="Z20" s="12">
        <v>66</v>
      </c>
      <c r="AA20" s="12">
        <v>208</v>
      </c>
      <c r="AB20" s="12">
        <v>101</v>
      </c>
      <c r="AC20" s="12">
        <v>130</v>
      </c>
      <c r="AD20" s="12">
        <v>127</v>
      </c>
      <c r="AE20" s="12">
        <v>57</v>
      </c>
      <c r="AF20" s="12">
        <v>111</v>
      </c>
    </row>
    <row r="21" spans="1:32" x14ac:dyDescent="0.25">
      <c r="A21" s="19"/>
      <c r="B21" s="13" t="s">
        <v>419</v>
      </c>
      <c r="C21" s="14">
        <v>0.08</v>
      </c>
      <c r="D21" s="14">
        <v>0.08</v>
      </c>
      <c r="E21" s="14">
        <v>0.13</v>
      </c>
      <c r="F21" s="14">
        <v>0.11</v>
      </c>
      <c r="G21" s="14">
        <v>0.1</v>
      </c>
      <c r="H21" s="14">
        <v>0.09</v>
      </c>
      <c r="I21" s="14">
        <v>0.09</v>
      </c>
      <c r="J21" s="14">
        <v>7.0000000000000007E-2</v>
      </c>
      <c r="K21" s="14">
        <v>0.11</v>
      </c>
      <c r="L21" s="14">
        <v>0.08</v>
      </c>
      <c r="M21" s="14">
        <v>0.06</v>
      </c>
      <c r="N21" s="14">
        <v>0.04</v>
      </c>
      <c r="O21" s="14">
        <v>0.08</v>
      </c>
      <c r="P21" s="14">
        <v>0.08</v>
      </c>
      <c r="Q21" s="14">
        <v>0.04</v>
      </c>
      <c r="R21" s="14">
        <v>7.0000000000000007E-2</v>
      </c>
      <c r="S21" s="14">
        <v>0.09</v>
      </c>
      <c r="T21" s="14">
        <v>0.11</v>
      </c>
      <c r="U21" s="14">
        <v>7.0000000000000007E-2</v>
      </c>
      <c r="V21" s="14">
        <v>0.11</v>
      </c>
      <c r="W21" s="14">
        <v>0.06</v>
      </c>
      <c r="X21" s="14">
        <v>0.08</v>
      </c>
      <c r="Y21" s="14">
        <v>0.1</v>
      </c>
      <c r="Z21" s="14">
        <v>7.0000000000000007E-2</v>
      </c>
      <c r="AA21" s="14">
        <v>0.2</v>
      </c>
      <c r="AB21" s="14">
        <v>0.1</v>
      </c>
      <c r="AC21" s="14">
        <v>0.13</v>
      </c>
      <c r="AD21" s="14">
        <v>0.13</v>
      </c>
      <c r="AE21" s="14">
        <v>0.06</v>
      </c>
      <c r="AF21" s="14">
        <v>0.11</v>
      </c>
    </row>
    <row r="22" spans="1:32" x14ac:dyDescent="0.25">
      <c r="A22" s="19"/>
      <c r="B22" s="11" t="s">
        <v>420</v>
      </c>
      <c r="C22" s="12">
        <v>2756</v>
      </c>
      <c r="D22" s="12">
        <v>129</v>
      </c>
      <c r="E22" s="12">
        <v>120</v>
      </c>
      <c r="F22" s="12">
        <v>116</v>
      </c>
      <c r="G22" s="12">
        <v>128</v>
      </c>
      <c r="H22" s="12">
        <v>157</v>
      </c>
      <c r="I22" s="12">
        <v>188</v>
      </c>
      <c r="J22" s="12">
        <v>31</v>
      </c>
      <c r="K22" s="12">
        <v>87</v>
      </c>
      <c r="L22" s="12">
        <v>87</v>
      </c>
      <c r="M22" s="12">
        <v>81</v>
      </c>
      <c r="N22" s="12">
        <v>85</v>
      </c>
      <c r="O22" s="12">
        <v>98</v>
      </c>
      <c r="P22" s="12">
        <v>91</v>
      </c>
      <c r="Q22" s="12">
        <v>80</v>
      </c>
      <c r="R22" s="12">
        <v>39</v>
      </c>
      <c r="S22" s="12">
        <v>65</v>
      </c>
      <c r="T22" s="12">
        <v>106</v>
      </c>
      <c r="U22" s="12">
        <v>48</v>
      </c>
      <c r="V22" s="12">
        <v>153</v>
      </c>
      <c r="W22" s="12">
        <v>40</v>
      </c>
      <c r="X22" s="12">
        <v>175</v>
      </c>
      <c r="Y22" s="12">
        <v>98</v>
      </c>
      <c r="Z22" s="12">
        <v>108</v>
      </c>
      <c r="AA22" s="12">
        <v>45</v>
      </c>
      <c r="AB22" s="12">
        <v>127</v>
      </c>
      <c r="AC22" s="12">
        <v>97</v>
      </c>
      <c r="AD22" s="12">
        <v>99</v>
      </c>
      <c r="AE22" s="12">
        <v>82</v>
      </c>
      <c r="AF22" s="12">
        <v>136</v>
      </c>
    </row>
    <row r="23" spans="1:32" x14ac:dyDescent="0.25">
      <c r="A23" s="19"/>
      <c r="B23" s="13" t="s">
        <v>420</v>
      </c>
      <c r="C23" s="14">
        <v>0.1</v>
      </c>
      <c r="D23" s="14">
        <v>0.13</v>
      </c>
      <c r="E23" s="14">
        <v>0.12</v>
      </c>
      <c r="F23" s="14">
        <v>0.11</v>
      </c>
      <c r="G23" s="14">
        <v>0.13</v>
      </c>
      <c r="H23" s="14">
        <v>0.13</v>
      </c>
      <c r="I23" s="14">
        <v>0.12</v>
      </c>
      <c r="J23" s="14">
        <v>0.1</v>
      </c>
      <c r="K23" s="14">
        <v>0.09</v>
      </c>
      <c r="L23" s="14">
        <v>0.09</v>
      </c>
      <c r="M23" s="14">
        <v>0.08</v>
      </c>
      <c r="N23" s="14">
        <v>0.08</v>
      </c>
      <c r="O23" s="14">
        <v>0.1</v>
      </c>
      <c r="P23" s="14">
        <v>0.09</v>
      </c>
      <c r="Q23" s="14">
        <v>0.08</v>
      </c>
      <c r="R23" s="14">
        <v>0.08</v>
      </c>
      <c r="S23" s="14">
        <v>0.06</v>
      </c>
      <c r="T23" s="14">
        <v>0.1</v>
      </c>
      <c r="U23" s="14">
        <v>0.09</v>
      </c>
      <c r="V23" s="14">
        <v>0.15</v>
      </c>
      <c r="W23" s="14">
        <v>0.08</v>
      </c>
      <c r="X23" s="14">
        <v>0.17</v>
      </c>
      <c r="Y23" s="14">
        <v>0.1</v>
      </c>
      <c r="Z23" s="14">
        <v>0.11</v>
      </c>
      <c r="AA23" s="14">
        <v>0.05</v>
      </c>
      <c r="AB23" s="14">
        <v>0.12</v>
      </c>
      <c r="AC23" s="14">
        <v>0.1</v>
      </c>
      <c r="AD23" s="14">
        <v>0.1</v>
      </c>
      <c r="AE23" s="14">
        <v>0.08</v>
      </c>
      <c r="AF23" s="14">
        <v>0.13</v>
      </c>
    </row>
    <row r="24" spans="1:32" x14ac:dyDescent="0.25">
      <c r="A24" s="19"/>
      <c r="B24" s="11" t="s">
        <v>421</v>
      </c>
      <c r="C24" s="12">
        <v>4705</v>
      </c>
      <c r="D24" s="12">
        <v>212</v>
      </c>
      <c r="E24" s="12">
        <v>157</v>
      </c>
      <c r="F24" s="12">
        <v>138</v>
      </c>
      <c r="G24" s="12">
        <v>191</v>
      </c>
      <c r="H24" s="12">
        <v>208</v>
      </c>
      <c r="I24" s="12">
        <v>262</v>
      </c>
      <c r="J24" s="12">
        <v>54</v>
      </c>
      <c r="K24" s="12">
        <v>136</v>
      </c>
      <c r="L24" s="12">
        <v>190</v>
      </c>
      <c r="M24" s="12">
        <v>179</v>
      </c>
      <c r="N24" s="12">
        <v>147</v>
      </c>
      <c r="O24" s="12">
        <v>202</v>
      </c>
      <c r="P24" s="12">
        <v>142</v>
      </c>
      <c r="Q24" s="12">
        <v>163</v>
      </c>
      <c r="R24" s="12">
        <v>75</v>
      </c>
      <c r="S24" s="12">
        <v>114</v>
      </c>
      <c r="T24" s="12">
        <v>140</v>
      </c>
      <c r="U24" s="12">
        <v>94</v>
      </c>
      <c r="V24" s="12">
        <v>204</v>
      </c>
      <c r="W24" s="12">
        <v>49</v>
      </c>
      <c r="X24" s="12">
        <v>263</v>
      </c>
      <c r="Y24" s="12">
        <v>189</v>
      </c>
      <c r="Z24" s="12">
        <v>208</v>
      </c>
      <c r="AA24" s="12">
        <v>100</v>
      </c>
      <c r="AB24" s="12">
        <v>216</v>
      </c>
      <c r="AC24" s="12">
        <v>148</v>
      </c>
      <c r="AD24" s="12">
        <v>159</v>
      </c>
      <c r="AE24" s="12">
        <v>160</v>
      </c>
      <c r="AF24" s="12">
        <v>226</v>
      </c>
    </row>
    <row r="25" spans="1:32" x14ac:dyDescent="0.25">
      <c r="A25" s="19"/>
      <c r="B25" s="13" t="s">
        <v>421</v>
      </c>
      <c r="C25" s="14">
        <v>0.18</v>
      </c>
      <c r="D25" s="14">
        <v>0.21</v>
      </c>
      <c r="E25" s="14">
        <v>0.15</v>
      </c>
      <c r="F25" s="14">
        <v>0.13</v>
      </c>
      <c r="G25" s="14">
        <v>0.19</v>
      </c>
      <c r="H25" s="14">
        <v>0.17</v>
      </c>
      <c r="I25" s="14">
        <v>0.17</v>
      </c>
      <c r="J25" s="14">
        <v>0.18</v>
      </c>
      <c r="K25" s="14">
        <v>0.14000000000000001</v>
      </c>
      <c r="L25" s="14">
        <v>0.19</v>
      </c>
      <c r="M25" s="14">
        <v>0.18</v>
      </c>
      <c r="N25" s="14">
        <v>0.15</v>
      </c>
      <c r="O25" s="14">
        <v>0.2</v>
      </c>
      <c r="P25" s="14">
        <v>0.14000000000000001</v>
      </c>
      <c r="Q25" s="14">
        <v>0.16</v>
      </c>
      <c r="R25" s="14">
        <v>0.15</v>
      </c>
      <c r="S25" s="14">
        <v>0.11</v>
      </c>
      <c r="T25" s="14">
        <v>0.14000000000000001</v>
      </c>
      <c r="U25" s="14">
        <v>0.18</v>
      </c>
      <c r="V25" s="14">
        <v>0.2</v>
      </c>
      <c r="W25" s="14">
        <v>0.1</v>
      </c>
      <c r="X25" s="14">
        <v>0.26</v>
      </c>
      <c r="Y25" s="14">
        <v>0.19</v>
      </c>
      <c r="Z25" s="14">
        <v>0.2</v>
      </c>
      <c r="AA25" s="14">
        <v>0.1</v>
      </c>
      <c r="AB25" s="14">
        <v>0.21</v>
      </c>
      <c r="AC25" s="14">
        <v>0.15</v>
      </c>
      <c r="AD25" s="14">
        <v>0.16</v>
      </c>
      <c r="AE25" s="14">
        <v>0.16</v>
      </c>
      <c r="AF25" s="14">
        <v>0.22</v>
      </c>
    </row>
    <row r="26" spans="1:32" x14ac:dyDescent="0.25">
      <c r="A26" s="19"/>
      <c r="B26" s="11" t="s">
        <v>422</v>
      </c>
      <c r="C26" s="12">
        <v>5605</v>
      </c>
      <c r="D26" s="12">
        <v>240</v>
      </c>
      <c r="E26" s="12">
        <v>174</v>
      </c>
      <c r="F26" s="12">
        <v>149</v>
      </c>
      <c r="G26" s="12">
        <v>197</v>
      </c>
      <c r="H26" s="12">
        <v>229</v>
      </c>
      <c r="I26" s="12">
        <v>290</v>
      </c>
      <c r="J26" s="12">
        <v>61</v>
      </c>
      <c r="K26" s="12">
        <v>156</v>
      </c>
      <c r="L26" s="12">
        <v>225</v>
      </c>
      <c r="M26" s="12">
        <v>295</v>
      </c>
      <c r="N26" s="12">
        <v>232</v>
      </c>
      <c r="O26" s="12">
        <v>224</v>
      </c>
      <c r="P26" s="12">
        <v>183</v>
      </c>
      <c r="Q26" s="12">
        <v>222</v>
      </c>
      <c r="R26" s="12">
        <v>141</v>
      </c>
      <c r="S26" s="12">
        <v>165</v>
      </c>
      <c r="T26" s="12">
        <v>163</v>
      </c>
      <c r="U26" s="12">
        <v>92</v>
      </c>
      <c r="V26" s="12">
        <v>161</v>
      </c>
      <c r="W26" s="12">
        <v>105</v>
      </c>
      <c r="X26" s="12">
        <v>251</v>
      </c>
      <c r="Y26" s="12">
        <v>215</v>
      </c>
      <c r="Z26" s="12">
        <v>231</v>
      </c>
      <c r="AA26" s="12">
        <v>146</v>
      </c>
      <c r="AB26" s="12">
        <v>254</v>
      </c>
      <c r="AC26" s="12">
        <v>168</v>
      </c>
      <c r="AD26" s="12">
        <v>216</v>
      </c>
      <c r="AE26" s="12">
        <v>263</v>
      </c>
      <c r="AF26" s="12">
        <v>182</v>
      </c>
    </row>
    <row r="27" spans="1:32" x14ac:dyDescent="0.25">
      <c r="A27" s="19"/>
      <c r="B27" s="13" t="s">
        <v>422</v>
      </c>
      <c r="C27" s="14">
        <v>0.21</v>
      </c>
      <c r="D27" s="14">
        <v>0.24</v>
      </c>
      <c r="E27" s="14">
        <v>0.17</v>
      </c>
      <c r="F27" s="14">
        <v>0.14000000000000001</v>
      </c>
      <c r="G27" s="14">
        <v>0.19</v>
      </c>
      <c r="H27" s="14">
        <v>0.19</v>
      </c>
      <c r="I27" s="14">
        <v>0.19</v>
      </c>
      <c r="J27" s="14">
        <v>0.21</v>
      </c>
      <c r="K27" s="14">
        <v>0.15</v>
      </c>
      <c r="L27" s="14">
        <v>0.22</v>
      </c>
      <c r="M27" s="14">
        <v>0.28999999999999998</v>
      </c>
      <c r="N27" s="14">
        <v>0.23</v>
      </c>
      <c r="O27" s="14">
        <v>0.22</v>
      </c>
      <c r="P27" s="14">
        <v>0.18</v>
      </c>
      <c r="Q27" s="14">
        <v>0.22</v>
      </c>
      <c r="R27" s="14">
        <v>0.28000000000000003</v>
      </c>
      <c r="S27" s="14">
        <v>0.16</v>
      </c>
      <c r="T27" s="14">
        <v>0.16</v>
      </c>
      <c r="U27" s="14">
        <v>0.18</v>
      </c>
      <c r="V27" s="14">
        <v>0.16</v>
      </c>
      <c r="W27" s="14">
        <v>0.21</v>
      </c>
      <c r="X27" s="14">
        <v>0.25</v>
      </c>
      <c r="Y27" s="14">
        <v>0.21</v>
      </c>
      <c r="Z27" s="14">
        <v>0.23</v>
      </c>
      <c r="AA27" s="14">
        <v>0.14000000000000001</v>
      </c>
      <c r="AB27" s="14">
        <v>0.24</v>
      </c>
      <c r="AC27" s="14">
        <v>0.17</v>
      </c>
      <c r="AD27" s="14">
        <v>0.21</v>
      </c>
      <c r="AE27" s="14">
        <v>0.26</v>
      </c>
      <c r="AF27" s="14">
        <v>0.18</v>
      </c>
    </row>
    <row r="28" spans="1:32" x14ac:dyDescent="0.25">
      <c r="A28" s="19"/>
      <c r="B28" s="11" t="s">
        <v>423</v>
      </c>
      <c r="C28" s="12">
        <v>3634</v>
      </c>
      <c r="D28" s="12">
        <v>145</v>
      </c>
      <c r="E28" s="12">
        <v>99</v>
      </c>
      <c r="F28" s="12">
        <v>132</v>
      </c>
      <c r="G28" s="12">
        <v>111</v>
      </c>
      <c r="H28" s="12">
        <v>105</v>
      </c>
      <c r="I28" s="12">
        <v>150</v>
      </c>
      <c r="J28" s="12">
        <v>45</v>
      </c>
      <c r="K28" s="12">
        <v>104</v>
      </c>
      <c r="L28" s="12">
        <v>112</v>
      </c>
      <c r="M28" s="12">
        <v>187</v>
      </c>
      <c r="N28" s="12">
        <v>171</v>
      </c>
      <c r="O28" s="12">
        <v>121</v>
      </c>
      <c r="P28" s="12">
        <v>137</v>
      </c>
      <c r="Q28" s="12">
        <v>216</v>
      </c>
      <c r="R28" s="12">
        <v>73</v>
      </c>
      <c r="S28" s="12">
        <v>137</v>
      </c>
      <c r="T28" s="12">
        <v>111</v>
      </c>
      <c r="U28" s="12">
        <v>65</v>
      </c>
      <c r="V28" s="12">
        <v>106</v>
      </c>
      <c r="W28" s="12">
        <v>102</v>
      </c>
      <c r="X28" s="12">
        <v>81</v>
      </c>
      <c r="Y28" s="12">
        <v>124</v>
      </c>
      <c r="Z28" s="12">
        <v>167</v>
      </c>
      <c r="AA28" s="12">
        <v>157</v>
      </c>
      <c r="AB28" s="12">
        <v>109</v>
      </c>
      <c r="AC28" s="12">
        <v>77</v>
      </c>
      <c r="AD28" s="12">
        <v>136</v>
      </c>
      <c r="AE28" s="12">
        <v>176</v>
      </c>
      <c r="AF28" s="12">
        <v>101</v>
      </c>
    </row>
    <row r="29" spans="1:32" x14ac:dyDescent="0.25">
      <c r="A29" s="19"/>
      <c r="B29" s="13" t="s">
        <v>423</v>
      </c>
      <c r="C29" s="14">
        <v>0.14000000000000001</v>
      </c>
      <c r="D29" s="14">
        <v>0.14000000000000001</v>
      </c>
      <c r="E29" s="14">
        <v>0.09</v>
      </c>
      <c r="F29" s="14">
        <v>0.12</v>
      </c>
      <c r="G29" s="14">
        <v>0.11</v>
      </c>
      <c r="H29" s="14">
        <v>0.09</v>
      </c>
      <c r="I29" s="14">
        <v>0.1</v>
      </c>
      <c r="J29" s="14">
        <v>0.15</v>
      </c>
      <c r="K29" s="14">
        <v>0.1</v>
      </c>
      <c r="L29" s="14">
        <v>0.11</v>
      </c>
      <c r="M29" s="14">
        <v>0.19</v>
      </c>
      <c r="N29" s="14">
        <v>0.17</v>
      </c>
      <c r="O29" s="14">
        <v>0.12</v>
      </c>
      <c r="P29" s="14">
        <v>0.14000000000000001</v>
      </c>
      <c r="Q29" s="14">
        <v>0.21</v>
      </c>
      <c r="R29" s="14">
        <v>0.15</v>
      </c>
      <c r="S29" s="14">
        <v>0.14000000000000001</v>
      </c>
      <c r="T29" s="14">
        <v>0.11</v>
      </c>
      <c r="U29" s="14">
        <v>0.13</v>
      </c>
      <c r="V29" s="14">
        <v>0.1</v>
      </c>
      <c r="W29" s="14">
        <v>0.2</v>
      </c>
      <c r="X29" s="14">
        <v>0.08</v>
      </c>
      <c r="Y29" s="14">
        <v>0.12</v>
      </c>
      <c r="Z29" s="14">
        <v>0.16</v>
      </c>
      <c r="AA29" s="14">
        <v>0.15</v>
      </c>
      <c r="AB29" s="14">
        <v>0.11</v>
      </c>
      <c r="AC29" s="14">
        <v>0.08</v>
      </c>
      <c r="AD29" s="14">
        <v>0.14000000000000001</v>
      </c>
      <c r="AE29" s="14">
        <v>0.18</v>
      </c>
      <c r="AF29" s="14">
        <v>0.1</v>
      </c>
    </row>
    <row r="30" spans="1:32" ht="23.25" x14ac:dyDescent="0.25">
      <c r="A30" s="19"/>
      <c r="B30" s="11" t="s">
        <v>424</v>
      </c>
      <c r="C30" s="12">
        <v>5063</v>
      </c>
      <c r="D30" s="12">
        <v>114</v>
      </c>
      <c r="E30" s="12">
        <v>190</v>
      </c>
      <c r="F30" s="12">
        <v>178</v>
      </c>
      <c r="G30" s="12">
        <v>127</v>
      </c>
      <c r="H30" s="12">
        <v>206</v>
      </c>
      <c r="I30" s="12">
        <v>254</v>
      </c>
      <c r="J30" s="12">
        <v>48</v>
      </c>
      <c r="K30" s="12">
        <v>243</v>
      </c>
      <c r="L30" s="12">
        <v>197</v>
      </c>
      <c r="M30" s="12">
        <v>134</v>
      </c>
      <c r="N30" s="12">
        <v>291</v>
      </c>
      <c r="O30" s="12">
        <v>179</v>
      </c>
      <c r="P30" s="12">
        <v>255</v>
      </c>
      <c r="Q30" s="12">
        <v>249</v>
      </c>
      <c r="R30" s="12">
        <v>109</v>
      </c>
      <c r="S30" s="12">
        <v>308</v>
      </c>
      <c r="T30" s="12">
        <v>295</v>
      </c>
      <c r="U30" s="12">
        <v>138</v>
      </c>
      <c r="V30" s="12">
        <v>165</v>
      </c>
      <c r="W30" s="12">
        <v>140</v>
      </c>
      <c r="X30" s="12">
        <v>56</v>
      </c>
      <c r="Y30" s="12">
        <v>179</v>
      </c>
      <c r="Z30" s="12">
        <v>204</v>
      </c>
      <c r="AA30" s="12">
        <v>334</v>
      </c>
      <c r="AB30" s="12">
        <v>126</v>
      </c>
      <c r="AC30" s="12">
        <v>193</v>
      </c>
      <c r="AD30" s="12">
        <v>138</v>
      </c>
      <c r="AE30" s="12">
        <v>184</v>
      </c>
      <c r="AF30" s="12">
        <v>114</v>
      </c>
    </row>
    <row r="31" spans="1:32" x14ac:dyDescent="0.25">
      <c r="A31" s="19"/>
      <c r="B31" s="13" t="s">
        <v>425</v>
      </c>
      <c r="C31" s="14">
        <v>0.19</v>
      </c>
      <c r="D31" s="14">
        <v>0.11</v>
      </c>
      <c r="E31" s="14">
        <v>0.18</v>
      </c>
      <c r="F31" s="14">
        <v>0.17</v>
      </c>
      <c r="G31" s="14">
        <v>0.12</v>
      </c>
      <c r="H31" s="14">
        <v>0.17</v>
      </c>
      <c r="I31" s="14">
        <v>0.17</v>
      </c>
      <c r="J31" s="14">
        <v>0.16</v>
      </c>
      <c r="K31" s="14">
        <v>0.24</v>
      </c>
      <c r="L31" s="14">
        <v>0.2</v>
      </c>
      <c r="M31" s="14">
        <v>0.13</v>
      </c>
      <c r="N31" s="14">
        <v>0.28999999999999998</v>
      </c>
      <c r="O31" s="14">
        <v>0.18</v>
      </c>
      <c r="P31" s="14">
        <v>0.25</v>
      </c>
      <c r="Q31" s="14">
        <v>0.24</v>
      </c>
      <c r="R31" s="14">
        <v>0.22</v>
      </c>
      <c r="S31" s="14">
        <v>0.31</v>
      </c>
      <c r="T31" s="14">
        <v>0.28999999999999998</v>
      </c>
      <c r="U31" s="14">
        <v>0.27</v>
      </c>
      <c r="V31" s="14">
        <v>0.16</v>
      </c>
      <c r="W31" s="14">
        <v>0.28000000000000003</v>
      </c>
      <c r="X31" s="14">
        <v>0.06</v>
      </c>
      <c r="Y31" s="14">
        <v>0.18</v>
      </c>
      <c r="Z31" s="14">
        <v>0.2</v>
      </c>
      <c r="AA31" s="14">
        <v>0.32</v>
      </c>
      <c r="AB31" s="14">
        <v>0.12</v>
      </c>
      <c r="AC31" s="14">
        <v>0.19</v>
      </c>
      <c r="AD31" s="14">
        <v>0.14000000000000001</v>
      </c>
      <c r="AE31" s="14">
        <v>0.18</v>
      </c>
      <c r="AF31" s="14">
        <v>0.11</v>
      </c>
    </row>
    <row r="32" spans="1:32" x14ac:dyDescent="0.25">
      <c r="A32" s="19"/>
      <c r="B32" s="11" t="s">
        <v>224</v>
      </c>
      <c r="C32" s="12">
        <v>93</v>
      </c>
      <c r="D32" s="12">
        <v>2</v>
      </c>
      <c r="E32" s="12">
        <v>9</v>
      </c>
      <c r="F32" s="12">
        <v>3</v>
      </c>
      <c r="G32" s="12">
        <v>11</v>
      </c>
      <c r="H32" s="12">
        <v>6</v>
      </c>
      <c r="I32" s="12">
        <v>7</v>
      </c>
      <c r="J32" s="12">
        <v>1</v>
      </c>
      <c r="K32" s="12">
        <v>7</v>
      </c>
      <c r="L32" s="12">
        <v>2</v>
      </c>
      <c r="M32" s="12">
        <v>1</v>
      </c>
      <c r="N32" s="12">
        <v>0</v>
      </c>
      <c r="O32" s="12">
        <v>7</v>
      </c>
      <c r="P32" s="12">
        <v>7</v>
      </c>
      <c r="Q32" s="12">
        <v>1</v>
      </c>
      <c r="R32" s="12">
        <v>3</v>
      </c>
      <c r="S32" s="12">
        <v>6</v>
      </c>
      <c r="T32" s="12">
        <v>5</v>
      </c>
      <c r="U32" s="12">
        <v>0</v>
      </c>
      <c r="V32" s="12">
        <v>0</v>
      </c>
      <c r="W32" s="12">
        <v>5</v>
      </c>
      <c r="X32" s="12">
        <v>0</v>
      </c>
      <c r="Y32" s="12">
        <v>1</v>
      </c>
      <c r="Z32" s="12">
        <v>3</v>
      </c>
      <c r="AA32" s="12">
        <v>7</v>
      </c>
      <c r="AB32" s="12">
        <v>11</v>
      </c>
      <c r="AC32" s="12">
        <v>4</v>
      </c>
      <c r="AD32" s="12">
        <v>1</v>
      </c>
      <c r="AE32" s="12">
        <v>4</v>
      </c>
      <c r="AF32" s="12">
        <v>0</v>
      </c>
    </row>
    <row r="33" spans="1:32" x14ac:dyDescent="0.25">
      <c r="A33" s="19"/>
      <c r="B33" s="13" t="s">
        <v>237</v>
      </c>
      <c r="C33" s="15" t="s">
        <v>213</v>
      </c>
      <c r="D33" s="15" t="s">
        <v>213</v>
      </c>
      <c r="E33" s="14">
        <v>0.01</v>
      </c>
      <c r="F33" s="15" t="s">
        <v>213</v>
      </c>
      <c r="G33" s="14">
        <v>0.01</v>
      </c>
      <c r="H33" s="15" t="s">
        <v>213</v>
      </c>
      <c r="I33" s="15" t="s">
        <v>213</v>
      </c>
      <c r="J33" s="15" t="s">
        <v>213</v>
      </c>
      <c r="K33" s="14">
        <v>0.01</v>
      </c>
      <c r="L33" s="15" t="s">
        <v>213</v>
      </c>
      <c r="M33" s="15" t="s">
        <v>213</v>
      </c>
      <c r="N33" s="15" t="s">
        <v>213</v>
      </c>
      <c r="O33" s="14">
        <v>0.01</v>
      </c>
      <c r="P33" s="14">
        <v>0.01</v>
      </c>
      <c r="Q33" s="15" t="s">
        <v>213</v>
      </c>
      <c r="R33" s="15" t="s">
        <v>213</v>
      </c>
      <c r="S33" s="14">
        <v>0.01</v>
      </c>
      <c r="T33" s="15" t="s">
        <v>213</v>
      </c>
      <c r="U33" s="15" t="s">
        <v>213</v>
      </c>
      <c r="V33" s="15" t="s">
        <v>213</v>
      </c>
      <c r="W33" s="14">
        <v>0.01</v>
      </c>
      <c r="X33" s="15" t="s">
        <v>213</v>
      </c>
      <c r="Y33" s="15" t="s">
        <v>213</v>
      </c>
      <c r="Z33" s="15" t="s">
        <v>213</v>
      </c>
      <c r="AA33" s="14">
        <v>0.01</v>
      </c>
      <c r="AB33" s="14">
        <v>0.01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ht="23.25" x14ac:dyDescent="0.25">
      <c r="A34" s="19"/>
      <c r="B34" s="11" t="s">
        <v>426</v>
      </c>
      <c r="C34" s="12">
        <v>2549</v>
      </c>
      <c r="D34" s="12">
        <v>94</v>
      </c>
      <c r="E34" s="12">
        <v>160</v>
      </c>
      <c r="F34" s="12">
        <v>232</v>
      </c>
      <c r="G34" s="12">
        <v>151</v>
      </c>
      <c r="H34" s="12">
        <v>202</v>
      </c>
      <c r="I34" s="12">
        <v>240</v>
      </c>
      <c r="J34" s="12">
        <v>37</v>
      </c>
      <c r="K34" s="12">
        <v>163</v>
      </c>
      <c r="L34" s="12">
        <v>111</v>
      </c>
      <c r="M34" s="12">
        <v>71</v>
      </c>
      <c r="N34" s="12">
        <v>40</v>
      </c>
      <c r="O34" s="12">
        <v>95</v>
      </c>
      <c r="P34" s="12">
        <v>110</v>
      </c>
      <c r="Q34" s="12">
        <v>64</v>
      </c>
      <c r="R34" s="12">
        <v>25</v>
      </c>
      <c r="S34" s="12">
        <v>118</v>
      </c>
      <c r="T34" s="12">
        <v>93</v>
      </c>
      <c r="U34" s="12">
        <v>37</v>
      </c>
      <c r="V34" s="12">
        <v>125</v>
      </c>
      <c r="W34" s="12">
        <v>28</v>
      </c>
      <c r="X34" s="12">
        <v>104</v>
      </c>
      <c r="Y34" s="12">
        <v>96</v>
      </c>
      <c r="Z34" s="12">
        <v>29</v>
      </c>
      <c r="AA34" s="12">
        <v>39</v>
      </c>
      <c r="AB34" s="12">
        <v>97</v>
      </c>
      <c r="AC34" s="12">
        <v>187</v>
      </c>
      <c r="AD34" s="12">
        <v>129</v>
      </c>
      <c r="AE34" s="12">
        <v>75</v>
      </c>
      <c r="AF34" s="12">
        <v>162</v>
      </c>
    </row>
    <row r="35" spans="1:32" ht="23.25" x14ac:dyDescent="0.25">
      <c r="A35" s="19"/>
      <c r="B35" s="13" t="s">
        <v>427</v>
      </c>
      <c r="C35" s="14">
        <v>0.1</v>
      </c>
      <c r="D35" s="14">
        <v>0.09</v>
      </c>
      <c r="E35" s="14">
        <v>0.15</v>
      </c>
      <c r="F35" s="14">
        <v>0.22</v>
      </c>
      <c r="G35" s="14">
        <v>0.15</v>
      </c>
      <c r="H35" s="14">
        <v>0.16</v>
      </c>
      <c r="I35" s="14">
        <v>0.16</v>
      </c>
      <c r="J35" s="14">
        <v>0.13</v>
      </c>
      <c r="K35" s="14">
        <v>0.16</v>
      </c>
      <c r="L35" s="14">
        <v>0.11</v>
      </c>
      <c r="M35" s="14">
        <v>7.0000000000000007E-2</v>
      </c>
      <c r="N35" s="14">
        <v>0.04</v>
      </c>
      <c r="O35" s="14">
        <v>0.09</v>
      </c>
      <c r="P35" s="14">
        <v>0.11</v>
      </c>
      <c r="Q35" s="14">
        <v>0.05</v>
      </c>
      <c r="R35" s="14">
        <v>0.05</v>
      </c>
      <c r="S35" s="14">
        <v>0.12</v>
      </c>
      <c r="T35" s="14">
        <v>0.09</v>
      </c>
      <c r="U35" s="14">
        <v>0.08</v>
      </c>
      <c r="V35" s="14">
        <v>0.12</v>
      </c>
      <c r="W35" s="14">
        <v>0.06</v>
      </c>
      <c r="X35" s="14">
        <v>0.1</v>
      </c>
      <c r="Y35" s="14">
        <v>0.1</v>
      </c>
      <c r="Z35" s="14">
        <v>0.03</v>
      </c>
      <c r="AA35" s="14">
        <v>0.03</v>
      </c>
      <c r="AB35" s="14">
        <v>0.09</v>
      </c>
      <c r="AC35" s="14">
        <v>0.18</v>
      </c>
      <c r="AD35" s="14">
        <v>0.12</v>
      </c>
      <c r="AE35" s="14">
        <v>0.08</v>
      </c>
      <c r="AF35" s="14">
        <v>0.15</v>
      </c>
    </row>
    <row r="36" spans="1:32" ht="23.25" x14ac:dyDescent="0.25">
      <c r="A36" s="19"/>
      <c r="B36" s="11" t="s">
        <v>428</v>
      </c>
      <c r="C36" s="12">
        <v>4805</v>
      </c>
      <c r="D36" s="12">
        <v>213</v>
      </c>
      <c r="E36" s="12">
        <v>254</v>
      </c>
      <c r="F36" s="12">
        <v>232</v>
      </c>
      <c r="G36" s="12">
        <v>229</v>
      </c>
      <c r="H36" s="12">
        <v>272</v>
      </c>
      <c r="I36" s="12">
        <v>325</v>
      </c>
      <c r="J36" s="12">
        <v>52</v>
      </c>
      <c r="K36" s="12">
        <v>195</v>
      </c>
      <c r="L36" s="12">
        <v>169</v>
      </c>
      <c r="M36" s="12">
        <v>142</v>
      </c>
      <c r="N36" s="12">
        <v>130</v>
      </c>
      <c r="O36" s="12">
        <v>174</v>
      </c>
      <c r="P36" s="12">
        <v>168</v>
      </c>
      <c r="Q36" s="12">
        <v>118</v>
      </c>
      <c r="R36" s="12">
        <v>73</v>
      </c>
      <c r="S36" s="12">
        <v>155</v>
      </c>
      <c r="T36" s="12">
        <v>215</v>
      </c>
      <c r="U36" s="12">
        <v>83</v>
      </c>
      <c r="V36" s="12">
        <v>265</v>
      </c>
      <c r="W36" s="12">
        <v>73</v>
      </c>
      <c r="X36" s="12">
        <v>254</v>
      </c>
      <c r="Y36" s="12">
        <v>199</v>
      </c>
      <c r="Z36" s="12">
        <v>174</v>
      </c>
      <c r="AA36" s="12">
        <v>253</v>
      </c>
      <c r="AB36" s="12">
        <v>228</v>
      </c>
      <c r="AC36" s="12">
        <v>227</v>
      </c>
      <c r="AD36" s="12">
        <v>226</v>
      </c>
      <c r="AE36" s="12">
        <v>139</v>
      </c>
      <c r="AF36" s="12">
        <v>247</v>
      </c>
    </row>
    <row r="37" spans="1:32" ht="23.25" x14ac:dyDescent="0.25">
      <c r="A37" s="19"/>
      <c r="B37" s="13" t="s">
        <v>429</v>
      </c>
      <c r="C37" s="14">
        <v>0.18</v>
      </c>
      <c r="D37" s="14">
        <v>0.21</v>
      </c>
      <c r="E37" s="14">
        <v>0.25</v>
      </c>
      <c r="F37" s="14">
        <v>0.22</v>
      </c>
      <c r="G37" s="14">
        <v>0.23</v>
      </c>
      <c r="H37" s="14">
        <v>0.22</v>
      </c>
      <c r="I37" s="14">
        <v>0.21</v>
      </c>
      <c r="J37" s="14">
        <v>0.17</v>
      </c>
      <c r="K37" s="14">
        <v>0.2</v>
      </c>
      <c r="L37" s="14">
        <v>0.17</v>
      </c>
      <c r="M37" s="14">
        <v>0.14000000000000001</v>
      </c>
      <c r="N37" s="14">
        <v>0.12</v>
      </c>
      <c r="O37" s="14">
        <v>0.18</v>
      </c>
      <c r="P37" s="14">
        <v>0.17</v>
      </c>
      <c r="Q37" s="14">
        <v>0.12</v>
      </c>
      <c r="R37" s="14">
        <v>0.15</v>
      </c>
      <c r="S37" s="14">
        <v>0.15</v>
      </c>
      <c r="T37" s="14">
        <v>0.21</v>
      </c>
      <c r="U37" s="14">
        <v>0.16</v>
      </c>
      <c r="V37" s="14">
        <v>0.26</v>
      </c>
      <c r="W37" s="14">
        <v>0.14000000000000001</v>
      </c>
      <c r="X37" s="14">
        <v>0.25</v>
      </c>
      <c r="Y37" s="14">
        <v>0.2</v>
      </c>
      <c r="Z37" s="14">
        <v>0.18</v>
      </c>
      <c r="AA37" s="14">
        <v>0.25</v>
      </c>
      <c r="AB37" s="14">
        <v>0.22</v>
      </c>
      <c r="AC37" s="14">
        <v>0.23</v>
      </c>
      <c r="AD37" s="14">
        <v>0.23</v>
      </c>
      <c r="AE37" s="14">
        <v>0.14000000000000001</v>
      </c>
      <c r="AF37" s="14">
        <v>0.24</v>
      </c>
    </row>
    <row r="38" spans="1:32" ht="23.25" x14ac:dyDescent="0.25">
      <c r="A38" s="19"/>
      <c r="B38" s="11" t="s">
        <v>430</v>
      </c>
      <c r="C38" s="12">
        <v>19007</v>
      </c>
      <c r="D38" s="12">
        <v>711</v>
      </c>
      <c r="E38" s="12">
        <v>620</v>
      </c>
      <c r="F38" s="12">
        <v>597</v>
      </c>
      <c r="G38" s="12">
        <v>626</v>
      </c>
      <c r="H38" s="12">
        <v>748</v>
      </c>
      <c r="I38" s="12">
        <v>956</v>
      </c>
      <c r="J38" s="12">
        <v>208</v>
      </c>
      <c r="K38" s="12">
        <v>639</v>
      </c>
      <c r="L38" s="12">
        <v>724</v>
      </c>
      <c r="M38" s="12">
        <v>795</v>
      </c>
      <c r="N38" s="12">
        <v>841</v>
      </c>
      <c r="O38" s="12">
        <v>726</v>
      </c>
      <c r="P38" s="12">
        <v>717</v>
      </c>
      <c r="Q38" s="12">
        <v>850</v>
      </c>
      <c r="R38" s="12">
        <v>398</v>
      </c>
      <c r="S38" s="12">
        <v>724</v>
      </c>
      <c r="T38" s="12">
        <v>709</v>
      </c>
      <c r="U38" s="12">
        <v>389</v>
      </c>
      <c r="V38" s="12">
        <v>636</v>
      </c>
      <c r="W38" s="12">
        <v>396</v>
      </c>
      <c r="X38" s="12">
        <v>651</v>
      </c>
      <c r="Y38" s="12">
        <v>707</v>
      </c>
      <c r="Z38" s="12">
        <v>810</v>
      </c>
      <c r="AA38" s="12">
        <v>737</v>
      </c>
      <c r="AB38" s="12">
        <v>705</v>
      </c>
      <c r="AC38" s="12">
        <v>586</v>
      </c>
      <c r="AD38" s="12">
        <v>649</v>
      </c>
      <c r="AE38" s="12">
        <v>783</v>
      </c>
      <c r="AF38" s="12">
        <v>623</v>
      </c>
    </row>
    <row r="39" spans="1:32" ht="23.25" x14ac:dyDescent="0.25">
      <c r="A39" s="19"/>
      <c r="B39" s="13" t="s">
        <v>431</v>
      </c>
      <c r="C39" s="14">
        <v>0.72</v>
      </c>
      <c r="D39" s="14">
        <v>0.70000000000000007</v>
      </c>
      <c r="E39" s="14">
        <v>0.59</v>
      </c>
      <c r="F39" s="14">
        <v>0.56000000000000005</v>
      </c>
      <c r="G39" s="14">
        <v>0.61</v>
      </c>
      <c r="H39" s="14">
        <v>0.62</v>
      </c>
      <c r="I39" s="14">
        <v>0.63</v>
      </c>
      <c r="J39" s="14">
        <v>0.70000000000000007</v>
      </c>
      <c r="K39" s="14">
        <v>0.63</v>
      </c>
      <c r="L39" s="14">
        <v>0.72</v>
      </c>
      <c r="M39" s="14">
        <v>0.79</v>
      </c>
      <c r="N39" s="14">
        <v>0.84</v>
      </c>
      <c r="O39" s="14">
        <v>0.72</v>
      </c>
      <c r="P39" s="14">
        <v>0.71</v>
      </c>
      <c r="Q39" s="14">
        <v>0.83000000000000007</v>
      </c>
      <c r="R39" s="14">
        <v>0.8</v>
      </c>
      <c r="S39" s="14">
        <v>0.72</v>
      </c>
      <c r="T39" s="14">
        <v>0.70000000000000007</v>
      </c>
      <c r="U39" s="14">
        <v>0.76</v>
      </c>
      <c r="V39" s="14">
        <v>0.62</v>
      </c>
      <c r="W39" s="14">
        <v>0.79</v>
      </c>
      <c r="X39" s="14">
        <v>0.65</v>
      </c>
      <c r="Y39" s="14">
        <v>0.70000000000000007</v>
      </c>
      <c r="Z39" s="14">
        <v>0.79</v>
      </c>
      <c r="AA39" s="14">
        <v>0.71</v>
      </c>
      <c r="AB39" s="14">
        <v>0.68</v>
      </c>
      <c r="AC39" s="14">
        <v>0.59</v>
      </c>
      <c r="AD39" s="14">
        <v>0.65</v>
      </c>
      <c r="AE39" s="14">
        <v>0.78</v>
      </c>
      <c r="AF39" s="14">
        <v>0.61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432</v>
      </c>
      <c r="C3" s="18"/>
      <c r="D3" s="18"/>
      <c r="E3" s="18"/>
      <c r="F3" s="18"/>
      <c r="H3" s="18" t="s">
        <v>433</v>
      </c>
      <c r="I3" s="18"/>
      <c r="J3" s="18"/>
      <c r="K3" s="18"/>
      <c r="L3" s="18"/>
    </row>
    <row r="4" spans="1:32" ht="27" customHeight="1" x14ac:dyDescent="0.25">
      <c r="B4" s="18" t="s">
        <v>434</v>
      </c>
      <c r="C4" s="18"/>
      <c r="D4" s="18"/>
      <c r="E4" s="18"/>
      <c r="F4" s="18"/>
      <c r="H4" s="18" t="s">
        <v>435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640</v>
      </c>
      <c r="D12" s="12">
        <v>22</v>
      </c>
      <c r="E12" s="12">
        <v>64</v>
      </c>
      <c r="F12" s="12">
        <v>40</v>
      </c>
      <c r="G12" s="12">
        <v>25</v>
      </c>
      <c r="H12" s="12">
        <v>25</v>
      </c>
      <c r="I12" s="12">
        <v>30</v>
      </c>
      <c r="J12" s="12">
        <v>5</v>
      </c>
      <c r="K12" s="12">
        <v>64</v>
      </c>
      <c r="L12" s="12">
        <v>29</v>
      </c>
      <c r="M12" s="12">
        <v>11</v>
      </c>
      <c r="N12" s="12">
        <v>28</v>
      </c>
      <c r="O12" s="12">
        <v>30</v>
      </c>
      <c r="P12" s="12">
        <v>22</v>
      </c>
      <c r="Q12" s="12">
        <v>28</v>
      </c>
      <c r="R12" s="12">
        <v>5</v>
      </c>
      <c r="S12" s="12">
        <v>70</v>
      </c>
      <c r="T12" s="12">
        <v>57</v>
      </c>
      <c r="U12" s="12">
        <v>10</v>
      </c>
      <c r="V12" s="12">
        <v>27</v>
      </c>
      <c r="W12" s="12">
        <v>11</v>
      </c>
      <c r="X12" s="12">
        <v>22</v>
      </c>
      <c r="Y12" s="12">
        <v>57</v>
      </c>
      <c r="Z12" s="12">
        <v>1</v>
      </c>
      <c r="AA12" s="12">
        <v>7</v>
      </c>
      <c r="AB12" s="12">
        <v>29</v>
      </c>
      <c r="AC12" s="12">
        <v>42</v>
      </c>
      <c r="AD12" s="12">
        <v>36</v>
      </c>
      <c r="AE12" s="12">
        <v>16</v>
      </c>
      <c r="AF12" s="12">
        <v>13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0.06</v>
      </c>
      <c r="F13" s="14">
        <v>0.04</v>
      </c>
      <c r="G13" s="14">
        <v>0.02</v>
      </c>
      <c r="H13" s="14">
        <v>0.02</v>
      </c>
      <c r="I13" s="14">
        <v>0.02</v>
      </c>
      <c r="J13" s="14">
        <v>0.02</v>
      </c>
      <c r="K13" s="14">
        <v>0.06</v>
      </c>
      <c r="L13" s="14">
        <v>0.03</v>
      </c>
      <c r="M13" s="14">
        <v>0.01</v>
      </c>
      <c r="N13" s="14">
        <v>0.03</v>
      </c>
      <c r="O13" s="14">
        <v>0.03</v>
      </c>
      <c r="P13" s="14">
        <v>0.02</v>
      </c>
      <c r="Q13" s="14">
        <v>0.03</v>
      </c>
      <c r="R13" s="14">
        <v>0.01</v>
      </c>
      <c r="S13" s="14">
        <v>7.0000000000000007E-2</v>
      </c>
      <c r="T13" s="14">
        <v>0.06</v>
      </c>
      <c r="U13" s="14">
        <v>0.02</v>
      </c>
      <c r="V13" s="14">
        <v>0.03</v>
      </c>
      <c r="W13" s="14">
        <v>0.02</v>
      </c>
      <c r="X13" s="14">
        <v>0.02</v>
      </c>
      <c r="Y13" s="14">
        <v>0.06</v>
      </c>
      <c r="Z13" s="15" t="s">
        <v>213</v>
      </c>
      <c r="AA13" s="14">
        <v>0.01</v>
      </c>
      <c r="AB13" s="14">
        <v>0.03</v>
      </c>
      <c r="AC13" s="14">
        <v>0.04</v>
      </c>
      <c r="AD13" s="14">
        <v>0.03</v>
      </c>
      <c r="AE13" s="14">
        <v>0.02</v>
      </c>
      <c r="AF13" s="14">
        <v>0.01</v>
      </c>
    </row>
    <row r="14" spans="1:32" x14ac:dyDescent="0.25">
      <c r="A14" s="19"/>
      <c r="B14" s="11" t="s">
        <v>416</v>
      </c>
      <c r="C14" s="12">
        <v>636</v>
      </c>
      <c r="D14" s="12">
        <v>9</v>
      </c>
      <c r="E14" s="12">
        <v>31</v>
      </c>
      <c r="F14" s="12">
        <v>32</v>
      </c>
      <c r="G14" s="12">
        <v>27</v>
      </c>
      <c r="H14" s="12">
        <v>77</v>
      </c>
      <c r="I14" s="12">
        <v>95</v>
      </c>
      <c r="J14" s="12">
        <v>17</v>
      </c>
      <c r="K14" s="12">
        <v>34</v>
      </c>
      <c r="L14" s="12">
        <v>19</v>
      </c>
      <c r="M14" s="12">
        <v>23</v>
      </c>
      <c r="N14" s="12">
        <v>15</v>
      </c>
      <c r="O14" s="12">
        <v>19</v>
      </c>
      <c r="P14" s="12">
        <v>17</v>
      </c>
      <c r="Q14" s="12">
        <v>7</v>
      </c>
      <c r="R14" s="12">
        <v>4</v>
      </c>
      <c r="S14" s="12">
        <v>23</v>
      </c>
      <c r="T14" s="12">
        <v>26</v>
      </c>
      <c r="U14" s="12">
        <v>8</v>
      </c>
      <c r="V14" s="12">
        <v>22</v>
      </c>
      <c r="W14" s="12">
        <v>8</v>
      </c>
      <c r="X14" s="12">
        <v>13</v>
      </c>
      <c r="Y14" s="12">
        <v>17</v>
      </c>
      <c r="Z14" s="12">
        <v>2</v>
      </c>
      <c r="AA14" s="12">
        <v>18</v>
      </c>
      <c r="AB14" s="12">
        <v>19</v>
      </c>
      <c r="AC14" s="12">
        <v>41</v>
      </c>
      <c r="AD14" s="12">
        <v>27</v>
      </c>
      <c r="AE14" s="12">
        <v>13</v>
      </c>
      <c r="AF14" s="12">
        <v>31</v>
      </c>
    </row>
    <row r="15" spans="1:32" x14ac:dyDescent="0.25">
      <c r="A15" s="19"/>
      <c r="B15" s="13" t="s">
        <v>416</v>
      </c>
      <c r="C15" s="14">
        <v>0.02</v>
      </c>
      <c r="D15" s="14">
        <v>0.01</v>
      </c>
      <c r="E15" s="14">
        <v>0.03</v>
      </c>
      <c r="F15" s="14">
        <v>0.03</v>
      </c>
      <c r="G15" s="14">
        <v>0.03</v>
      </c>
      <c r="H15" s="14">
        <v>0.06</v>
      </c>
      <c r="I15" s="14">
        <v>0.06</v>
      </c>
      <c r="J15" s="14">
        <v>0.06</v>
      </c>
      <c r="K15" s="14">
        <v>0.03</v>
      </c>
      <c r="L15" s="14">
        <v>0.02</v>
      </c>
      <c r="M15" s="14">
        <v>0.02</v>
      </c>
      <c r="N15" s="14">
        <v>0.01</v>
      </c>
      <c r="O15" s="14">
        <v>0.02</v>
      </c>
      <c r="P15" s="14">
        <v>0.02</v>
      </c>
      <c r="Q15" s="14">
        <v>0.01</v>
      </c>
      <c r="R15" s="14">
        <v>0.01</v>
      </c>
      <c r="S15" s="14">
        <v>0.02</v>
      </c>
      <c r="T15" s="14">
        <v>0.03</v>
      </c>
      <c r="U15" s="14">
        <v>0.02</v>
      </c>
      <c r="V15" s="14">
        <v>0.02</v>
      </c>
      <c r="W15" s="14">
        <v>0.02</v>
      </c>
      <c r="X15" s="14">
        <v>0.01</v>
      </c>
      <c r="Y15" s="14">
        <v>0.02</v>
      </c>
      <c r="Z15" s="15" t="s">
        <v>213</v>
      </c>
      <c r="AA15" s="14">
        <v>0.02</v>
      </c>
      <c r="AB15" s="14">
        <v>0.02</v>
      </c>
      <c r="AC15" s="14">
        <v>0.04</v>
      </c>
      <c r="AD15" s="14">
        <v>0.03</v>
      </c>
      <c r="AE15" s="14">
        <v>0.01</v>
      </c>
      <c r="AF15" s="14">
        <v>0.03</v>
      </c>
    </row>
    <row r="16" spans="1:32" x14ac:dyDescent="0.25">
      <c r="A16" s="19"/>
      <c r="B16" s="11" t="s">
        <v>417</v>
      </c>
      <c r="C16" s="12">
        <v>922</v>
      </c>
      <c r="D16" s="12">
        <v>24</v>
      </c>
      <c r="E16" s="12">
        <v>71</v>
      </c>
      <c r="F16" s="12">
        <v>83</v>
      </c>
      <c r="G16" s="12">
        <v>64</v>
      </c>
      <c r="H16" s="12">
        <v>64</v>
      </c>
      <c r="I16" s="12">
        <v>75</v>
      </c>
      <c r="J16" s="12">
        <v>11</v>
      </c>
      <c r="K16" s="12">
        <v>73</v>
      </c>
      <c r="L16" s="12">
        <v>35</v>
      </c>
      <c r="M16" s="12">
        <v>45</v>
      </c>
      <c r="N16" s="12">
        <v>22</v>
      </c>
      <c r="O16" s="12">
        <v>29</v>
      </c>
      <c r="P16" s="12">
        <v>47</v>
      </c>
      <c r="Q16" s="12">
        <v>18</v>
      </c>
      <c r="R16" s="12">
        <v>13</v>
      </c>
      <c r="S16" s="12">
        <v>47</v>
      </c>
      <c r="T16" s="12">
        <v>47</v>
      </c>
      <c r="U16" s="12">
        <v>13</v>
      </c>
      <c r="V16" s="12">
        <v>49</v>
      </c>
      <c r="W16" s="12">
        <v>10</v>
      </c>
      <c r="X16" s="12">
        <v>25</v>
      </c>
      <c r="Y16" s="12">
        <v>43</v>
      </c>
      <c r="Z16" s="12">
        <v>13</v>
      </c>
      <c r="AA16" s="12">
        <v>51</v>
      </c>
      <c r="AB16" s="12">
        <v>30</v>
      </c>
      <c r="AC16" s="12">
        <v>75</v>
      </c>
      <c r="AD16" s="12">
        <v>66</v>
      </c>
      <c r="AE16" s="12">
        <v>49</v>
      </c>
      <c r="AF16" s="12">
        <v>70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7.0000000000000007E-2</v>
      </c>
      <c r="F17" s="14">
        <v>0.08</v>
      </c>
      <c r="G17" s="14">
        <v>0.06</v>
      </c>
      <c r="H17" s="14">
        <v>0.05</v>
      </c>
      <c r="I17" s="14">
        <v>0.05</v>
      </c>
      <c r="J17" s="14">
        <v>0.04</v>
      </c>
      <c r="K17" s="14">
        <v>7.0000000000000007E-2</v>
      </c>
      <c r="L17" s="14">
        <v>0.03</v>
      </c>
      <c r="M17" s="14">
        <v>0.05</v>
      </c>
      <c r="N17" s="14">
        <v>0.02</v>
      </c>
      <c r="O17" s="14">
        <v>0.03</v>
      </c>
      <c r="P17" s="14">
        <v>0.05</v>
      </c>
      <c r="Q17" s="14">
        <v>0.02</v>
      </c>
      <c r="R17" s="14">
        <v>0.03</v>
      </c>
      <c r="S17" s="14">
        <v>0.05</v>
      </c>
      <c r="T17" s="14">
        <v>0.05</v>
      </c>
      <c r="U17" s="14">
        <v>0.02</v>
      </c>
      <c r="V17" s="14">
        <v>0.05</v>
      </c>
      <c r="W17" s="14">
        <v>0.02</v>
      </c>
      <c r="X17" s="14">
        <v>0.03</v>
      </c>
      <c r="Y17" s="14">
        <v>0.04</v>
      </c>
      <c r="Z17" s="14">
        <v>0.01</v>
      </c>
      <c r="AA17" s="14">
        <v>0.05</v>
      </c>
      <c r="AB17" s="14">
        <v>0.03</v>
      </c>
      <c r="AC17" s="14">
        <v>0.08</v>
      </c>
      <c r="AD17" s="14">
        <v>7.0000000000000007E-2</v>
      </c>
      <c r="AE17" s="14">
        <v>0.05</v>
      </c>
      <c r="AF17" s="14">
        <v>7.0000000000000007E-2</v>
      </c>
    </row>
    <row r="18" spans="1:32" x14ac:dyDescent="0.25">
      <c r="A18" s="19"/>
      <c r="B18" s="11" t="s">
        <v>418</v>
      </c>
      <c r="C18" s="12">
        <v>1209</v>
      </c>
      <c r="D18" s="12">
        <v>49</v>
      </c>
      <c r="E18" s="12">
        <v>90</v>
      </c>
      <c r="F18" s="12">
        <v>106</v>
      </c>
      <c r="G18" s="12">
        <v>69</v>
      </c>
      <c r="H18" s="12">
        <v>84</v>
      </c>
      <c r="I18" s="12">
        <v>97</v>
      </c>
      <c r="J18" s="12">
        <v>13</v>
      </c>
      <c r="K18" s="12">
        <v>86</v>
      </c>
      <c r="L18" s="12">
        <v>32</v>
      </c>
      <c r="M18" s="12">
        <v>59</v>
      </c>
      <c r="N18" s="12">
        <v>26</v>
      </c>
      <c r="O18" s="12">
        <v>33</v>
      </c>
      <c r="P18" s="12">
        <v>55</v>
      </c>
      <c r="Q18" s="12">
        <v>28</v>
      </c>
      <c r="R18" s="12">
        <v>21</v>
      </c>
      <c r="S18" s="12">
        <v>76</v>
      </c>
      <c r="T18" s="12">
        <v>50</v>
      </c>
      <c r="U18" s="12">
        <v>20</v>
      </c>
      <c r="V18" s="12">
        <v>83</v>
      </c>
      <c r="W18" s="12">
        <v>5</v>
      </c>
      <c r="X18" s="12">
        <v>53</v>
      </c>
      <c r="Y18" s="12">
        <v>58</v>
      </c>
      <c r="Z18" s="12">
        <v>30</v>
      </c>
      <c r="AA18" s="12">
        <v>45</v>
      </c>
      <c r="AB18" s="12">
        <v>45</v>
      </c>
      <c r="AC18" s="12">
        <v>60</v>
      </c>
      <c r="AD18" s="12">
        <v>71</v>
      </c>
      <c r="AE18" s="12">
        <v>58</v>
      </c>
      <c r="AF18" s="12">
        <v>65</v>
      </c>
    </row>
    <row r="19" spans="1:32" x14ac:dyDescent="0.25">
      <c r="A19" s="19"/>
      <c r="B19" s="13" t="s">
        <v>418</v>
      </c>
      <c r="C19" s="14">
        <v>0.05</v>
      </c>
      <c r="D19" s="14">
        <v>0.05</v>
      </c>
      <c r="E19" s="14">
        <v>0.09</v>
      </c>
      <c r="F19" s="14">
        <v>0.1</v>
      </c>
      <c r="G19" s="14">
        <v>7.0000000000000007E-2</v>
      </c>
      <c r="H19" s="14">
        <v>7.0000000000000007E-2</v>
      </c>
      <c r="I19" s="14">
        <v>0.06</v>
      </c>
      <c r="J19" s="14">
        <v>0.04</v>
      </c>
      <c r="K19" s="14">
        <v>0.09</v>
      </c>
      <c r="L19" s="14">
        <v>0.03</v>
      </c>
      <c r="M19" s="14">
        <v>0.06</v>
      </c>
      <c r="N19" s="14">
        <v>0.03</v>
      </c>
      <c r="O19" s="14">
        <v>0.03</v>
      </c>
      <c r="P19" s="14">
        <v>0.05</v>
      </c>
      <c r="Q19" s="14">
        <v>0.03</v>
      </c>
      <c r="R19" s="14">
        <v>0.04</v>
      </c>
      <c r="S19" s="14">
        <v>0.08</v>
      </c>
      <c r="T19" s="14">
        <v>0.05</v>
      </c>
      <c r="U19" s="14">
        <v>0.04</v>
      </c>
      <c r="V19" s="14">
        <v>0.08</v>
      </c>
      <c r="W19" s="14">
        <v>0.01</v>
      </c>
      <c r="X19" s="14">
        <v>0.05</v>
      </c>
      <c r="Y19" s="14">
        <v>0.06</v>
      </c>
      <c r="Z19" s="14">
        <v>0.03</v>
      </c>
      <c r="AA19" s="14">
        <v>0.04</v>
      </c>
      <c r="AB19" s="14">
        <v>0.04</v>
      </c>
      <c r="AC19" s="14">
        <v>0.06</v>
      </c>
      <c r="AD19" s="14">
        <v>7.0000000000000007E-2</v>
      </c>
      <c r="AE19" s="14">
        <v>0.06</v>
      </c>
      <c r="AF19" s="14">
        <v>0.06</v>
      </c>
    </row>
    <row r="20" spans="1:32" x14ac:dyDescent="0.25">
      <c r="A20" s="19"/>
      <c r="B20" s="11" t="s">
        <v>419</v>
      </c>
      <c r="C20" s="12">
        <v>2591</v>
      </c>
      <c r="D20" s="12">
        <v>103</v>
      </c>
      <c r="E20" s="12">
        <v>120</v>
      </c>
      <c r="F20" s="12">
        <v>174</v>
      </c>
      <c r="G20" s="12">
        <v>123</v>
      </c>
      <c r="H20" s="12">
        <v>159</v>
      </c>
      <c r="I20" s="12">
        <v>191</v>
      </c>
      <c r="J20" s="12">
        <v>32</v>
      </c>
      <c r="K20" s="12">
        <v>127</v>
      </c>
      <c r="L20" s="12">
        <v>76</v>
      </c>
      <c r="M20" s="12">
        <v>127</v>
      </c>
      <c r="N20" s="12">
        <v>57</v>
      </c>
      <c r="O20" s="12">
        <v>112</v>
      </c>
      <c r="P20" s="12">
        <v>104</v>
      </c>
      <c r="Q20" s="12">
        <v>57</v>
      </c>
      <c r="R20" s="12">
        <v>47</v>
      </c>
      <c r="S20" s="12">
        <v>111</v>
      </c>
      <c r="T20" s="12">
        <v>142</v>
      </c>
      <c r="U20" s="12">
        <v>41</v>
      </c>
      <c r="V20" s="12">
        <v>138</v>
      </c>
      <c r="W20" s="12">
        <v>36</v>
      </c>
      <c r="X20" s="12">
        <v>93</v>
      </c>
      <c r="Y20" s="12">
        <v>98</v>
      </c>
      <c r="Z20" s="12">
        <v>84</v>
      </c>
      <c r="AA20" s="12">
        <v>112</v>
      </c>
      <c r="AB20" s="12">
        <v>94</v>
      </c>
      <c r="AC20" s="12">
        <v>163</v>
      </c>
      <c r="AD20" s="12">
        <v>160</v>
      </c>
      <c r="AE20" s="12">
        <v>89</v>
      </c>
      <c r="AF20" s="12">
        <v>103</v>
      </c>
    </row>
    <row r="21" spans="1:32" x14ac:dyDescent="0.25">
      <c r="A21" s="19"/>
      <c r="B21" s="13" t="s">
        <v>419</v>
      </c>
      <c r="C21" s="14">
        <v>0.1</v>
      </c>
      <c r="D21" s="14">
        <v>0.1</v>
      </c>
      <c r="E21" s="14">
        <v>0.12</v>
      </c>
      <c r="F21" s="14">
        <v>0.16</v>
      </c>
      <c r="G21" s="14">
        <v>0.12</v>
      </c>
      <c r="H21" s="14">
        <v>0.13</v>
      </c>
      <c r="I21" s="14">
        <v>0.12</v>
      </c>
      <c r="J21" s="14">
        <v>0.11</v>
      </c>
      <c r="K21" s="14">
        <v>0.13</v>
      </c>
      <c r="L21" s="14">
        <v>0.08</v>
      </c>
      <c r="M21" s="14">
        <v>0.13</v>
      </c>
      <c r="N21" s="14">
        <v>0.06</v>
      </c>
      <c r="O21" s="14">
        <v>0.11</v>
      </c>
      <c r="P21" s="14">
        <v>0.1</v>
      </c>
      <c r="Q21" s="14">
        <v>0.05</v>
      </c>
      <c r="R21" s="14">
        <v>0.09</v>
      </c>
      <c r="S21" s="14">
        <v>0.11</v>
      </c>
      <c r="T21" s="14">
        <v>0.14000000000000001</v>
      </c>
      <c r="U21" s="14">
        <v>0.08</v>
      </c>
      <c r="V21" s="14">
        <v>0.13</v>
      </c>
      <c r="W21" s="14">
        <v>7.0000000000000007E-2</v>
      </c>
      <c r="X21" s="14">
        <v>0.09</v>
      </c>
      <c r="Y21" s="14">
        <v>0.1</v>
      </c>
      <c r="Z21" s="14">
        <v>0.08</v>
      </c>
      <c r="AA21" s="14">
        <v>0.11</v>
      </c>
      <c r="AB21" s="14">
        <v>0.09</v>
      </c>
      <c r="AC21" s="14">
        <v>0.16</v>
      </c>
      <c r="AD21" s="14">
        <v>0.16</v>
      </c>
      <c r="AE21" s="14">
        <v>0.09</v>
      </c>
      <c r="AF21" s="14">
        <v>0.1</v>
      </c>
    </row>
    <row r="22" spans="1:32" x14ac:dyDescent="0.25">
      <c r="A22" s="19"/>
      <c r="B22" s="11" t="s">
        <v>420</v>
      </c>
      <c r="C22" s="12">
        <v>2728</v>
      </c>
      <c r="D22" s="12">
        <v>111</v>
      </c>
      <c r="E22" s="12">
        <v>120</v>
      </c>
      <c r="F22" s="12">
        <v>101</v>
      </c>
      <c r="G22" s="12">
        <v>108</v>
      </c>
      <c r="H22" s="12">
        <v>142</v>
      </c>
      <c r="I22" s="12">
        <v>183</v>
      </c>
      <c r="J22" s="12">
        <v>41</v>
      </c>
      <c r="K22" s="12">
        <v>97</v>
      </c>
      <c r="L22" s="12">
        <v>67</v>
      </c>
      <c r="M22" s="12">
        <v>152</v>
      </c>
      <c r="N22" s="12">
        <v>82</v>
      </c>
      <c r="O22" s="12">
        <v>103</v>
      </c>
      <c r="P22" s="12">
        <v>108</v>
      </c>
      <c r="Q22" s="12">
        <v>72</v>
      </c>
      <c r="R22" s="12">
        <v>49</v>
      </c>
      <c r="S22" s="12">
        <v>85</v>
      </c>
      <c r="T22" s="12">
        <v>108</v>
      </c>
      <c r="U22" s="12">
        <v>40</v>
      </c>
      <c r="V22" s="12">
        <v>161</v>
      </c>
      <c r="W22" s="12">
        <v>21</v>
      </c>
      <c r="X22" s="12">
        <v>127</v>
      </c>
      <c r="Y22" s="12">
        <v>117</v>
      </c>
      <c r="Z22" s="12">
        <v>95</v>
      </c>
      <c r="AA22" s="12">
        <v>80</v>
      </c>
      <c r="AB22" s="12">
        <v>134</v>
      </c>
      <c r="AC22" s="12">
        <v>89</v>
      </c>
      <c r="AD22" s="12">
        <v>130</v>
      </c>
      <c r="AE22" s="12">
        <v>109</v>
      </c>
      <c r="AF22" s="12">
        <v>147</v>
      </c>
    </row>
    <row r="23" spans="1:32" x14ac:dyDescent="0.25">
      <c r="A23" s="19"/>
      <c r="B23" s="13" t="s">
        <v>420</v>
      </c>
      <c r="C23" s="14">
        <v>0.1</v>
      </c>
      <c r="D23" s="14">
        <v>0.11</v>
      </c>
      <c r="E23" s="14">
        <v>0.11</v>
      </c>
      <c r="F23" s="14">
        <v>0.1</v>
      </c>
      <c r="G23" s="14">
        <v>0.11</v>
      </c>
      <c r="H23" s="14">
        <v>0.12</v>
      </c>
      <c r="I23" s="14">
        <v>0.12</v>
      </c>
      <c r="J23" s="14">
        <v>0.14000000000000001</v>
      </c>
      <c r="K23" s="14">
        <v>0.1</v>
      </c>
      <c r="L23" s="14">
        <v>7.0000000000000007E-2</v>
      </c>
      <c r="M23" s="14">
        <v>0.15</v>
      </c>
      <c r="N23" s="14">
        <v>0.08</v>
      </c>
      <c r="O23" s="14">
        <v>0.1</v>
      </c>
      <c r="P23" s="14">
        <v>0.11</v>
      </c>
      <c r="Q23" s="14">
        <v>7.0000000000000007E-2</v>
      </c>
      <c r="R23" s="14">
        <v>0.1</v>
      </c>
      <c r="S23" s="14">
        <v>0.08</v>
      </c>
      <c r="T23" s="14">
        <v>0.11</v>
      </c>
      <c r="U23" s="14">
        <v>0.08</v>
      </c>
      <c r="V23" s="14">
        <v>0.16</v>
      </c>
      <c r="W23" s="14">
        <v>0.04</v>
      </c>
      <c r="X23" s="14">
        <v>0.13</v>
      </c>
      <c r="Y23" s="14">
        <v>0.12</v>
      </c>
      <c r="Z23" s="14">
        <v>0.1</v>
      </c>
      <c r="AA23" s="14">
        <v>0.08</v>
      </c>
      <c r="AB23" s="14">
        <v>0.13</v>
      </c>
      <c r="AC23" s="14">
        <v>0.09</v>
      </c>
      <c r="AD23" s="14">
        <v>0.13</v>
      </c>
      <c r="AE23" s="14">
        <v>0.11</v>
      </c>
      <c r="AF23" s="14">
        <v>0.14000000000000001</v>
      </c>
    </row>
    <row r="24" spans="1:32" x14ac:dyDescent="0.25">
      <c r="A24" s="19"/>
      <c r="B24" s="11" t="s">
        <v>421</v>
      </c>
      <c r="C24" s="12">
        <v>4609</v>
      </c>
      <c r="D24" s="12">
        <v>215</v>
      </c>
      <c r="E24" s="12">
        <v>137</v>
      </c>
      <c r="F24" s="12">
        <v>141</v>
      </c>
      <c r="G24" s="12">
        <v>178</v>
      </c>
      <c r="H24" s="12">
        <v>186</v>
      </c>
      <c r="I24" s="12">
        <v>241</v>
      </c>
      <c r="J24" s="12">
        <v>55</v>
      </c>
      <c r="K24" s="12">
        <v>152</v>
      </c>
      <c r="L24" s="12">
        <v>186</v>
      </c>
      <c r="M24" s="12">
        <v>173</v>
      </c>
      <c r="N24" s="12">
        <v>175</v>
      </c>
      <c r="O24" s="12">
        <v>191</v>
      </c>
      <c r="P24" s="12">
        <v>145</v>
      </c>
      <c r="Q24" s="12">
        <v>178</v>
      </c>
      <c r="R24" s="12">
        <v>94</v>
      </c>
      <c r="S24" s="12">
        <v>146</v>
      </c>
      <c r="T24" s="12">
        <v>147</v>
      </c>
      <c r="U24" s="12">
        <v>108</v>
      </c>
      <c r="V24" s="12">
        <v>159</v>
      </c>
      <c r="W24" s="12">
        <v>73</v>
      </c>
      <c r="X24" s="12">
        <v>243</v>
      </c>
      <c r="Y24" s="12">
        <v>164</v>
      </c>
      <c r="Z24" s="12">
        <v>192</v>
      </c>
      <c r="AA24" s="12">
        <v>120</v>
      </c>
      <c r="AB24" s="12">
        <v>187</v>
      </c>
      <c r="AC24" s="12">
        <v>130</v>
      </c>
      <c r="AD24" s="12">
        <v>182</v>
      </c>
      <c r="AE24" s="12">
        <v>192</v>
      </c>
      <c r="AF24" s="12">
        <v>186</v>
      </c>
    </row>
    <row r="25" spans="1:32" x14ac:dyDescent="0.25">
      <c r="A25" s="19"/>
      <c r="B25" s="13" t="s">
        <v>421</v>
      </c>
      <c r="C25" s="14">
        <v>0.17</v>
      </c>
      <c r="D25" s="14">
        <v>0.21</v>
      </c>
      <c r="E25" s="14">
        <v>0.13</v>
      </c>
      <c r="F25" s="14">
        <v>0.13</v>
      </c>
      <c r="G25" s="14">
        <v>0.18</v>
      </c>
      <c r="H25" s="14">
        <v>0.15</v>
      </c>
      <c r="I25" s="14">
        <v>0.16</v>
      </c>
      <c r="J25" s="14">
        <v>0.19</v>
      </c>
      <c r="K25" s="14">
        <v>0.15</v>
      </c>
      <c r="L25" s="14">
        <v>0.18</v>
      </c>
      <c r="M25" s="14">
        <v>0.17</v>
      </c>
      <c r="N25" s="14">
        <v>0.17</v>
      </c>
      <c r="O25" s="14">
        <v>0.19</v>
      </c>
      <c r="P25" s="14">
        <v>0.14000000000000001</v>
      </c>
      <c r="Q25" s="14">
        <v>0.17</v>
      </c>
      <c r="R25" s="14">
        <v>0.19</v>
      </c>
      <c r="S25" s="14">
        <v>0.15</v>
      </c>
      <c r="T25" s="14">
        <v>0.14000000000000001</v>
      </c>
      <c r="U25" s="14">
        <v>0.21</v>
      </c>
      <c r="V25" s="14">
        <v>0.15</v>
      </c>
      <c r="W25" s="14">
        <v>0.15</v>
      </c>
      <c r="X25" s="14">
        <v>0.24</v>
      </c>
      <c r="Y25" s="14">
        <v>0.16</v>
      </c>
      <c r="Z25" s="14">
        <v>0.19</v>
      </c>
      <c r="AA25" s="14">
        <v>0.11</v>
      </c>
      <c r="AB25" s="14">
        <v>0.18</v>
      </c>
      <c r="AC25" s="14">
        <v>0.13</v>
      </c>
      <c r="AD25" s="14">
        <v>0.18</v>
      </c>
      <c r="AE25" s="14">
        <v>0.19</v>
      </c>
      <c r="AF25" s="14">
        <v>0.18</v>
      </c>
    </row>
    <row r="26" spans="1:32" x14ac:dyDescent="0.25">
      <c r="A26" s="19"/>
      <c r="B26" s="11" t="s">
        <v>422</v>
      </c>
      <c r="C26" s="12">
        <v>5723</v>
      </c>
      <c r="D26" s="12">
        <v>254</v>
      </c>
      <c r="E26" s="12">
        <v>136</v>
      </c>
      <c r="F26" s="12">
        <v>162</v>
      </c>
      <c r="G26" s="12">
        <v>183</v>
      </c>
      <c r="H26" s="12">
        <v>214</v>
      </c>
      <c r="I26" s="12">
        <v>268</v>
      </c>
      <c r="J26" s="12">
        <v>55</v>
      </c>
      <c r="K26" s="12">
        <v>132</v>
      </c>
      <c r="L26" s="12">
        <v>213</v>
      </c>
      <c r="M26" s="12">
        <v>227</v>
      </c>
      <c r="N26" s="12">
        <v>230</v>
      </c>
      <c r="O26" s="12">
        <v>228</v>
      </c>
      <c r="P26" s="12">
        <v>197</v>
      </c>
      <c r="Q26" s="12">
        <v>272</v>
      </c>
      <c r="R26" s="12">
        <v>114</v>
      </c>
      <c r="S26" s="12">
        <v>141</v>
      </c>
      <c r="T26" s="12">
        <v>165</v>
      </c>
      <c r="U26" s="12">
        <v>90</v>
      </c>
      <c r="V26" s="12">
        <v>165</v>
      </c>
      <c r="W26" s="12">
        <v>93</v>
      </c>
      <c r="X26" s="12">
        <v>270</v>
      </c>
      <c r="Y26" s="12">
        <v>173</v>
      </c>
      <c r="Z26" s="12">
        <v>265</v>
      </c>
      <c r="AA26" s="12">
        <v>171</v>
      </c>
      <c r="AB26" s="12">
        <v>245</v>
      </c>
      <c r="AC26" s="12">
        <v>138</v>
      </c>
      <c r="AD26" s="12">
        <v>188</v>
      </c>
      <c r="AE26" s="12">
        <v>225</v>
      </c>
      <c r="AF26" s="12">
        <v>193</v>
      </c>
    </row>
    <row r="27" spans="1:32" x14ac:dyDescent="0.25">
      <c r="A27" s="19"/>
      <c r="B27" s="13" t="s">
        <v>422</v>
      </c>
      <c r="C27" s="14">
        <v>0.22</v>
      </c>
      <c r="D27" s="14">
        <v>0.25</v>
      </c>
      <c r="E27" s="14">
        <v>0.13</v>
      </c>
      <c r="F27" s="14">
        <v>0.15</v>
      </c>
      <c r="G27" s="14">
        <v>0.18</v>
      </c>
      <c r="H27" s="14">
        <v>0.17</v>
      </c>
      <c r="I27" s="14">
        <v>0.18</v>
      </c>
      <c r="J27" s="14">
        <v>0.18</v>
      </c>
      <c r="K27" s="14">
        <v>0.13</v>
      </c>
      <c r="L27" s="14">
        <v>0.21</v>
      </c>
      <c r="M27" s="14">
        <v>0.23</v>
      </c>
      <c r="N27" s="14">
        <v>0.23</v>
      </c>
      <c r="O27" s="14">
        <v>0.23</v>
      </c>
      <c r="P27" s="14">
        <v>0.2</v>
      </c>
      <c r="Q27" s="14">
        <v>0.26</v>
      </c>
      <c r="R27" s="14">
        <v>0.23</v>
      </c>
      <c r="S27" s="14">
        <v>0.14000000000000001</v>
      </c>
      <c r="T27" s="14">
        <v>0.16</v>
      </c>
      <c r="U27" s="14">
        <v>0.18</v>
      </c>
      <c r="V27" s="14">
        <v>0.16</v>
      </c>
      <c r="W27" s="14">
        <v>0.19</v>
      </c>
      <c r="X27" s="14">
        <v>0.27</v>
      </c>
      <c r="Y27" s="14">
        <v>0.17</v>
      </c>
      <c r="Z27" s="14">
        <v>0.26</v>
      </c>
      <c r="AA27" s="14">
        <v>0.16</v>
      </c>
      <c r="AB27" s="14">
        <v>0.23</v>
      </c>
      <c r="AC27" s="14">
        <v>0.14000000000000001</v>
      </c>
      <c r="AD27" s="14">
        <v>0.19</v>
      </c>
      <c r="AE27" s="14">
        <v>0.22</v>
      </c>
      <c r="AF27" s="14">
        <v>0.19</v>
      </c>
    </row>
    <row r="28" spans="1:32" x14ac:dyDescent="0.25">
      <c r="A28" s="19"/>
      <c r="B28" s="11" t="s">
        <v>423</v>
      </c>
      <c r="C28" s="12">
        <v>3111</v>
      </c>
      <c r="D28" s="12">
        <v>137</v>
      </c>
      <c r="E28" s="12">
        <v>90</v>
      </c>
      <c r="F28" s="12">
        <v>88</v>
      </c>
      <c r="G28" s="12">
        <v>103</v>
      </c>
      <c r="H28" s="12">
        <v>93</v>
      </c>
      <c r="I28" s="12">
        <v>121</v>
      </c>
      <c r="J28" s="12">
        <v>28</v>
      </c>
      <c r="K28" s="12">
        <v>75</v>
      </c>
      <c r="L28" s="12">
        <v>117</v>
      </c>
      <c r="M28" s="12">
        <v>95</v>
      </c>
      <c r="N28" s="12">
        <v>153</v>
      </c>
      <c r="O28" s="12">
        <v>104</v>
      </c>
      <c r="P28" s="12">
        <v>109</v>
      </c>
      <c r="Q28" s="12">
        <v>175</v>
      </c>
      <c r="R28" s="12">
        <v>57</v>
      </c>
      <c r="S28" s="12">
        <v>115</v>
      </c>
      <c r="T28" s="12">
        <v>86</v>
      </c>
      <c r="U28" s="12">
        <v>65</v>
      </c>
      <c r="V28" s="12">
        <v>93</v>
      </c>
      <c r="W28" s="12">
        <v>103</v>
      </c>
      <c r="X28" s="12">
        <v>110</v>
      </c>
      <c r="Y28" s="12">
        <v>91</v>
      </c>
      <c r="Z28" s="12">
        <v>144</v>
      </c>
      <c r="AA28" s="12">
        <v>174</v>
      </c>
      <c r="AB28" s="12">
        <v>117</v>
      </c>
      <c r="AC28" s="12">
        <v>68</v>
      </c>
      <c r="AD28" s="12">
        <v>75</v>
      </c>
      <c r="AE28" s="12">
        <v>136</v>
      </c>
      <c r="AF28" s="12">
        <v>95</v>
      </c>
    </row>
    <row r="29" spans="1:32" x14ac:dyDescent="0.25">
      <c r="A29" s="19"/>
      <c r="B29" s="13" t="s">
        <v>423</v>
      </c>
      <c r="C29" s="14">
        <v>0.12</v>
      </c>
      <c r="D29" s="14">
        <v>0.14000000000000001</v>
      </c>
      <c r="E29" s="14">
        <v>0.09</v>
      </c>
      <c r="F29" s="14">
        <v>0.08</v>
      </c>
      <c r="G29" s="14">
        <v>0.1</v>
      </c>
      <c r="H29" s="14">
        <v>0.08</v>
      </c>
      <c r="I29" s="14">
        <v>0.08</v>
      </c>
      <c r="J29" s="14">
        <v>0.09</v>
      </c>
      <c r="K29" s="14">
        <v>7.0000000000000007E-2</v>
      </c>
      <c r="L29" s="14">
        <v>0.12</v>
      </c>
      <c r="M29" s="14">
        <v>0.09</v>
      </c>
      <c r="N29" s="14">
        <v>0.15</v>
      </c>
      <c r="O29" s="14">
        <v>0.1</v>
      </c>
      <c r="P29" s="14">
        <v>0.11</v>
      </c>
      <c r="Q29" s="14">
        <v>0.17</v>
      </c>
      <c r="R29" s="14">
        <v>0.11</v>
      </c>
      <c r="S29" s="14">
        <v>0.11</v>
      </c>
      <c r="T29" s="14">
        <v>0.08</v>
      </c>
      <c r="U29" s="14">
        <v>0.13</v>
      </c>
      <c r="V29" s="14">
        <v>0.09</v>
      </c>
      <c r="W29" s="14">
        <v>0.2</v>
      </c>
      <c r="X29" s="14">
        <v>0.11</v>
      </c>
      <c r="Y29" s="14">
        <v>0.09</v>
      </c>
      <c r="Z29" s="14">
        <v>0.14000000000000001</v>
      </c>
      <c r="AA29" s="14">
        <v>0.17</v>
      </c>
      <c r="AB29" s="14">
        <v>0.11</v>
      </c>
      <c r="AC29" s="14">
        <v>7.0000000000000007E-2</v>
      </c>
      <c r="AD29" s="14">
        <v>7.0000000000000007E-2</v>
      </c>
      <c r="AE29" s="14">
        <v>0.14000000000000001</v>
      </c>
      <c r="AF29" s="14">
        <v>0.09</v>
      </c>
    </row>
    <row r="30" spans="1:32" ht="23.25" x14ac:dyDescent="0.25">
      <c r="A30" s="19"/>
      <c r="B30" s="11" t="s">
        <v>424</v>
      </c>
      <c r="C30" s="12">
        <v>3865</v>
      </c>
      <c r="D30" s="12">
        <v>94</v>
      </c>
      <c r="E30" s="12">
        <v>140</v>
      </c>
      <c r="F30" s="12">
        <v>132</v>
      </c>
      <c r="G30" s="12">
        <v>124</v>
      </c>
      <c r="H30" s="12">
        <v>173</v>
      </c>
      <c r="I30" s="12">
        <v>209</v>
      </c>
      <c r="J30" s="12">
        <v>36</v>
      </c>
      <c r="K30" s="12">
        <v>147</v>
      </c>
      <c r="L30" s="12">
        <v>221</v>
      </c>
      <c r="M30" s="12">
        <v>49</v>
      </c>
      <c r="N30" s="12">
        <v>199</v>
      </c>
      <c r="O30" s="12">
        <v>134</v>
      </c>
      <c r="P30" s="12">
        <v>188</v>
      </c>
      <c r="Q30" s="12">
        <v>191</v>
      </c>
      <c r="R30" s="12">
        <v>86</v>
      </c>
      <c r="S30" s="12">
        <v>171</v>
      </c>
      <c r="T30" s="12">
        <v>158</v>
      </c>
      <c r="U30" s="12">
        <v>108</v>
      </c>
      <c r="V30" s="12">
        <v>114</v>
      </c>
      <c r="W30" s="12">
        <v>133</v>
      </c>
      <c r="X30" s="12">
        <v>53</v>
      </c>
      <c r="Y30" s="12">
        <v>166</v>
      </c>
      <c r="Z30" s="12">
        <v>183</v>
      </c>
      <c r="AA30" s="12">
        <v>215</v>
      </c>
      <c r="AB30" s="12">
        <v>89</v>
      </c>
      <c r="AC30" s="12">
        <v>194</v>
      </c>
      <c r="AD30" s="12">
        <v>61</v>
      </c>
      <c r="AE30" s="12">
        <v>101</v>
      </c>
      <c r="AF30" s="12">
        <v>127</v>
      </c>
    </row>
    <row r="31" spans="1:32" x14ac:dyDescent="0.25">
      <c r="A31" s="19"/>
      <c r="B31" s="13" t="s">
        <v>425</v>
      </c>
      <c r="C31" s="14">
        <v>0.15</v>
      </c>
      <c r="D31" s="14">
        <v>0.09</v>
      </c>
      <c r="E31" s="14">
        <v>0.13</v>
      </c>
      <c r="F31" s="14">
        <v>0.12</v>
      </c>
      <c r="G31" s="14">
        <v>0.12</v>
      </c>
      <c r="H31" s="14">
        <v>0.14000000000000001</v>
      </c>
      <c r="I31" s="14">
        <v>0.14000000000000001</v>
      </c>
      <c r="J31" s="14">
        <v>0.12</v>
      </c>
      <c r="K31" s="14">
        <v>0.15</v>
      </c>
      <c r="L31" s="14">
        <v>0.22</v>
      </c>
      <c r="M31" s="14">
        <v>0.05</v>
      </c>
      <c r="N31" s="14">
        <v>0.2</v>
      </c>
      <c r="O31" s="14">
        <v>0.14000000000000001</v>
      </c>
      <c r="P31" s="14">
        <v>0.19</v>
      </c>
      <c r="Q31" s="14">
        <v>0.19</v>
      </c>
      <c r="R31" s="14">
        <v>0.17</v>
      </c>
      <c r="S31" s="14">
        <v>0.17</v>
      </c>
      <c r="T31" s="14">
        <v>0.15</v>
      </c>
      <c r="U31" s="14">
        <v>0.21</v>
      </c>
      <c r="V31" s="14">
        <v>0.11</v>
      </c>
      <c r="W31" s="14">
        <v>0.26</v>
      </c>
      <c r="X31" s="14">
        <v>0.05</v>
      </c>
      <c r="Y31" s="14">
        <v>0.16</v>
      </c>
      <c r="Z31" s="14">
        <v>0.18</v>
      </c>
      <c r="AA31" s="14">
        <v>0.21</v>
      </c>
      <c r="AB31" s="14">
        <v>0.09</v>
      </c>
      <c r="AC31" s="14">
        <v>0.19</v>
      </c>
      <c r="AD31" s="14">
        <v>0.06</v>
      </c>
      <c r="AE31" s="14">
        <v>0.1</v>
      </c>
      <c r="AF31" s="14">
        <v>0.13</v>
      </c>
    </row>
    <row r="32" spans="1:32" x14ac:dyDescent="0.25">
      <c r="A32" s="19"/>
      <c r="B32" s="11" t="s">
        <v>224</v>
      </c>
      <c r="C32" s="12">
        <v>420</v>
      </c>
      <c r="D32" s="12">
        <v>3</v>
      </c>
      <c r="E32" s="12">
        <v>47</v>
      </c>
      <c r="F32" s="12">
        <v>5</v>
      </c>
      <c r="G32" s="12">
        <v>13</v>
      </c>
      <c r="H32" s="12">
        <v>13</v>
      </c>
      <c r="I32" s="12">
        <v>17</v>
      </c>
      <c r="J32" s="12">
        <v>4</v>
      </c>
      <c r="K32" s="12">
        <v>19</v>
      </c>
      <c r="L32" s="12">
        <v>10</v>
      </c>
      <c r="M32" s="12">
        <v>44</v>
      </c>
      <c r="N32" s="12">
        <v>24</v>
      </c>
      <c r="O32" s="12">
        <v>21</v>
      </c>
      <c r="P32" s="12">
        <v>10</v>
      </c>
      <c r="Q32" s="12">
        <v>5</v>
      </c>
      <c r="R32" s="12">
        <v>11</v>
      </c>
      <c r="S32" s="12">
        <v>18</v>
      </c>
      <c r="T32" s="12">
        <v>36</v>
      </c>
      <c r="U32" s="12">
        <v>6</v>
      </c>
      <c r="V32" s="12">
        <v>16</v>
      </c>
      <c r="W32" s="12">
        <v>8</v>
      </c>
      <c r="X32" s="12">
        <v>1</v>
      </c>
      <c r="Y32" s="12">
        <v>18</v>
      </c>
      <c r="Z32" s="12">
        <v>7</v>
      </c>
      <c r="AA32" s="12">
        <v>45</v>
      </c>
      <c r="AB32" s="12">
        <v>53</v>
      </c>
      <c r="AC32" s="12">
        <v>5</v>
      </c>
      <c r="AD32" s="12">
        <v>7</v>
      </c>
      <c r="AE32" s="12">
        <v>13</v>
      </c>
      <c r="AF32" s="12">
        <v>2</v>
      </c>
    </row>
    <row r="33" spans="1:32" x14ac:dyDescent="0.25">
      <c r="A33" s="19"/>
      <c r="B33" s="13" t="s">
        <v>237</v>
      </c>
      <c r="C33" s="14">
        <v>0.02</v>
      </c>
      <c r="D33" s="15" t="s">
        <v>213</v>
      </c>
      <c r="E33" s="14">
        <v>0.04</v>
      </c>
      <c r="F33" s="14">
        <v>0.01</v>
      </c>
      <c r="G33" s="14">
        <v>0.01</v>
      </c>
      <c r="H33" s="14">
        <v>0.01</v>
      </c>
      <c r="I33" s="14">
        <v>0.01</v>
      </c>
      <c r="J33" s="14">
        <v>0.01</v>
      </c>
      <c r="K33" s="14">
        <v>0.02</v>
      </c>
      <c r="L33" s="14">
        <v>0.01</v>
      </c>
      <c r="M33" s="14">
        <v>0.04</v>
      </c>
      <c r="N33" s="14">
        <v>0.02</v>
      </c>
      <c r="O33" s="14">
        <v>0.02</v>
      </c>
      <c r="P33" s="14">
        <v>0.01</v>
      </c>
      <c r="Q33" s="15" t="s">
        <v>213</v>
      </c>
      <c r="R33" s="14">
        <v>0.02</v>
      </c>
      <c r="S33" s="14">
        <v>0.02</v>
      </c>
      <c r="T33" s="14">
        <v>0.03</v>
      </c>
      <c r="U33" s="14">
        <v>0.01</v>
      </c>
      <c r="V33" s="14">
        <v>0.02</v>
      </c>
      <c r="W33" s="14">
        <v>0.02</v>
      </c>
      <c r="X33" s="15" t="s">
        <v>213</v>
      </c>
      <c r="Y33" s="14">
        <v>0.02</v>
      </c>
      <c r="Z33" s="14">
        <v>0.01</v>
      </c>
      <c r="AA33" s="14">
        <v>0.04</v>
      </c>
      <c r="AB33" s="14">
        <v>0.05</v>
      </c>
      <c r="AC33" s="15" t="s">
        <v>213</v>
      </c>
      <c r="AD33" s="14">
        <v>0.01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3407</v>
      </c>
      <c r="D34" s="12">
        <v>104</v>
      </c>
      <c r="E34" s="12">
        <v>256</v>
      </c>
      <c r="F34" s="12">
        <v>261</v>
      </c>
      <c r="G34" s="12">
        <v>185</v>
      </c>
      <c r="H34" s="12">
        <v>250</v>
      </c>
      <c r="I34" s="12">
        <v>297</v>
      </c>
      <c r="J34" s="12">
        <v>46</v>
      </c>
      <c r="K34" s="12">
        <v>257</v>
      </c>
      <c r="L34" s="12">
        <v>115</v>
      </c>
      <c r="M34" s="12">
        <v>138</v>
      </c>
      <c r="N34" s="12">
        <v>91</v>
      </c>
      <c r="O34" s="12">
        <v>111</v>
      </c>
      <c r="P34" s="12">
        <v>141</v>
      </c>
      <c r="Q34" s="12">
        <v>81</v>
      </c>
      <c r="R34" s="12">
        <v>43</v>
      </c>
      <c r="S34" s="12">
        <v>216</v>
      </c>
      <c r="T34" s="12">
        <v>180</v>
      </c>
      <c r="U34" s="12">
        <v>51</v>
      </c>
      <c r="V34" s="12">
        <v>181</v>
      </c>
      <c r="W34" s="12">
        <v>34</v>
      </c>
      <c r="X34" s="12">
        <v>113</v>
      </c>
      <c r="Y34" s="12">
        <v>175</v>
      </c>
      <c r="Z34" s="12">
        <v>46</v>
      </c>
      <c r="AA34" s="12">
        <v>121</v>
      </c>
      <c r="AB34" s="12">
        <v>123</v>
      </c>
      <c r="AC34" s="12">
        <v>218</v>
      </c>
      <c r="AD34" s="12">
        <v>200</v>
      </c>
      <c r="AE34" s="12">
        <v>136</v>
      </c>
      <c r="AF34" s="12">
        <v>179</v>
      </c>
    </row>
    <row r="35" spans="1:32" ht="23.25" x14ac:dyDescent="0.25">
      <c r="A35" s="19"/>
      <c r="B35" s="13" t="s">
        <v>427</v>
      </c>
      <c r="C35" s="14">
        <v>0.12</v>
      </c>
      <c r="D35" s="14">
        <v>0.1</v>
      </c>
      <c r="E35" s="14">
        <v>0.25</v>
      </c>
      <c r="F35" s="14">
        <v>0.25</v>
      </c>
      <c r="G35" s="14">
        <v>0.18</v>
      </c>
      <c r="H35" s="14">
        <v>0.2</v>
      </c>
      <c r="I35" s="14">
        <v>0.19</v>
      </c>
      <c r="J35" s="14">
        <v>0.16</v>
      </c>
      <c r="K35" s="14">
        <v>0.25</v>
      </c>
      <c r="L35" s="14">
        <v>0.11</v>
      </c>
      <c r="M35" s="14">
        <v>0.14000000000000001</v>
      </c>
      <c r="N35" s="14">
        <v>0.09</v>
      </c>
      <c r="O35" s="14">
        <v>0.11</v>
      </c>
      <c r="P35" s="14">
        <v>0.14000000000000001</v>
      </c>
      <c r="Q35" s="14">
        <v>0.09</v>
      </c>
      <c r="R35" s="14">
        <v>0.09</v>
      </c>
      <c r="S35" s="14">
        <v>0.22</v>
      </c>
      <c r="T35" s="14">
        <v>0.19</v>
      </c>
      <c r="U35" s="14">
        <v>0.1</v>
      </c>
      <c r="V35" s="14">
        <v>0.18</v>
      </c>
      <c r="W35" s="14">
        <v>7.0000000000000007E-2</v>
      </c>
      <c r="X35" s="14">
        <v>0.11</v>
      </c>
      <c r="Y35" s="14">
        <v>0.18</v>
      </c>
      <c r="Z35" s="14">
        <v>0.04</v>
      </c>
      <c r="AA35" s="14">
        <v>0.12</v>
      </c>
      <c r="AB35" s="14">
        <v>0.12</v>
      </c>
      <c r="AC35" s="14">
        <v>0.22</v>
      </c>
      <c r="AD35" s="14">
        <v>0.2</v>
      </c>
      <c r="AE35" s="14">
        <v>0.14000000000000001</v>
      </c>
      <c r="AF35" s="14">
        <v>0.17</v>
      </c>
    </row>
    <row r="36" spans="1:32" ht="23.25" x14ac:dyDescent="0.25">
      <c r="A36" s="19"/>
      <c r="B36" s="11" t="s">
        <v>428</v>
      </c>
      <c r="C36" s="12">
        <v>5319</v>
      </c>
      <c r="D36" s="12">
        <v>214</v>
      </c>
      <c r="E36" s="12">
        <v>240</v>
      </c>
      <c r="F36" s="12">
        <v>275</v>
      </c>
      <c r="G36" s="12">
        <v>231</v>
      </c>
      <c r="H36" s="12">
        <v>301</v>
      </c>
      <c r="I36" s="12">
        <v>374</v>
      </c>
      <c r="J36" s="12">
        <v>73</v>
      </c>
      <c r="K36" s="12">
        <v>224</v>
      </c>
      <c r="L36" s="12">
        <v>143</v>
      </c>
      <c r="M36" s="12">
        <v>279</v>
      </c>
      <c r="N36" s="12">
        <v>139</v>
      </c>
      <c r="O36" s="12">
        <v>215</v>
      </c>
      <c r="P36" s="12">
        <v>212</v>
      </c>
      <c r="Q36" s="12">
        <v>129</v>
      </c>
      <c r="R36" s="12">
        <v>96</v>
      </c>
      <c r="S36" s="12">
        <v>196</v>
      </c>
      <c r="T36" s="12">
        <v>250</v>
      </c>
      <c r="U36" s="12">
        <v>81</v>
      </c>
      <c r="V36" s="12">
        <v>299</v>
      </c>
      <c r="W36" s="12">
        <v>57</v>
      </c>
      <c r="X36" s="12">
        <v>220</v>
      </c>
      <c r="Y36" s="12">
        <v>215</v>
      </c>
      <c r="Z36" s="12">
        <v>179</v>
      </c>
      <c r="AA36" s="12">
        <v>192</v>
      </c>
      <c r="AB36" s="12">
        <v>228</v>
      </c>
      <c r="AC36" s="12">
        <v>252</v>
      </c>
      <c r="AD36" s="12">
        <v>290</v>
      </c>
      <c r="AE36" s="12">
        <v>198</v>
      </c>
      <c r="AF36" s="12">
        <v>250</v>
      </c>
    </row>
    <row r="37" spans="1:32" ht="23.25" x14ac:dyDescent="0.25">
      <c r="A37" s="19"/>
      <c r="B37" s="13" t="s">
        <v>429</v>
      </c>
      <c r="C37" s="14">
        <v>0.2</v>
      </c>
      <c r="D37" s="14">
        <v>0.21</v>
      </c>
      <c r="E37" s="14">
        <v>0.23</v>
      </c>
      <c r="F37" s="14">
        <v>0.26</v>
      </c>
      <c r="G37" s="14">
        <v>0.23</v>
      </c>
      <c r="H37" s="14">
        <v>0.25</v>
      </c>
      <c r="I37" s="14">
        <v>0.24</v>
      </c>
      <c r="J37" s="14">
        <v>0.25</v>
      </c>
      <c r="K37" s="14">
        <v>0.23</v>
      </c>
      <c r="L37" s="14">
        <v>0.15</v>
      </c>
      <c r="M37" s="14">
        <v>0.28000000000000003</v>
      </c>
      <c r="N37" s="14">
        <v>0.14000000000000001</v>
      </c>
      <c r="O37" s="14">
        <v>0.21</v>
      </c>
      <c r="P37" s="14">
        <v>0.21</v>
      </c>
      <c r="Q37" s="14">
        <v>0.12</v>
      </c>
      <c r="R37" s="14">
        <v>0.19</v>
      </c>
      <c r="S37" s="14">
        <v>0.19</v>
      </c>
      <c r="T37" s="14">
        <v>0.25</v>
      </c>
      <c r="U37" s="14">
        <v>0.16</v>
      </c>
      <c r="V37" s="14">
        <v>0.28999999999999998</v>
      </c>
      <c r="W37" s="14">
        <v>0.11</v>
      </c>
      <c r="X37" s="14">
        <v>0.22</v>
      </c>
      <c r="Y37" s="14">
        <v>0.22</v>
      </c>
      <c r="Z37" s="14">
        <v>0.18</v>
      </c>
      <c r="AA37" s="14">
        <v>0.19</v>
      </c>
      <c r="AB37" s="14">
        <v>0.22</v>
      </c>
      <c r="AC37" s="14">
        <v>0.25</v>
      </c>
      <c r="AD37" s="14">
        <v>0.28999999999999998</v>
      </c>
      <c r="AE37" s="14">
        <v>0.2</v>
      </c>
      <c r="AF37" s="14">
        <v>0.24</v>
      </c>
    </row>
    <row r="38" spans="1:32" ht="23.25" x14ac:dyDescent="0.25">
      <c r="A38" s="19"/>
      <c r="B38" s="11" t="s">
        <v>430</v>
      </c>
      <c r="C38" s="12">
        <v>17308</v>
      </c>
      <c r="D38" s="12">
        <v>700</v>
      </c>
      <c r="E38" s="12">
        <v>503</v>
      </c>
      <c r="F38" s="12">
        <v>523</v>
      </c>
      <c r="G38" s="12">
        <v>588</v>
      </c>
      <c r="H38" s="12">
        <v>666</v>
      </c>
      <c r="I38" s="12">
        <v>839</v>
      </c>
      <c r="J38" s="12">
        <v>174</v>
      </c>
      <c r="K38" s="12">
        <v>506</v>
      </c>
      <c r="L38" s="12">
        <v>737</v>
      </c>
      <c r="M38" s="12">
        <v>544</v>
      </c>
      <c r="N38" s="12">
        <v>757</v>
      </c>
      <c r="O38" s="12">
        <v>657</v>
      </c>
      <c r="P38" s="12">
        <v>639</v>
      </c>
      <c r="Q38" s="12">
        <v>816</v>
      </c>
      <c r="R38" s="12">
        <v>351</v>
      </c>
      <c r="S38" s="12">
        <v>573</v>
      </c>
      <c r="T38" s="12">
        <v>556</v>
      </c>
      <c r="U38" s="12">
        <v>371</v>
      </c>
      <c r="V38" s="12">
        <v>531</v>
      </c>
      <c r="W38" s="12">
        <v>402</v>
      </c>
      <c r="X38" s="12">
        <v>676</v>
      </c>
      <c r="Y38" s="12">
        <v>594</v>
      </c>
      <c r="Z38" s="12">
        <v>784</v>
      </c>
      <c r="AA38" s="12">
        <v>680</v>
      </c>
      <c r="AB38" s="12">
        <v>638</v>
      </c>
      <c r="AC38" s="12">
        <v>530</v>
      </c>
      <c r="AD38" s="12">
        <v>506</v>
      </c>
      <c r="AE38" s="12">
        <v>654</v>
      </c>
      <c r="AF38" s="12">
        <v>601</v>
      </c>
    </row>
    <row r="39" spans="1:32" ht="23.25" x14ac:dyDescent="0.25">
      <c r="A39" s="19"/>
      <c r="B39" s="13" t="s">
        <v>431</v>
      </c>
      <c r="C39" s="14">
        <v>0.66</v>
      </c>
      <c r="D39" s="14">
        <v>0.69000000000000006</v>
      </c>
      <c r="E39" s="14">
        <v>0.48</v>
      </c>
      <c r="F39" s="14">
        <v>0.48</v>
      </c>
      <c r="G39" s="14">
        <v>0.57999999999999996</v>
      </c>
      <c r="H39" s="14">
        <v>0.54</v>
      </c>
      <c r="I39" s="14">
        <v>0.56000000000000005</v>
      </c>
      <c r="J39" s="14">
        <v>0.57999999999999996</v>
      </c>
      <c r="K39" s="14">
        <v>0.5</v>
      </c>
      <c r="L39" s="14">
        <v>0.73</v>
      </c>
      <c r="M39" s="14">
        <v>0.54</v>
      </c>
      <c r="N39" s="14">
        <v>0.75</v>
      </c>
      <c r="O39" s="14">
        <v>0.66</v>
      </c>
      <c r="P39" s="14">
        <v>0.64</v>
      </c>
      <c r="Q39" s="14">
        <v>0.79</v>
      </c>
      <c r="R39" s="14">
        <v>0.70000000000000007</v>
      </c>
      <c r="S39" s="14">
        <v>0.57000000000000006</v>
      </c>
      <c r="T39" s="14">
        <v>0.53</v>
      </c>
      <c r="U39" s="14">
        <v>0.73</v>
      </c>
      <c r="V39" s="14">
        <v>0.51</v>
      </c>
      <c r="W39" s="14">
        <v>0.8</v>
      </c>
      <c r="X39" s="14">
        <v>0.67</v>
      </c>
      <c r="Y39" s="14">
        <v>0.57999999999999996</v>
      </c>
      <c r="Z39" s="14">
        <v>0.77</v>
      </c>
      <c r="AA39" s="14">
        <v>0.65</v>
      </c>
      <c r="AB39" s="14">
        <v>0.61</v>
      </c>
      <c r="AC39" s="14">
        <v>0.53</v>
      </c>
      <c r="AD39" s="14">
        <v>0.5</v>
      </c>
      <c r="AE39" s="14">
        <v>0.65</v>
      </c>
      <c r="AF39" s="14">
        <v>0.59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436</v>
      </c>
      <c r="C3" s="18"/>
      <c r="D3" s="18"/>
      <c r="E3" s="18"/>
      <c r="F3" s="18"/>
      <c r="H3" s="18" t="s">
        <v>437</v>
      </c>
      <c r="I3" s="18"/>
      <c r="J3" s="18"/>
      <c r="K3" s="18"/>
      <c r="L3" s="18"/>
    </row>
    <row r="4" spans="1:32" ht="27" customHeight="1" x14ac:dyDescent="0.25">
      <c r="B4" s="18" t="s">
        <v>438</v>
      </c>
      <c r="C4" s="18"/>
      <c r="D4" s="18"/>
      <c r="E4" s="18"/>
      <c r="F4" s="18"/>
      <c r="H4" s="18" t="s">
        <v>439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895</v>
      </c>
      <c r="D12" s="12">
        <v>37</v>
      </c>
      <c r="E12" s="12">
        <v>80</v>
      </c>
      <c r="F12" s="12">
        <v>70</v>
      </c>
      <c r="G12" s="12">
        <v>54</v>
      </c>
      <c r="H12" s="12">
        <v>47</v>
      </c>
      <c r="I12" s="12">
        <v>61</v>
      </c>
      <c r="J12" s="12">
        <v>14</v>
      </c>
      <c r="K12" s="12">
        <v>67</v>
      </c>
      <c r="L12" s="12">
        <v>55</v>
      </c>
      <c r="M12" s="12">
        <v>12</v>
      </c>
      <c r="N12" s="12">
        <v>35</v>
      </c>
      <c r="O12" s="12">
        <v>35</v>
      </c>
      <c r="P12" s="12">
        <v>20</v>
      </c>
      <c r="Q12" s="12">
        <v>33</v>
      </c>
      <c r="R12" s="12">
        <v>11</v>
      </c>
      <c r="S12" s="12">
        <v>76</v>
      </c>
      <c r="T12" s="12">
        <v>47</v>
      </c>
      <c r="U12" s="12">
        <v>17</v>
      </c>
      <c r="V12" s="12">
        <v>32</v>
      </c>
      <c r="W12" s="12">
        <v>17</v>
      </c>
      <c r="X12" s="12">
        <v>21</v>
      </c>
      <c r="Y12" s="12">
        <v>65</v>
      </c>
      <c r="Z12" s="12">
        <v>3</v>
      </c>
      <c r="AA12" s="12">
        <v>19</v>
      </c>
      <c r="AB12" s="12">
        <v>30</v>
      </c>
      <c r="AC12" s="12">
        <v>84</v>
      </c>
      <c r="AD12" s="12">
        <v>43</v>
      </c>
      <c r="AE12" s="12">
        <v>31</v>
      </c>
      <c r="AF12" s="12">
        <v>30</v>
      </c>
    </row>
    <row r="13" spans="1:32" x14ac:dyDescent="0.25">
      <c r="A13" s="19"/>
      <c r="B13" s="13" t="s">
        <v>415</v>
      </c>
      <c r="C13" s="14">
        <v>0.03</v>
      </c>
      <c r="D13" s="14">
        <v>0.04</v>
      </c>
      <c r="E13" s="14">
        <v>0.08</v>
      </c>
      <c r="F13" s="14">
        <v>0.06</v>
      </c>
      <c r="G13" s="14">
        <v>0.05</v>
      </c>
      <c r="H13" s="14">
        <v>0.04</v>
      </c>
      <c r="I13" s="14">
        <v>0.04</v>
      </c>
      <c r="J13" s="14">
        <v>0.05</v>
      </c>
      <c r="K13" s="14">
        <v>7.0000000000000007E-2</v>
      </c>
      <c r="L13" s="14">
        <v>0.05</v>
      </c>
      <c r="M13" s="14">
        <v>0.01</v>
      </c>
      <c r="N13" s="14">
        <v>0.04</v>
      </c>
      <c r="O13" s="14">
        <v>0.03</v>
      </c>
      <c r="P13" s="14">
        <v>0.02</v>
      </c>
      <c r="Q13" s="14">
        <v>0.03</v>
      </c>
      <c r="R13" s="14">
        <v>0.02</v>
      </c>
      <c r="S13" s="14">
        <v>0.08</v>
      </c>
      <c r="T13" s="14">
        <v>0.05</v>
      </c>
      <c r="U13" s="14">
        <v>0.03</v>
      </c>
      <c r="V13" s="14">
        <v>0.03</v>
      </c>
      <c r="W13" s="14">
        <v>0.03</v>
      </c>
      <c r="X13" s="14">
        <v>0.02</v>
      </c>
      <c r="Y13" s="14">
        <v>7.0000000000000007E-2</v>
      </c>
      <c r="Z13" s="15" t="s">
        <v>213</v>
      </c>
      <c r="AA13" s="14">
        <v>0.02</v>
      </c>
      <c r="AB13" s="14">
        <v>0.03</v>
      </c>
      <c r="AC13" s="14">
        <v>0.08</v>
      </c>
      <c r="AD13" s="14">
        <v>0.04</v>
      </c>
      <c r="AE13" s="14">
        <v>0.03</v>
      </c>
      <c r="AF13" s="14">
        <v>0.03</v>
      </c>
    </row>
    <row r="14" spans="1:32" x14ac:dyDescent="0.25">
      <c r="A14" s="19"/>
      <c r="B14" s="11" t="s">
        <v>416</v>
      </c>
      <c r="C14" s="12">
        <v>868</v>
      </c>
      <c r="D14" s="12">
        <v>22</v>
      </c>
      <c r="E14" s="12">
        <v>36</v>
      </c>
      <c r="F14" s="12">
        <v>51</v>
      </c>
      <c r="G14" s="12">
        <v>44</v>
      </c>
      <c r="H14" s="12">
        <v>95</v>
      </c>
      <c r="I14" s="12">
        <v>103</v>
      </c>
      <c r="J14" s="12">
        <v>8</v>
      </c>
      <c r="K14" s="12">
        <v>37</v>
      </c>
      <c r="L14" s="12">
        <v>40</v>
      </c>
      <c r="M14" s="12">
        <v>38</v>
      </c>
      <c r="N14" s="12">
        <v>25</v>
      </c>
      <c r="O14" s="12">
        <v>27</v>
      </c>
      <c r="P14" s="12">
        <v>21</v>
      </c>
      <c r="Q14" s="12">
        <v>11</v>
      </c>
      <c r="R14" s="12">
        <v>11</v>
      </c>
      <c r="S14" s="12">
        <v>34</v>
      </c>
      <c r="T14" s="12">
        <v>21</v>
      </c>
      <c r="U14" s="12">
        <v>11</v>
      </c>
      <c r="V14" s="12">
        <v>33</v>
      </c>
      <c r="W14" s="12">
        <v>8</v>
      </c>
      <c r="X14" s="12">
        <v>24</v>
      </c>
      <c r="Y14" s="12">
        <v>28</v>
      </c>
      <c r="Z14" s="12">
        <v>4</v>
      </c>
      <c r="AA14" s="12">
        <v>70</v>
      </c>
      <c r="AB14" s="12">
        <v>20</v>
      </c>
      <c r="AC14" s="12">
        <v>45</v>
      </c>
      <c r="AD14" s="12">
        <v>40</v>
      </c>
      <c r="AE14" s="12">
        <v>36</v>
      </c>
      <c r="AF14" s="12">
        <v>53</v>
      </c>
    </row>
    <row r="15" spans="1:32" x14ac:dyDescent="0.25">
      <c r="A15" s="19"/>
      <c r="B15" s="13" t="s">
        <v>416</v>
      </c>
      <c r="C15" s="14">
        <v>0.03</v>
      </c>
      <c r="D15" s="14">
        <v>0.02</v>
      </c>
      <c r="E15" s="14">
        <v>0.04</v>
      </c>
      <c r="F15" s="14">
        <v>0.05</v>
      </c>
      <c r="G15" s="14">
        <v>0.04</v>
      </c>
      <c r="H15" s="14">
        <v>0.08</v>
      </c>
      <c r="I15" s="14">
        <v>7.0000000000000007E-2</v>
      </c>
      <c r="J15" s="14">
        <v>0.03</v>
      </c>
      <c r="K15" s="14">
        <v>0.04</v>
      </c>
      <c r="L15" s="14">
        <v>0.04</v>
      </c>
      <c r="M15" s="14">
        <v>0.04</v>
      </c>
      <c r="N15" s="14">
        <v>0.02</v>
      </c>
      <c r="O15" s="14">
        <v>0.03</v>
      </c>
      <c r="P15" s="14">
        <v>0.02</v>
      </c>
      <c r="Q15" s="14">
        <v>0.01</v>
      </c>
      <c r="R15" s="14">
        <v>0.02</v>
      </c>
      <c r="S15" s="14">
        <v>0.03</v>
      </c>
      <c r="T15" s="14">
        <v>0.02</v>
      </c>
      <c r="U15" s="14">
        <v>0.02</v>
      </c>
      <c r="V15" s="14">
        <v>0.03</v>
      </c>
      <c r="W15" s="14">
        <v>0.02</v>
      </c>
      <c r="X15" s="14">
        <v>0.02</v>
      </c>
      <c r="Y15" s="14">
        <v>0.03</v>
      </c>
      <c r="Z15" s="15" t="s">
        <v>213</v>
      </c>
      <c r="AA15" s="14">
        <v>7.0000000000000007E-2</v>
      </c>
      <c r="AB15" s="14">
        <v>0.02</v>
      </c>
      <c r="AC15" s="14">
        <v>0.05</v>
      </c>
      <c r="AD15" s="14">
        <v>0.04</v>
      </c>
      <c r="AE15" s="14">
        <v>0.03</v>
      </c>
      <c r="AF15" s="14">
        <v>0.05</v>
      </c>
    </row>
    <row r="16" spans="1:32" x14ac:dyDescent="0.25">
      <c r="A16" s="19"/>
      <c r="B16" s="11" t="s">
        <v>417</v>
      </c>
      <c r="C16" s="12">
        <v>1240</v>
      </c>
      <c r="D16" s="12">
        <v>34</v>
      </c>
      <c r="E16" s="12">
        <v>75</v>
      </c>
      <c r="F16" s="12">
        <v>107</v>
      </c>
      <c r="G16" s="12">
        <v>79</v>
      </c>
      <c r="H16" s="12">
        <v>84</v>
      </c>
      <c r="I16" s="12">
        <v>102</v>
      </c>
      <c r="J16" s="12">
        <v>18</v>
      </c>
      <c r="K16" s="12">
        <v>67</v>
      </c>
      <c r="L16" s="12">
        <v>39</v>
      </c>
      <c r="M16" s="12">
        <v>54</v>
      </c>
      <c r="N16" s="12">
        <v>32</v>
      </c>
      <c r="O16" s="12">
        <v>50</v>
      </c>
      <c r="P16" s="12">
        <v>51</v>
      </c>
      <c r="Q16" s="12">
        <v>19</v>
      </c>
      <c r="R16" s="12">
        <v>7</v>
      </c>
      <c r="S16" s="12">
        <v>49</v>
      </c>
      <c r="T16" s="12">
        <v>47</v>
      </c>
      <c r="U16" s="12">
        <v>14</v>
      </c>
      <c r="V16" s="12">
        <v>56</v>
      </c>
      <c r="W16" s="12">
        <v>13</v>
      </c>
      <c r="X16" s="12">
        <v>46</v>
      </c>
      <c r="Y16" s="12">
        <v>64</v>
      </c>
      <c r="Z16" s="12">
        <v>15</v>
      </c>
      <c r="AA16" s="12">
        <v>84</v>
      </c>
      <c r="AB16" s="12">
        <v>36</v>
      </c>
      <c r="AC16" s="12">
        <v>71</v>
      </c>
      <c r="AD16" s="12">
        <v>58</v>
      </c>
      <c r="AE16" s="12">
        <v>52</v>
      </c>
      <c r="AF16" s="12">
        <v>95</v>
      </c>
    </row>
    <row r="17" spans="1:32" x14ac:dyDescent="0.25">
      <c r="A17" s="19"/>
      <c r="B17" s="13" t="s">
        <v>417</v>
      </c>
      <c r="C17" s="14">
        <v>0.05</v>
      </c>
      <c r="D17" s="14">
        <v>0.03</v>
      </c>
      <c r="E17" s="14">
        <v>7.0000000000000007E-2</v>
      </c>
      <c r="F17" s="14">
        <v>0.1</v>
      </c>
      <c r="G17" s="14">
        <v>0.08</v>
      </c>
      <c r="H17" s="14">
        <v>7.0000000000000007E-2</v>
      </c>
      <c r="I17" s="14">
        <v>7.0000000000000007E-2</v>
      </c>
      <c r="J17" s="14">
        <v>0.06</v>
      </c>
      <c r="K17" s="14">
        <v>7.0000000000000007E-2</v>
      </c>
      <c r="L17" s="14">
        <v>0.04</v>
      </c>
      <c r="M17" s="14">
        <v>0.05</v>
      </c>
      <c r="N17" s="14">
        <v>0.03</v>
      </c>
      <c r="O17" s="14">
        <v>0.05</v>
      </c>
      <c r="P17" s="14">
        <v>0.05</v>
      </c>
      <c r="Q17" s="14">
        <v>0.02</v>
      </c>
      <c r="R17" s="14">
        <v>0.02</v>
      </c>
      <c r="S17" s="14">
        <v>0.05</v>
      </c>
      <c r="T17" s="14">
        <v>0.05</v>
      </c>
      <c r="U17" s="14">
        <v>0.03</v>
      </c>
      <c r="V17" s="14">
        <v>0.06</v>
      </c>
      <c r="W17" s="14">
        <v>0.03</v>
      </c>
      <c r="X17" s="14">
        <v>0.05</v>
      </c>
      <c r="Y17" s="14">
        <v>0.06</v>
      </c>
      <c r="Z17" s="14">
        <v>0.02</v>
      </c>
      <c r="AA17" s="14">
        <v>0.08</v>
      </c>
      <c r="AB17" s="14">
        <v>0.03</v>
      </c>
      <c r="AC17" s="14">
        <v>7.0000000000000007E-2</v>
      </c>
      <c r="AD17" s="14">
        <v>0.06</v>
      </c>
      <c r="AE17" s="14">
        <v>0.05</v>
      </c>
      <c r="AF17" s="14">
        <v>0.09</v>
      </c>
    </row>
    <row r="18" spans="1:32" x14ac:dyDescent="0.25">
      <c r="A18" s="19"/>
      <c r="B18" s="11" t="s">
        <v>418</v>
      </c>
      <c r="C18" s="12">
        <v>1472</v>
      </c>
      <c r="D18" s="12">
        <v>53</v>
      </c>
      <c r="E18" s="12">
        <v>91</v>
      </c>
      <c r="F18" s="12">
        <v>103</v>
      </c>
      <c r="G18" s="12">
        <v>92</v>
      </c>
      <c r="H18" s="12">
        <v>99</v>
      </c>
      <c r="I18" s="12">
        <v>114</v>
      </c>
      <c r="J18" s="12">
        <v>15</v>
      </c>
      <c r="K18" s="12">
        <v>82</v>
      </c>
      <c r="L18" s="12">
        <v>50</v>
      </c>
      <c r="M18" s="12">
        <v>73</v>
      </c>
      <c r="N18" s="12">
        <v>46</v>
      </c>
      <c r="O18" s="12">
        <v>39</v>
      </c>
      <c r="P18" s="12">
        <v>65</v>
      </c>
      <c r="Q18" s="12">
        <v>35</v>
      </c>
      <c r="R18" s="12">
        <v>16</v>
      </c>
      <c r="S18" s="12">
        <v>70</v>
      </c>
      <c r="T18" s="12">
        <v>63</v>
      </c>
      <c r="U18" s="12">
        <v>35</v>
      </c>
      <c r="V18" s="12">
        <v>116</v>
      </c>
      <c r="W18" s="12">
        <v>34</v>
      </c>
      <c r="X18" s="12">
        <v>75</v>
      </c>
      <c r="Y18" s="12">
        <v>74</v>
      </c>
      <c r="Z18" s="12">
        <v>28</v>
      </c>
      <c r="AA18" s="12">
        <v>47</v>
      </c>
      <c r="AB18" s="12">
        <v>40</v>
      </c>
      <c r="AC18" s="12">
        <v>87</v>
      </c>
      <c r="AD18" s="12">
        <v>55</v>
      </c>
      <c r="AE18" s="12">
        <v>69</v>
      </c>
      <c r="AF18" s="12">
        <v>106</v>
      </c>
    </row>
    <row r="19" spans="1:32" x14ac:dyDescent="0.25">
      <c r="A19" s="19"/>
      <c r="B19" s="13" t="s">
        <v>418</v>
      </c>
      <c r="C19" s="14">
        <v>0.06</v>
      </c>
      <c r="D19" s="14">
        <v>0.05</v>
      </c>
      <c r="E19" s="14">
        <v>0.09</v>
      </c>
      <c r="F19" s="14">
        <v>0.1</v>
      </c>
      <c r="G19" s="14">
        <v>0.09</v>
      </c>
      <c r="H19" s="14">
        <v>0.08</v>
      </c>
      <c r="I19" s="14">
        <v>7.0000000000000007E-2</v>
      </c>
      <c r="J19" s="14">
        <v>0.05</v>
      </c>
      <c r="K19" s="14">
        <v>0.08</v>
      </c>
      <c r="L19" s="14">
        <v>0.05</v>
      </c>
      <c r="M19" s="14">
        <v>7.0000000000000007E-2</v>
      </c>
      <c r="N19" s="14">
        <v>0.05</v>
      </c>
      <c r="O19" s="14">
        <v>0.04</v>
      </c>
      <c r="P19" s="14">
        <v>7.0000000000000007E-2</v>
      </c>
      <c r="Q19" s="14">
        <v>0.03</v>
      </c>
      <c r="R19" s="14">
        <v>0.03</v>
      </c>
      <c r="S19" s="14">
        <v>7.0000000000000007E-2</v>
      </c>
      <c r="T19" s="14">
        <v>0.06</v>
      </c>
      <c r="U19" s="14">
        <v>7.0000000000000007E-2</v>
      </c>
      <c r="V19" s="14">
        <v>0.11</v>
      </c>
      <c r="W19" s="14">
        <v>7.0000000000000007E-2</v>
      </c>
      <c r="X19" s="14">
        <v>7.0000000000000007E-2</v>
      </c>
      <c r="Y19" s="14">
        <v>7.0000000000000007E-2</v>
      </c>
      <c r="Z19" s="14">
        <v>0.03</v>
      </c>
      <c r="AA19" s="14">
        <v>0.04</v>
      </c>
      <c r="AB19" s="14">
        <v>0.04</v>
      </c>
      <c r="AC19" s="14">
        <v>0.09</v>
      </c>
      <c r="AD19" s="14">
        <v>0.06</v>
      </c>
      <c r="AE19" s="14">
        <v>7.0000000000000007E-2</v>
      </c>
      <c r="AF19" s="14">
        <v>0.1</v>
      </c>
    </row>
    <row r="20" spans="1:32" x14ac:dyDescent="0.25">
      <c r="A20" s="19"/>
      <c r="B20" s="11" t="s">
        <v>419</v>
      </c>
      <c r="C20" s="12">
        <v>2793</v>
      </c>
      <c r="D20" s="12">
        <v>108</v>
      </c>
      <c r="E20" s="12">
        <v>139</v>
      </c>
      <c r="F20" s="12">
        <v>142</v>
      </c>
      <c r="G20" s="12">
        <v>125</v>
      </c>
      <c r="H20" s="12">
        <v>165</v>
      </c>
      <c r="I20" s="12">
        <v>209</v>
      </c>
      <c r="J20" s="12">
        <v>44</v>
      </c>
      <c r="K20" s="12">
        <v>121</v>
      </c>
      <c r="L20" s="12">
        <v>100</v>
      </c>
      <c r="M20" s="12">
        <v>114</v>
      </c>
      <c r="N20" s="12">
        <v>95</v>
      </c>
      <c r="O20" s="12">
        <v>130</v>
      </c>
      <c r="P20" s="12">
        <v>85</v>
      </c>
      <c r="Q20" s="12">
        <v>56</v>
      </c>
      <c r="R20" s="12">
        <v>50</v>
      </c>
      <c r="S20" s="12">
        <v>104</v>
      </c>
      <c r="T20" s="12">
        <v>155</v>
      </c>
      <c r="U20" s="12">
        <v>56</v>
      </c>
      <c r="V20" s="12">
        <v>138</v>
      </c>
      <c r="W20" s="12">
        <v>42</v>
      </c>
      <c r="X20" s="12">
        <v>104</v>
      </c>
      <c r="Y20" s="12">
        <v>109</v>
      </c>
      <c r="Z20" s="12">
        <v>59</v>
      </c>
      <c r="AA20" s="12">
        <v>60</v>
      </c>
      <c r="AB20" s="12">
        <v>108</v>
      </c>
      <c r="AC20" s="12">
        <v>154</v>
      </c>
      <c r="AD20" s="12">
        <v>143</v>
      </c>
      <c r="AE20" s="12">
        <v>111</v>
      </c>
      <c r="AF20" s="12">
        <v>158</v>
      </c>
    </row>
    <row r="21" spans="1:32" x14ac:dyDescent="0.25">
      <c r="A21" s="19"/>
      <c r="B21" s="13" t="s">
        <v>419</v>
      </c>
      <c r="C21" s="14">
        <v>0.1</v>
      </c>
      <c r="D21" s="14">
        <v>0.11</v>
      </c>
      <c r="E21" s="14">
        <v>0.13</v>
      </c>
      <c r="F21" s="14">
        <v>0.13</v>
      </c>
      <c r="G21" s="14">
        <v>0.12</v>
      </c>
      <c r="H21" s="14">
        <v>0.13</v>
      </c>
      <c r="I21" s="14">
        <v>0.14000000000000001</v>
      </c>
      <c r="J21" s="14">
        <v>0.15</v>
      </c>
      <c r="K21" s="14">
        <v>0.12</v>
      </c>
      <c r="L21" s="14">
        <v>0.1</v>
      </c>
      <c r="M21" s="14">
        <v>0.11</v>
      </c>
      <c r="N21" s="14">
        <v>0.09</v>
      </c>
      <c r="O21" s="14">
        <v>0.13</v>
      </c>
      <c r="P21" s="14">
        <v>0.08</v>
      </c>
      <c r="Q21" s="14">
        <v>0.05</v>
      </c>
      <c r="R21" s="14">
        <v>0.1</v>
      </c>
      <c r="S21" s="14">
        <v>0.1</v>
      </c>
      <c r="T21" s="14">
        <v>0.15</v>
      </c>
      <c r="U21" s="14">
        <v>0.11</v>
      </c>
      <c r="V21" s="14">
        <v>0.14000000000000001</v>
      </c>
      <c r="W21" s="14">
        <v>0.08</v>
      </c>
      <c r="X21" s="14">
        <v>0.1</v>
      </c>
      <c r="Y21" s="14">
        <v>0.11</v>
      </c>
      <c r="Z21" s="14">
        <v>0.06</v>
      </c>
      <c r="AA21" s="14">
        <v>0.06</v>
      </c>
      <c r="AB21" s="14">
        <v>0.1</v>
      </c>
      <c r="AC21" s="14">
        <v>0.15</v>
      </c>
      <c r="AD21" s="14">
        <v>0.14000000000000001</v>
      </c>
      <c r="AE21" s="14">
        <v>0.11</v>
      </c>
      <c r="AF21" s="14">
        <v>0.15</v>
      </c>
    </row>
    <row r="22" spans="1:32" x14ac:dyDescent="0.25">
      <c r="A22" s="19"/>
      <c r="B22" s="11" t="s">
        <v>420</v>
      </c>
      <c r="C22" s="12">
        <v>3086</v>
      </c>
      <c r="D22" s="12">
        <v>133</v>
      </c>
      <c r="E22" s="12">
        <v>130</v>
      </c>
      <c r="F22" s="12">
        <v>125</v>
      </c>
      <c r="G22" s="12">
        <v>134</v>
      </c>
      <c r="H22" s="12">
        <v>151</v>
      </c>
      <c r="I22" s="12">
        <v>192</v>
      </c>
      <c r="J22" s="12">
        <v>41</v>
      </c>
      <c r="K22" s="12">
        <v>116</v>
      </c>
      <c r="L22" s="12">
        <v>81</v>
      </c>
      <c r="M22" s="12">
        <v>130</v>
      </c>
      <c r="N22" s="12">
        <v>102</v>
      </c>
      <c r="O22" s="12">
        <v>133</v>
      </c>
      <c r="P22" s="12">
        <v>118</v>
      </c>
      <c r="Q22" s="12">
        <v>90</v>
      </c>
      <c r="R22" s="12">
        <v>46</v>
      </c>
      <c r="S22" s="12">
        <v>66</v>
      </c>
      <c r="T22" s="12">
        <v>125</v>
      </c>
      <c r="U22" s="12">
        <v>59</v>
      </c>
      <c r="V22" s="12">
        <v>127</v>
      </c>
      <c r="W22" s="12">
        <v>51</v>
      </c>
      <c r="X22" s="12">
        <v>153</v>
      </c>
      <c r="Y22" s="12">
        <v>130</v>
      </c>
      <c r="Z22" s="12">
        <v>112</v>
      </c>
      <c r="AA22" s="12">
        <v>76</v>
      </c>
      <c r="AB22" s="12">
        <v>141</v>
      </c>
      <c r="AC22" s="12">
        <v>115</v>
      </c>
      <c r="AD22" s="12">
        <v>134</v>
      </c>
      <c r="AE22" s="12">
        <v>118</v>
      </c>
      <c r="AF22" s="12">
        <v>130</v>
      </c>
    </row>
    <row r="23" spans="1:32" x14ac:dyDescent="0.25">
      <c r="A23" s="19"/>
      <c r="B23" s="13" t="s">
        <v>420</v>
      </c>
      <c r="C23" s="14">
        <v>0.12</v>
      </c>
      <c r="D23" s="14">
        <v>0.13</v>
      </c>
      <c r="E23" s="14">
        <v>0.12</v>
      </c>
      <c r="F23" s="14">
        <v>0.12</v>
      </c>
      <c r="G23" s="14">
        <v>0.13</v>
      </c>
      <c r="H23" s="14">
        <v>0.12</v>
      </c>
      <c r="I23" s="14">
        <v>0.12</v>
      </c>
      <c r="J23" s="14">
        <v>0.14000000000000001</v>
      </c>
      <c r="K23" s="14">
        <v>0.11</v>
      </c>
      <c r="L23" s="14">
        <v>0.08</v>
      </c>
      <c r="M23" s="14">
        <v>0.13</v>
      </c>
      <c r="N23" s="14">
        <v>0.1</v>
      </c>
      <c r="O23" s="14">
        <v>0.13</v>
      </c>
      <c r="P23" s="14">
        <v>0.12</v>
      </c>
      <c r="Q23" s="14">
        <v>0.09</v>
      </c>
      <c r="R23" s="14">
        <v>0.09</v>
      </c>
      <c r="S23" s="14">
        <v>7.0000000000000007E-2</v>
      </c>
      <c r="T23" s="14">
        <v>0.12</v>
      </c>
      <c r="U23" s="14">
        <v>0.12</v>
      </c>
      <c r="V23" s="14">
        <v>0.12</v>
      </c>
      <c r="W23" s="14">
        <v>0.1</v>
      </c>
      <c r="X23" s="14">
        <v>0.15</v>
      </c>
      <c r="Y23" s="14">
        <v>0.13</v>
      </c>
      <c r="Z23" s="14">
        <v>0.11</v>
      </c>
      <c r="AA23" s="14">
        <v>7.0000000000000007E-2</v>
      </c>
      <c r="AB23" s="14">
        <v>0.14000000000000001</v>
      </c>
      <c r="AC23" s="14">
        <v>0.11</v>
      </c>
      <c r="AD23" s="14">
        <v>0.13</v>
      </c>
      <c r="AE23" s="14">
        <v>0.12</v>
      </c>
      <c r="AF23" s="14">
        <v>0.13</v>
      </c>
    </row>
    <row r="24" spans="1:32" x14ac:dyDescent="0.25">
      <c r="A24" s="19"/>
      <c r="B24" s="11" t="s">
        <v>421</v>
      </c>
      <c r="C24" s="12">
        <v>4415</v>
      </c>
      <c r="D24" s="12">
        <v>192</v>
      </c>
      <c r="E24" s="12">
        <v>151</v>
      </c>
      <c r="F24" s="12">
        <v>120</v>
      </c>
      <c r="G24" s="12">
        <v>173</v>
      </c>
      <c r="H24" s="12">
        <v>190</v>
      </c>
      <c r="I24" s="12">
        <v>238</v>
      </c>
      <c r="J24" s="12">
        <v>48</v>
      </c>
      <c r="K24" s="12">
        <v>134</v>
      </c>
      <c r="L24" s="12">
        <v>170</v>
      </c>
      <c r="M24" s="12">
        <v>197</v>
      </c>
      <c r="N24" s="12">
        <v>164</v>
      </c>
      <c r="O24" s="12">
        <v>181</v>
      </c>
      <c r="P24" s="12">
        <v>141</v>
      </c>
      <c r="Q24" s="12">
        <v>165</v>
      </c>
      <c r="R24" s="12">
        <v>99</v>
      </c>
      <c r="S24" s="12">
        <v>112</v>
      </c>
      <c r="T24" s="12">
        <v>132</v>
      </c>
      <c r="U24" s="12">
        <v>82</v>
      </c>
      <c r="V24" s="12">
        <v>181</v>
      </c>
      <c r="W24" s="12">
        <v>52</v>
      </c>
      <c r="X24" s="12">
        <v>230</v>
      </c>
      <c r="Y24" s="12">
        <v>141</v>
      </c>
      <c r="Z24" s="12">
        <v>176</v>
      </c>
      <c r="AA24" s="12">
        <v>129</v>
      </c>
      <c r="AB24" s="12">
        <v>217</v>
      </c>
      <c r="AC24" s="12">
        <v>129</v>
      </c>
      <c r="AD24" s="12">
        <v>178</v>
      </c>
      <c r="AE24" s="12">
        <v>178</v>
      </c>
      <c r="AF24" s="12">
        <v>141</v>
      </c>
    </row>
    <row r="25" spans="1:32" x14ac:dyDescent="0.25">
      <c r="A25" s="19"/>
      <c r="B25" s="13" t="s">
        <v>421</v>
      </c>
      <c r="C25" s="14">
        <v>0.17</v>
      </c>
      <c r="D25" s="14">
        <v>0.19</v>
      </c>
      <c r="E25" s="14">
        <v>0.14000000000000001</v>
      </c>
      <c r="F25" s="14">
        <v>0.11</v>
      </c>
      <c r="G25" s="14">
        <v>0.17</v>
      </c>
      <c r="H25" s="14">
        <v>0.15</v>
      </c>
      <c r="I25" s="14">
        <v>0.16</v>
      </c>
      <c r="J25" s="14">
        <v>0.16</v>
      </c>
      <c r="K25" s="14">
        <v>0.13</v>
      </c>
      <c r="L25" s="14">
        <v>0.17</v>
      </c>
      <c r="M25" s="14">
        <v>0.2</v>
      </c>
      <c r="N25" s="14">
        <v>0.16</v>
      </c>
      <c r="O25" s="14">
        <v>0.18</v>
      </c>
      <c r="P25" s="14">
        <v>0.14000000000000001</v>
      </c>
      <c r="Q25" s="14">
        <v>0.16</v>
      </c>
      <c r="R25" s="14">
        <v>0.2</v>
      </c>
      <c r="S25" s="14">
        <v>0.11</v>
      </c>
      <c r="T25" s="14">
        <v>0.13</v>
      </c>
      <c r="U25" s="14">
        <v>0.16</v>
      </c>
      <c r="V25" s="14">
        <v>0.18</v>
      </c>
      <c r="W25" s="14">
        <v>0.1</v>
      </c>
      <c r="X25" s="14">
        <v>0.23</v>
      </c>
      <c r="Y25" s="14">
        <v>0.14000000000000001</v>
      </c>
      <c r="Z25" s="14">
        <v>0.17</v>
      </c>
      <c r="AA25" s="14">
        <v>0.12</v>
      </c>
      <c r="AB25" s="14">
        <v>0.21</v>
      </c>
      <c r="AC25" s="14">
        <v>0.13</v>
      </c>
      <c r="AD25" s="14">
        <v>0.18</v>
      </c>
      <c r="AE25" s="14">
        <v>0.18</v>
      </c>
      <c r="AF25" s="14">
        <v>0.14000000000000001</v>
      </c>
    </row>
    <row r="26" spans="1:32" x14ac:dyDescent="0.25">
      <c r="A26" s="19"/>
      <c r="B26" s="11" t="s">
        <v>422</v>
      </c>
      <c r="C26" s="12">
        <v>5000</v>
      </c>
      <c r="D26" s="12">
        <v>216</v>
      </c>
      <c r="E26" s="12">
        <v>105</v>
      </c>
      <c r="F26" s="12">
        <v>147</v>
      </c>
      <c r="G26" s="12">
        <v>160</v>
      </c>
      <c r="H26" s="12">
        <v>154</v>
      </c>
      <c r="I26" s="12">
        <v>205</v>
      </c>
      <c r="J26" s="12">
        <v>51</v>
      </c>
      <c r="K26" s="12">
        <v>128</v>
      </c>
      <c r="L26" s="12">
        <v>199</v>
      </c>
      <c r="M26" s="12">
        <v>199</v>
      </c>
      <c r="N26" s="12">
        <v>197</v>
      </c>
      <c r="O26" s="12">
        <v>194</v>
      </c>
      <c r="P26" s="12">
        <v>188</v>
      </c>
      <c r="Q26" s="12">
        <v>251</v>
      </c>
      <c r="R26" s="12">
        <v>128</v>
      </c>
      <c r="S26" s="12">
        <v>139</v>
      </c>
      <c r="T26" s="12">
        <v>152</v>
      </c>
      <c r="U26" s="12">
        <v>84</v>
      </c>
      <c r="V26" s="12">
        <v>142</v>
      </c>
      <c r="W26" s="12">
        <v>70</v>
      </c>
      <c r="X26" s="12">
        <v>220</v>
      </c>
      <c r="Y26" s="12">
        <v>150</v>
      </c>
      <c r="Z26" s="12">
        <v>267</v>
      </c>
      <c r="AA26" s="12">
        <v>130</v>
      </c>
      <c r="AB26" s="12">
        <v>245</v>
      </c>
      <c r="AC26" s="12">
        <v>86</v>
      </c>
      <c r="AD26" s="12">
        <v>171</v>
      </c>
      <c r="AE26" s="12">
        <v>167</v>
      </c>
      <c r="AF26" s="12">
        <v>174</v>
      </c>
    </row>
    <row r="27" spans="1:32" x14ac:dyDescent="0.25">
      <c r="A27" s="19"/>
      <c r="B27" s="13" t="s">
        <v>422</v>
      </c>
      <c r="C27" s="14">
        <v>0.19</v>
      </c>
      <c r="D27" s="14">
        <v>0.21</v>
      </c>
      <c r="E27" s="14">
        <v>0.1</v>
      </c>
      <c r="F27" s="14">
        <v>0.14000000000000001</v>
      </c>
      <c r="G27" s="14">
        <v>0.16</v>
      </c>
      <c r="H27" s="14">
        <v>0.13</v>
      </c>
      <c r="I27" s="14">
        <v>0.13</v>
      </c>
      <c r="J27" s="14">
        <v>0.17</v>
      </c>
      <c r="K27" s="14">
        <v>0.13</v>
      </c>
      <c r="L27" s="14">
        <v>0.2</v>
      </c>
      <c r="M27" s="14">
        <v>0.2</v>
      </c>
      <c r="N27" s="14">
        <v>0.2</v>
      </c>
      <c r="O27" s="14">
        <v>0.19</v>
      </c>
      <c r="P27" s="14">
        <v>0.19</v>
      </c>
      <c r="Q27" s="14">
        <v>0.24</v>
      </c>
      <c r="R27" s="14">
        <v>0.26</v>
      </c>
      <c r="S27" s="14">
        <v>0.14000000000000001</v>
      </c>
      <c r="T27" s="14">
        <v>0.15</v>
      </c>
      <c r="U27" s="14">
        <v>0.16</v>
      </c>
      <c r="V27" s="14">
        <v>0.14000000000000001</v>
      </c>
      <c r="W27" s="14">
        <v>0.14000000000000001</v>
      </c>
      <c r="X27" s="14">
        <v>0.22</v>
      </c>
      <c r="Y27" s="14">
        <v>0.15</v>
      </c>
      <c r="Z27" s="14">
        <v>0.26</v>
      </c>
      <c r="AA27" s="14">
        <v>0.13</v>
      </c>
      <c r="AB27" s="14">
        <v>0.24</v>
      </c>
      <c r="AC27" s="14">
        <v>0.09</v>
      </c>
      <c r="AD27" s="14">
        <v>0.17</v>
      </c>
      <c r="AE27" s="14">
        <v>0.17</v>
      </c>
      <c r="AF27" s="14">
        <v>0.17</v>
      </c>
    </row>
    <row r="28" spans="1:32" x14ac:dyDescent="0.25">
      <c r="A28" s="19"/>
      <c r="B28" s="11" t="s">
        <v>423</v>
      </c>
      <c r="C28" s="12">
        <v>2763</v>
      </c>
      <c r="D28" s="12">
        <v>112</v>
      </c>
      <c r="E28" s="12">
        <v>70</v>
      </c>
      <c r="F28" s="12">
        <v>70</v>
      </c>
      <c r="G28" s="12">
        <v>56</v>
      </c>
      <c r="H28" s="12">
        <v>80</v>
      </c>
      <c r="I28" s="12">
        <v>104</v>
      </c>
      <c r="J28" s="12">
        <v>23</v>
      </c>
      <c r="K28" s="12">
        <v>91</v>
      </c>
      <c r="L28" s="12">
        <v>91</v>
      </c>
      <c r="M28" s="12">
        <v>109</v>
      </c>
      <c r="N28" s="12">
        <v>133</v>
      </c>
      <c r="O28" s="12">
        <v>77</v>
      </c>
      <c r="P28" s="12">
        <v>101</v>
      </c>
      <c r="Q28" s="12">
        <v>175</v>
      </c>
      <c r="R28" s="12">
        <v>45</v>
      </c>
      <c r="S28" s="12">
        <v>134</v>
      </c>
      <c r="T28" s="12">
        <v>84</v>
      </c>
      <c r="U28" s="12">
        <v>55</v>
      </c>
      <c r="V28" s="12">
        <v>72</v>
      </c>
      <c r="W28" s="12">
        <v>102</v>
      </c>
      <c r="X28" s="12">
        <v>79</v>
      </c>
      <c r="Y28" s="12">
        <v>80</v>
      </c>
      <c r="Z28" s="12">
        <v>152</v>
      </c>
      <c r="AA28" s="12">
        <v>158</v>
      </c>
      <c r="AB28" s="12">
        <v>99</v>
      </c>
      <c r="AC28" s="12">
        <v>54</v>
      </c>
      <c r="AD28" s="12">
        <v>100</v>
      </c>
      <c r="AE28" s="12">
        <v>125</v>
      </c>
      <c r="AF28" s="12">
        <v>68</v>
      </c>
    </row>
    <row r="29" spans="1:32" x14ac:dyDescent="0.25">
      <c r="A29" s="19"/>
      <c r="B29" s="13" t="s">
        <v>423</v>
      </c>
      <c r="C29" s="14">
        <v>0.1</v>
      </c>
      <c r="D29" s="14">
        <v>0.11</v>
      </c>
      <c r="E29" s="14">
        <v>7.0000000000000007E-2</v>
      </c>
      <c r="F29" s="14">
        <v>7.0000000000000007E-2</v>
      </c>
      <c r="G29" s="14">
        <v>0.06</v>
      </c>
      <c r="H29" s="14">
        <v>7.0000000000000007E-2</v>
      </c>
      <c r="I29" s="14">
        <v>7.0000000000000007E-2</v>
      </c>
      <c r="J29" s="14">
        <v>0.08</v>
      </c>
      <c r="K29" s="14">
        <v>0.09</v>
      </c>
      <c r="L29" s="14">
        <v>0.09</v>
      </c>
      <c r="M29" s="14">
        <v>0.11</v>
      </c>
      <c r="N29" s="14">
        <v>0.13</v>
      </c>
      <c r="O29" s="14">
        <v>0.08</v>
      </c>
      <c r="P29" s="14">
        <v>0.1</v>
      </c>
      <c r="Q29" s="14">
        <v>0.17</v>
      </c>
      <c r="R29" s="14">
        <v>0.09</v>
      </c>
      <c r="S29" s="14">
        <v>0.13</v>
      </c>
      <c r="T29" s="14">
        <v>0.08</v>
      </c>
      <c r="U29" s="14">
        <v>0.11</v>
      </c>
      <c r="V29" s="14">
        <v>7.0000000000000007E-2</v>
      </c>
      <c r="W29" s="14">
        <v>0.2</v>
      </c>
      <c r="X29" s="14">
        <v>0.08</v>
      </c>
      <c r="Y29" s="14">
        <v>0.08</v>
      </c>
      <c r="Z29" s="14">
        <v>0.15</v>
      </c>
      <c r="AA29" s="14">
        <v>0.15</v>
      </c>
      <c r="AB29" s="14">
        <v>0.09</v>
      </c>
      <c r="AC29" s="14">
        <v>0.05</v>
      </c>
      <c r="AD29" s="14">
        <v>0.1</v>
      </c>
      <c r="AE29" s="14">
        <v>0.12</v>
      </c>
      <c r="AF29" s="14">
        <v>7.0000000000000007E-2</v>
      </c>
    </row>
    <row r="30" spans="1:32" ht="23.25" x14ac:dyDescent="0.25">
      <c r="A30" s="19"/>
      <c r="B30" s="11" t="s">
        <v>424</v>
      </c>
      <c r="C30" s="12">
        <v>3594</v>
      </c>
      <c r="D30" s="12">
        <v>110</v>
      </c>
      <c r="E30" s="12">
        <v>138</v>
      </c>
      <c r="F30" s="12">
        <v>126</v>
      </c>
      <c r="G30" s="12">
        <v>83</v>
      </c>
      <c r="H30" s="12">
        <v>152</v>
      </c>
      <c r="I30" s="12">
        <v>185</v>
      </c>
      <c r="J30" s="12">
        <v>33</v>
      </c>
      <c r="K30" s="12">
        <v>152</v>
      </c>
      <c r="L30" s="12">
        <v>168</v>
      </c>
      <c r="M30" s="12">
        <v>61</v>
      </c>
      <c r="N30" s="12">
        <v>154</v>
      </c>
      <c r="O30" s="12">
        <v>120</v>
      </c>
      <c r="P30" s="12">
        <v>204</v>
      </c>
      <c r="Q30" s="12">
        <v>190</v>
      </c>
      <c r="R30" s="12">
        <v>80</v>
      </c>
      <c r="S30" s="12">
        <v>206</v>
      </c>
      <c r="T30" s="12">
        <v>190</v>
      </c>
      <c r="U30" s="12">
        <v>82</v>
      </c>
      <c r="V30" s="12">
        <v>115</v>
      </c>
      <c r="W30" s="12">
        <v>101</v>
      </c>
      <c r="X30" s="12">
        <v>56</v>
      </c>
      <c r="Y30" s="12">
        <v>161</v>
      </c>
      <c r="Z30" s="12">
        <v>196</v>
      </c>
      <c r="AA30" s="12">
        <v>233</v>
      </c>
      <c r="AB30" s="12">
        <v>74</v>
      </c>
      <c r="AC30" s="12">
        <v>175</v>
      </c>
      <c r="AD30" s="12">
        <v>75</v>
      </c>
      <c r="AE30" s="12">
        <v>106</v>
      </c>
      <c r="AF30" s="12">
        <v>78</v>
      </c>
    </row>
    <row r="31" spans="1:32" x14ac:dyDescent="0.25">
      <c r="A31" s="19"/>
      <c r="B31" s="13" t="s">
        <v>425</v>
      </c>
      <c r="C31" s="14">
        <v>0.14000000000000001</v>
      </c>
      <c r="D31" s="14">
        <v>0.11</v>
      </c>
      <c r="E31" s="14">
        <v>0.13</v>
      </c>
      <c r="F31" s="14">
        <v>0.12</v>
      </c>
      <c r="G31" s="14">
        <v>0.08</v>
      </c>
      <c r="H31" s="14">
        <v>0.12</v>
      </c>
      <c r="I31" s="14">
        <v>0.12</v>
      </c>
      <c r="J31" s="14">
        <v>0.11</v>
      </c>
      <c r="K31" s="14">
        <v>0.15</v>
      </c>
      <c r="L31" s="14">
        <v>0.17</v>
      </c>
      <c r="M31" s="14">
        <v>0.06</v>
      </c>
      <c r="N31" s="14">
        <v>0.15</v>
      </c>
      <c r="O31" s="14">
        <v>0.12</v>
      </c>
      <c r="P31" s="14">
        <v>0.2</v>
      </c>
      <c r="Q31" s="14">
        <v>0.19</v>
      </c>
      <c r="R31" s="14">
        <v>0.16</v>
      </c>
      <c r="S31" s="14">
        <v>0.21</v>
      </c>
      <c r="T31" s="14">
        <v>0.18</v>
      </c>
      <c r="U31" s="14">
        <v>0.16</v>
      </c>
      <c r="V31" s="14">
        <v>0.11</v>
      </c>
      <c r="W31" s="14">
        <v>0.2</v>
      </c>
      <c r="X31" s="14">
        <v>0.06</v>
      </c>
      <c r="Y31" s="14">
        <v>0.16</v>
      </c>
      <c r="Z31" s="14">
        <v>0.19</v>
      </c>
      <c r="AA31" s="14">
        <v>0.23</v>
      </c>
      <c r="AB31" s="14">
        <v>7.0000000000000007E-2</v>
      </c>
      <c r="AC31" s="14">
        <v>0.17</v>
      </c>
      <c r="AD31" s="14">
        <v>7.0000000000000007E-2</v>
      </c>
      <c r="AE31" s="14">
        <v>0.11</v>
      </c>
      <c r="AF31" s="14">
        <v>7.0000000000000007E-2</v>
      </c>
    </row>
    <row r="32" spans="1:32" x14ac:dyDescent="0.25">
      <c r="A32" s="19"/>
      <c r="B32" s="11" t="s">
        <v>224</v>
      </c>
      <c r="C32" s="12">
        <v>329</v>
      </c>
      <c r="D32" s="12">
        <v>3</v>
      </c>
      <c r="E32" s="12">
        <v>30</v>
      </c>
      <c r="F32" s="12">
        <v>4</v>
      </c>
      <c r="G32" s="12">
        <v>16</v>
      </c>
      <c r="H32" s="12">
        <v>11</v>
      </c>
      <c r="I32" s="12">
        <v>12</v>
      </c>
      <c r="J32" s="12">
        <v>1</v>
      </c>
      <c r="K32" s="12">
        <v>11</v>
      </c>
      <c r="L32" s="12">
        <v>12</v>
      </c>
      <c r="M32" s="12">
        <v>20</v>
      </c>
      <c r="N32" s="12">
        <v>28</v>
      </c>
      <c r="O32" s="12">
        <v>17</v>
      </c>
      <c r="P32" s="12">
        <v>10</v>
      </c>
      <c r="Q32" s="12">
        <v>6</v>
      </c>
      <c r="R32" s="12">
        <v>6</v>
      </c>
      <c r="S32" s="12">
        <v>13</v>
      </c>
      <c r="T32" s="12">
        <v>7</v>
      </c>
      <c r="U32" s="12">
        <v>13</v>
      </c>
      <c r="V32" s="12">
        <v>13</v>
      </c>
      <c r="W32" s="12">
        <v>12</v>
      </c>
      <c r="X32" s="12">
        <v>1</v>
      </c>
      <c r="Y32" s="12">
        <v>1</v>
      </c>
      <c r="Z32" s="12">
        <v>5</v>
      </c>
      <c r="AA32" s="12">
        <v>31</v>
      </c>
      <c r="AB32" s="12">
        <v>31</v>
      </c>
      <c r="AC32" s="12">
        <v>5</v>
      </c>
      <c r="AD32" s="12">
        <v>6</v>
      </c>
      <c r="AE32" s="12">
        <v>7</v>
      </c>
      <c r="AF32" s="12">
        <v>0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0.03</v>
      </c>
      <c r="F33" s="15" t="s">
        <v>213</v>
      </c>
      <c r="G33" s="14">
        <v>0.02</v>
      </c>
      <c r="H33" s="14">
        <v>0.01</v>
      </c>
      <c r="I33" s="14">
        <v>0.01</v>
      </c>
      <c r="J33" s="15" t="s">
        <v>213</v>
      </c>
      <c r="K33" s="14">
        <v>0.01</v>
      </c>
      <c r="L33" s="14">
        <v>0.01</v>
      </c>
      <c r="M33" s="14">
        <v>0.02</v>
      </c>
      <c r="N33" s="14">
        <v>0.03</v>
      </c>
      <c r="O33" s="14">
        <v>0.02</v>
      </c>
      <c r="P33" s="14">
        <v>0.01</v>
      </c>
      <c r="Q33" s="14">
        <v>0.01</v>
      </c>
      <c r="R33" s="14">
        <v>0.01</v>
      </c>
      <c r="S33" s="14">
        <v>0.01</v>
      </c>
      <c r="T33" s="14">
        <v>0.01</v>
      </c>
      <c r="U33" s="14">
        <v>0.03</v>
      </c>
      <c r="V33" s="14">
        <v>0.01</v>
      </c>
      <c r="W33" s="14">
        <v>0.03</v>
      </c>
      <c r="X33" s="15" t="s">
        <v>213</v>
      </c>
      <c r="Y33" s="15" t="s">
        <v>213</v>
      </c>
      <c r="Z33" s="14">
        <v>0.01</v>
      </c>
      <c r="AA33" s="14">
        <v>0.03</v>
      </c>
      <c r="AB33" s="14">
        <v>0.03</v>
      </c>
      <c r="AC33" s="14">
        <v>0.01</v>
      </c>
      <c r="AD33" s="14">
        <v>0.01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4475</v>
      </c>
      <c r="D34" s="12">
        <v>146</v>
      </c>
      <c r="E34" s="12">
        <v>282</v>
      </c>
      <c r="F34" s="12">
        <v>331</v>
      </c>
      <c r="G34" s="12">
        <v>269</v>
      </c>
      <c r="H34" s="12">
        <v>325</v>
      </c>
      <c r="I34" s="12">
        <v>380</v>
      </c>
      <c r="J34" s="12">
        <v>55</v>
      </c>
      <c r="K34" s="12">
        <v>253</v>
      </c>
      <c r="L34" s="12">
        <v>184</v>
      </c>
      <c r="M34" s="12">
        <v>177</v>
      </c>
      <c r="N34" s="12">
        <v>138</v>
      </c>
      <c r="O34" s="12">
        <v>151</v>
      </c>
      <c r="P34" s="12">
        <v>157</v>
      </c>
      <c r="Q34" s="12">
        <v>98</v>
      </c>
      <c r="R34" s="12">
        <v>45</v>
      </c>
      <c r="S34" s="12">
        <v>229</v>
      </c>
      <c r="T34" s="12">
        <v>178</v>
      </c>
      <c r="U34" s="12">
        <v>77</v>
      </c>
      <c r="V34" s="12">
        <v>237</v>
      </c>
      <c r="W34" s="12">
        <v>72</v>
      </c>
      <c r="X34" s="12">
        <v>166</v>
      </c>
      <c r="Y34" s="12">
        <v>231</v>
      </c>
      <c r="Z34" s="12">
        <v>50</v>
      </c>
      <c r="AA34" s="12">
        <v>220</v>
      </c>
      <c r="AB34" s="12">
        <v>126</v>
      </c>
      <c r="AC34" s="12">
        <v>287</v>
      </c>
      <c r="AD34" s="12">
        <v>196</v>
      </c>
      <c r="AE34" s="12">
        <v>188</v>
      </c>
      <c r="AF34" s="12">
        <v>284</v>
      </c>
    </row>
    <row r="35" spans="1:32" ht="23.25" x14ac:dyDescent="0.25">
      <c r="A35" s="19"/>
      <c r="B35" s="13" t="s">
        <v>427</v>
      </c>
      <c r="C35" s="14">
        <v>0.17</v>
      </c>
      <c r="D35" s="14">
        <v>0.14000000000000001</v>
      </c>
      <c r="E35" s="14">
        <v>0.28000000000000003</v>
      </c>
      <c r="F35" s="14">
        <v>0.31</v>
      </c>
      <c r="G35" s="14">
        <v>0.26</v>
      </c>
      <c r="H35" s="14">
        <v>0.27</v>
      </c>
      <c r="I35" s="14">
        <v>0.25</v>
      </c>
      <c r="J35" s="14">
        <v>0.19</v>
      </c>
      <c r="K35" s="14">
        <v>0.26</v>
      </c>
      <c r="L35" s="14">
        <v>0.18</v>
      </c>
      <c r="M35" s="14">
        <v>0.17</v>
      </c>
      <c r="N35" s="14">
        <v>0.14000000000000001</v>
      </c>
      <c r="O35" s="14">
        <v>0.15</v>
      </c>
      <c r="P35" s="14">
        <v>0.16</v>
      </c>
      <c r="Q35" s="14">
        <v>0.09</v>
      </c>
      <c r="R35" s="14">
        <v>0.09</v>
      </c>
      <c r="S35" s="14">
        <v>0.23</v>
      </c>
      <c r="T35" s="14">
        <v>0.18</v>
      </c>
      <c r="U35" s="14">
        <v>0.15</v>
      </c>
      <c r="V35" s="14">
        <v>0.23</v>
      </c>
      <c r="W35" s="14">
        <v>0.15</v>
      </c>
      <c r="X35" s="14">
        <v>0.16</v>
      </c>
      <c r="Y35" s="14">
        <v>0.23</v>
      </c>
      <c r="Z35" s="14">
        <v>0.05</v>
      </c>
      <c r="AA35" s="14">
        <v>0.21</v>
      </c>
      <c r="AB35" s="14">
        <v>0.12</v>
      </c>
      <c r="AC35" s="14">
        <v>0.28999999999999998</v>
      </c>
      <c r="AD35" s="14">
        <v>0.2</v>
      </c>
      <c r="AE35" s="14">
        <v>0.18</v>
      </c>
      <c r="AF35" s="14">
        <v>0.27</v>
      </c>
    </row>
    <row r="36" spans="1:32" ht="23.25" x14ac:dyDescent="0.25">
      <c r="A36" s="19"/>
      <c r="B36" s="11" t="s">
        <v>428</v>
      </c>
      <c r="C36" s="12">
        <v>5879</v>
      </c>
      <c r="D36" s="12">
        <v>241</v>
      </c>
      <c r="E36" s="12">
        <v>269</v>
      </c>
      <c r="F36" s="12">
        <v>267</v>
      </c>
      <c r="G36" s="12">
        <v>259</v>
      </c>
      <c r="H36" s="12">
        <v>316</v>
      </c>
      <c r="I36" s="12">
        <v>401</v>
      </c>
      <c r="J36" s="12">
        <v>85</v>
      </c>
      <c r="K36" s="12">
        <v>237</v>
      </c>
      <c r="L36" s="12">
        <v>181</v>
      </c>
      <c r="M36" s="12">
        <v>244</v>
      </c>
      <c r="N36" s="12">
        <v>197</v>
      </c>
      <c r="O36" s="12">
        <v>263</v>
      </c>
      <c r="P36" s="12">
        <v>203</v>
      </c>
      <c r="Q36" s="12">
        <v>146</v>
      </c>
      <c r="R36" s="12">
        <v>96</v>
      </c>
      <c r="S36" s="12">
        <v>170</v>
      </c>
      <c r="T36" s="12">
        <v>280</v>
      </c>
      <c r="U36" s="12">
        <v>115</v>
      </c>
      <c r="V36" s="12">
        <v>265</v>
      </c>
      <c r="W36" s="12">
        <v>93</v>
      </c>
      <c r="X36" s="12">
        <v>257</v>
      </c>
      <c r="Y36" s="12">
        <v>239</v>
      </c>
      <c r="Z36" s="12">
        <v>171</v>
      </c>
      <c r="AA36" s="12">
        <v>136</v>
      </c>
      <c r="AB36" s="12">
        <v>249</v>
      </c>
      <c r="AC36" s="12">
        <v>269</v>
      </c>
      <c r="AD36" s="12">
        <v>277</v>
      </c>
      <c r="AE36" s="12">
        <v>229</v>
      </c>
      <c r="AF36" s="12">
        <v>288</v>
      </c>
    </row>
    <row r="37" spans="1:32" ht="23.25" x14ac:dyDescent="0.25">
      <c r="A37" s="19"/>
      <c r="B37" s="13" t="s">
        <v>429</v>
      </c>
      <c r="C37" s="14">
        <v>0.22</v>
      </c>
      <c r="D37" s="14">
        <v>0.24</v>
      </c>
      <c r="E37" s="14">
        <v>0.25</v>
      </c>
      <c r="F37" s="14">
        <v>0.25</v>
      </c>
      <c r="G37" s="14">
        <v>0.25</v>
      </c>
      <c r="H37" s="14">
        <v>0.25</v>
      </c>
      <c r="I37" s="14">
        <v>0.26</v>
      </c>
      <c r="J37" s="14">
        <v>0.28999999999999998</v>
      </c>
      <c r="K37" s="14">
        <v>0.23</v>
      </c>
      <c r="L37" s="14">
        <v>0.18</v>
      </c>
      <c r="M37" s="14">
        <v>0.24</v>
      </c>
      <c r="N37" s="14">
        <v>0.19</v>
      </c>
      <c r="O37" s="14">
        <v>0.26</v>
      </c>
      <c r="P37" s="14">
        <v>0.2</v>
      </c>
      <c r="Q37" s="14">
        <v>0.14000000000000001</v>
      </c>
      <c r="R37" s="14">
        <v>0.19</v>
      </c>
      <c r="S37" s="14">
        <v>0.17</v>
      </c>
      <c r="T37" s="14">
        <v>0.27</v>
      </c>
      <c r="U37" s="14">
        <v>0.23</v>
      </c>
      <c r="V37" s="14">
        <v>0.26</v>
      </c>
      <c r="W37" s="14">
        <v>0.18</v>
      </c>
      <c r="X37" s="14">
        <v>0.25</v>
      </c>
      <c r="Y37" s="14">
        <v>0.24</v>
      </c>
      <c r="Z37" s="14">
        <v>0.17</v>
      </c>
      <c r="AA37" s="14">
        <v>0.13</v>
      </c>
      <c r="AB37" s="14">
        <v>0.24</v>
      </c>
      <c r="AC37" s="14">
        <v>0.26</v>
      </c>
      <c r="AD37" s="14">
        <v>0.27</v>
      </c>
      <c r="AE37" s="14">
        <v>0.23</v>
      </c>
      <c r="AF37" s="14">
        <v>0.28000000000000003</v>
      </c>
    </row>
    <row r="38" spans="1:32" ht="23.25" x14ac:dyDescent="0.25">
      <c r="A38" s="19"/>
      <c r="B38" s="11" t="s">
        <v>430</v>
      </c>
      <c r="C38" s="12">
        <v>15772</v>
      </c>
      <c r="D38" s="12">
        <v>630</v>
      </c>
      <c r="E38" s="12">
        <v>464</v>
      </c>
      <c r="F38" s="12">
        <v>463</v>
      </c>
      <c r="G38" s="12">
        <v>472</v>
      </c>
      <c r="H38" s="12">
        <v>576</v>
      </c>
      <c r="I38" s="12">
        <v>732</v>
      </c>
      <c r="J38" s="12">
        <v>155</v>
      </c>
      <c r="K38" s="12">
        <v>505</v>
      </c>
      <c r="L38" s="12">
        <v>628</v>
      </c>
      <c r="M38" s="12">
        <v>566</v>
      </c>
      <c r="N38" s="12">
        <v>648</v>
      </c>
      <c r="O38" s="12">
        <v>572</v>
      </c>
      <c r="P38" s="12">
        <v>634</v>
      </c>
      <c r="Q38" s="12">
        <v>781</v>
      </c>
      <c r="R38" s="12">
        <v>352</v>
      </c>
      <c r="S38" s="12">
        <v>591</v>
      </c>
      <c r="T38" s="12">
        <v>558</v>
      </c>
      <c r="U38" s="12">
        <v>303</v>
      </c>
      <c r="V38" s="12">
        <v>510</v>
      </c>
      <c r="W38" s="12">
        <v>325</v>
      </c>
      <c r="X38" s="12">
        <v>585</v>
      </c>
      <c r="Y38" s="12">
        <v>532</v>
      </c>
      <c r="Z38" s="12">
        <v>791</v>
      </c>
      <c r="AA38" s="12">
        <v>650</v>
      </c>
      <c r="AB38" s="12">
        <v>635</v>
      </c>
      <c r="AC38" s="12">
        <v>444</v>
      </c>
      <c r="AD38" s="12">
        <v>524</v>
      </c>
      <c r="AE38" s="12">
        <v>576</v>
      </c>
      <c r="AF38" s="12">
        <v>461</v>
      </c>
    </row>
    <row r="39" spans="1:32" ht="23.25" x14ac:dyDescent="0.25">
      <c r="A39" s="19"/>
      <c r="B39" s="13" t="s">
        <v>431</v>
      </c>
      <c r="C39" s="14">
        <v>0.6</v>
      </c>
      <c r="D39" s="14">
        <v>0.62</v>
      </c>
      <c r="E39" s="14">
        <v>0.44</v>
      </c>
      <c r="F39" s="14">
        <v>0.44</v>
      </c>
      <c r="G39" s="14">
        <v>0.47</v>
      </c>
      <c r="H39" s="14">
        <v>0.47</v>
      </c>
      <c r="I39" s="14">
        <v>0.48</v>
      </c>
      <c r="J39" s="14">
        <v>0.52</v>
      </c>
      <c r="K39" s="14">
        <v>0.5</v>
      </c>
      <c r="L39" s="14">
        <v>0.63</v>
      </c>
      <c r="M39" s="14">
        <v>0.57000000000000006</v>
      </c>
      <c r="N39" s="14">
        <v>0.64</v>
      </c>
      <c r="O39" s="14">
        <v>0.57000000000000006</v>
      </c>
      <c r="P39" s="14">
        <v>0.63</v>
      </c>
      <c r="Q39" s="14">
        <v>0.76</v>
      </c>
      <c r="R39" s="14">
        <v>0.71</v>
      </c>
      <c r="S39" s="14">
        <v>0.59</v>
      </c>
      <c r="T39" s="14">
        <v>0.54</v>
      </c>
      <c r="U39" s="14">
        <v>0.59</v>
      </c>
      <c r="V39" s="14">
        <v>0.5</v>
      </c>
      <c r="W39" s="14">
        <v>0.64</v>
      </c>
      <c r="X39" s="14">
        <v>0.59</v>
      </c>
      <c r="Y39" s="14">
        <v>0.53</v>
      </c>
      <c r="Z39" s="14">
        <v>0.77</v>
      </c>
      <c r="AA39" s="14">
        <v>0.63</v>
      </c>
      <c r="AB39" s="14">
        <v>0.61</v>
      </c>
      <c r="AC39" s="14">
        <v>0.44</v>
      </c>
      <c r="AD39" s="14">
        <v>0.52</v>
      </c>
      <c r="AE39" s="14">
        <v>0.57999999999999996</v>
      </c>
      <c r="AF39" s="14">
        <v>0.45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440</v>
      </c>
      <c r="C3" s="18"/>
      <c r="D3" s="18"/>
      <c r="E3" s="18"/>
      <c r="F3" s="18"/>
      <c r="H3" s="18" t="s">
        <v>441</v>
      </c>
      <c r="I3" s="18"/>
      <c r="J3" s="18"/>
      <c r="K3" s="18"/>
      <c r="L3" s="18"/>
    </row>
    <row r="4" spans="1:32" ht="27" customHeight="1" x14ac:dyDescent="0.25">
      <c r="B4" s="18" t="s">
        <v>442</v>
      </c>
      <c r="C4" s="18"/>
      <c r="D4" s="18"/>
      <c r="E4" s="18"/>
      <c r="F4" s="18"/>
      <c r="H4" s="18" t="s">
        <v>443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1015</v>
      </c>
      <c r="D12" s="12">
        <v>31</v>
      </c>
      <c r="E12" s="12">
        <v>69</v>
      </c>
      <c r="F12" s="12">
        <v>91</v>
      </c>
      <c r="G12" s="12">
        <v>69</v>
      </c>
      <c r="H12" s="12">
        <v>54</v>
      </c>
      <c r="I12" s="12">
        <v>67</v>
      </c>
      <c r="J12" s="12">
        <v>13</v>
      </c>
      <c r="K12" s="12">
        <v>98</v>
      </c>
      <c r="L12" s="12">
        <v>65</v>
      </c>
      <c r="M12" s="12">
        <v>8</v>
      </c>
      <c r="N12" s="12">
        <v>24</v>
      </c>
      <c r="O12" s="12">
        <v>44</v>
      </c>
      <c r="P12" s="12">
        <v>25</v>
      </c>
      <c r="Q12" s="12">
        <v>34</v>
      </c>
      <c r="R12" s="12">
        <v>9</v>
      </c>
      <c r="S12" s="12">
        <v>100</v>
      </c>
      <c r="T12" s="12">
        <v>97</v>
      </c>
      <c r="U12" s="12">
        <v>25</v>
      </c>
      <c r="V12" s="12">
        <v>28</v>
      </c>
      <c r="W12" s="12">
        <v>27</v>
      </c>
      <c r="X12" s="12">
        <v>32</v>
      </c>
      <c r="Y12" s="12">
        <v>72</v>
      </c>
      <c r="Z12" s="12">
        <v>1</v>
      </c>
      <c r="AA12" s="12">
        <v>58</v>
      </c>
      <c r="AB12" s="12">
        <v>43</v>
      </c>
      <c r="AC12" s="12">
        <v>110</v>
      </c>
      <c r="AD12" s="12">
        <v>74</v>
      </c>
      <c r="AE12" s="12">
        <v>72</v>
      </c>
      <c r="AF12" s="12">
        <v>22</v>
      </c>
    </row>
    <row r="13" spans="1:32" x14ac:dyDescent="0.25">
      <c r="A13" s="19"/>
      <c r="B13" s="13" t="s">
        <v>415</v>
      </c>
      <c r="C13" s="14">
        <v>0.04</v>
      </c>
      <c r="D13" s="14">
        <v>0.03</v>
      </c>
      <c r="E13" s="14">
        <v>0.06</v>
      </c>
      <c r="F13" s="14">
        <v>0.09</v>
      </c>
      <c r="G13" s="14">
        <v>7.0000000000000007E-2</v>
      </c>
      <c r="H13" s="14">
        <v>0.04</v>
      </c>
      <c r="I13" s="14">
        <v>0.05</v>
      </c>
      <c r="J13" s="14">
        <v>0.05</v>
      </c>
      <c r="K13" s="14">
        <v>0.1</v>
      </c>
      <c r="L13" s="14">
        <v>7.0000000000000007E-2</v>
      </c>
      <c r="M13" s="14">
        <v>0.01</v>
      </c>
      <c r="N13" s="14">
        <v>0.02</v>
      </c>
      <c r="O13" s="14">
        <v>0.04</v>
      </c>
      <c r="P13" s="14">
        <v>0.02</v>
      </c>
      <c r="Q13" s="14">
        <v>0.03</v>
      </c>
      <c r="R13" s="14">
        <v>0.02</v>
      </c>
      <c r="S13" s="14">
        <v>0.1</v>
      </c>
      <c r="T13" s="14">
        <v>0.09</v>
      </c>
      <c r="U13" s="14">
        <v>0.05</v>
      </c>
      <c r="V13" s="14">
        <v>0.03</v>
      </c>
      <c r="W13" s="14">
        <v>0.05</v>
      </c>
      <c r="X13" s="14">
        <v>0.03</v>
      </c>
      <c r="Y13" s="14">
        <v>7.0000000000000007E-2</v>
      </c>
      <c r="Z13" s="15" t="s">
        <v>213</v>
      </c>
      <c r="AA13" s="14">
        <v>0.06</v>
      </c>
      <c r="AB13" s="14">
        <v>0.04</v>
      </c>
      <c r="AC13" s="14">
        <v>0.11</v>
      </c>
      <c r="AD13" s="14">
        <v>7.0000000000000007E-2</v>
      </c>
      <c r="AE13" s="14">
        <v>7.0000000000000007E-2</v>
      </c>
      <c r="AF13" s="14">
        <v>0.02</v>
      </c>
    </row>
    <row r="14" spans="1:32" x14ac:dyDescent="0.25">
      <c r="A14" s="19"/>
      <c r="B14" s="11" t="s">
        <v>416</v>
      </c>
      <c r="C14" s="12">
        <v>1009</v>
      </c>
      <c r="D14" s="12">
        <v>28</v>
      </c>
      <c r="E14" s="12">
        <v>37</v>
      </c>
      <c r="F14" s="12">
        <v>58</v>
      </c>
      <c r="G14" s="12">
        <v>82</v>
      </c>
      <c r="H14" s="12">
        <v>106</v>
      </c>
      <c r="I14" s="12">
        <v>126</v>
      </c>
      <c r="J14" s="12">
        <v>20</v>
      </c>
      <c r="K14" s="12">
        <v>80</v>
      </c>
      <c r="L14" s="12">
        <v>31</v>
      </c>
      <c r="M14" s="12">
        <v>14</v>
      </c>
      <c r="N14" s="12">
        <v>11</v>
      </c>
      <c r="O14" s="12">
        <v>34</v>
      </c>
      <c r="P14" s="12">
        <v>26</v>
      </c>
      <c r="Q14" s="12">
        <v>12</v>
      </c>
      <c r="R14" s="12">
        <v>7</v>
      </c>
      <c r="S14" s="12">
        <v>32</v>
      </c>
      <c r="T14" s="12">
        <v>30</v>
      </c>
      <c r="U14" s="12">
        <v>24</v>
      </c>
      <c r="V14" s="12">
        <v>24</v>
      </c>
      <c r="W14" s="12">
        <v>13</v>
      </c>
      <c r="X14" s="12">
        <v>29</v>
      </c>
      <c r="Y14" s="12">
        <v>40</v>
      </c>
      <c r="Z14" s="12">
        <v>4</v>
      </c>
      <c r="AA14" s="12">
        <v>127</v>
      </c>
      <c r="AB14" s="12">
        <v>23</v>
      </c>
      <c r="AC14" s="12">
        <v>66</v>
      </c>
      <c r="AD14" s="12">
        <v>84</v>
      </c>
      <c r="AE14" s="12">
        <v>64</v>
      </c>
      <c r="AF14" s="12">
        <v>50</v>
      </c>
    </row>
    <row r="15" spans="1:32" x14ac:dyDescent="0.25">
      <c r="A15" s="19"/>
      <c r="B15" s="13" t="s">
        <v>416</v>
      </c>
      <c r="C15" s="14">
        <v>0.04</v>
      </c>
      <c r="D15" s="14">
        <v>0.03</v>
      </c>
      <c r="E15" s="14">
        <v>0.03</v>
      </c>
      <c r="F15" s="14">
        <v>0.05</v>
      </c>
      <c r="G15" s="14">
        <v>0.08</v>
      </c>
      <c r="H15" s="14">
        <v>0.09</v>
      </c>
      <c r="I15" s="14">
        <v>0.08</v>
      </c>
      <c r="J15" s="14">
        <v>7.0000000000000007E-2</v>
      </c>
      <c r="K15" s="14">
        <v>0.08</v>
      </c>
      <c r="L15" s="14">
        <v>0.03</v>
      </c>
      <c r="M15" s="14">
        <v>0.01</v>
      </c>
      <c r="N15" s="14">
        <v>0.01</v>
      </c>
      <c r="O15" s="14">
        <v>0.03</v>
      </c>
      <c r="P15" s="14">
        <v>0.03</v>
      </c>
      <c r="Q15" s="14">
        <v>0.01</v>
      </c>
      <c r="R15" s="14">
        <v>0.02</v>
      </c>
      <c r="S15" s="14">
        <v>0.03</v>
      </c>
      <c r="T15" s="14">
        <v>0.03</v>
      </c>
      <c r="U15" s="14">
        <v>0.05</v>
      </c>
      <c r="V15" s="14">
        <v>0.02</v>
      </c>
      <c r="W15" s="14">
        <v>0.03</v>
      </c>
      <c r="X15" s="14">
        <v>0.03</v>
      </c>
      <c r="Y15" s="14">
        <v>0.04</v>
      </c>
      <c r="Z15" s="15" t="s">
        <v>213</v>
      </c>
      <c r="AA15" s="14">
        <v>0.12</v>
      </c>
      <c r="AB15" s="14">
        <v>0.02</v>
      </c>
      <c r="AC15" s="14">
        <v>7.0000000000000007E-2</v>
      </c>
      <c r="AD15" s="14">
        <v>0.08</v>
      </c>
      <c r="AE15" s="14">
        <v>7.0000000000000007E-2</v>
      </c>
      <c r="AF15" s="14">
        <v>0.05</v>
      </c>
    </row>
    <row r="16" spans="1:32" x14ac:dyDescent="0.25">
      <c r="A16" s="19"/>
      <c r="B16" s="11" t="s">
        <v>417</v>
      </c>
      <c r="C16" s="12">
        <v>1331</v>
      </c>
      <c r="D16" s="12">
        <v>51</v>
      </c>
      <c r="E16" s="12">
        <v>91</v>
      </c>
      <c r="F16" s="12">
        <v>104</v>
      </c>
      <c r="G16" s="12">
        <v>92</v>
      </c>
      <c r="H16" s="12">
        <v>78</v>
      </c>
      <c r="I16" s="12">
        <v>104</v>
      </c>
      <c r="J16" s="12">
        <v>26</v>
      </c>
      <c r="K16" s="12">
        <v>86</v>
      </c>
      <c r="L16" s="12">
        <v>56</v>
      </c>
      <c r="M16" s="12">
        <v>35</v>
      </c>
      <c r="N16" s="12">
        <v>29</v>
      </c>
      <c r="O16" s="12">
        <v>52</v>
      </c>
      <c r="P16" s="12">
        <v>63</v>
      </c>
      <c r="Q16" s="12">
        <v>24</v>
      </c>
      <c r="R16" s="12">
        <v>12</v>
      </c>
      <c r="S16" s="12">
        <v>56</v>
      </c>
      <c r="T16" s="12">
        <v>83</v>
      </c>
      <c r="U16" s="12">
        <v>26</v>
      </c>
      <c r="V16" s="12">
        <v>67</v>
      </c>
      <c r="W16" s="12">
        <v>19</v>
      </c>
      <c r="X16" s="12">
        <v>60</v>
      </c>
      <c r="Y16" s="12">
        <v>75</v>
      </c>
      <c r="Z16" s="12">
        <v>25</v>
      </c>
      <c r="AA16" s="12">
        <v>35</v>
      </c>
      <c r="AB16" s="12">
        <v>37</v>
      </c>
      <c r="AC16" s="12">
        <v>90</v>
      </c>
      <c r="AD16" s="12">
        <v>116</v>
      </c>
      <c r="AE16" s="12">
        <v>102</v>
      </c>
      <c r="AF16" s="12">
        <v>79</v>
      </c>
    </row>
    <row r="17" spans="1:32" x14ac:dyDescent="0.25">
      <c r="A17" s="19"/>
      <c r="B17" s="13" t="s">
        <v>417</v>
      </c>
      <c r="C17" s="14">
        <v>0.05</v>
      </c>
      <c r="D17" s="14">
        <v>0.05</v>
      </c>
      <c r="E17" s="14">
        <v>0.09</v>
      </c>
      <c r="F17" s="14">
        <v>0.1</v>
      </c>
      <c r="G17" s="14">
        <v>0.09</v>
      </c>
      <c r="H17" s="14">
        <v>0.06</v>
      </c>
      <c r="I17" s="14">
        <v>7.0000000000000007E-2</v>
      </c>
      <c r="J17" s="14">
        <v>0.09</v>
      </c>
      <c r="K17" s="14">
        <v>0.08</v>
      </c>
      <c r="L17" s="14">
        <v>0.06</v>
      </c>
      <c r="M17" s="14">
        <v>0.04</v>
      </c>
      <c r="N17" s="14">
        <v>0.03</v>
      </c>
      <c r="O17" s="14">
        <v>0.05</v>
      </c>
      <c r="P17" s="14">
        <v>0.06</v>
      </c>
      <c r="Q17" s="14">
        <v>0.02</v>
      </c>
      <c r="R17" s="14">
        <v>0.02</v>
      </c>
      <c r="S17" s="14">
        <v>0.06</v>
      </c>
      <c r="T17" s="14">
        <v>0.08</v>
      </c>
      <c r="U17" s="14">
        <v>0.05</v>
      </c>
      <c r="V17" s="14">
        <v>7.0000000000000007E-2</v>
      </c>
      <c r="W17" s="14">
        <v>0.04</v>
      </c>
      <c r="X17" s="14">
        <v>0.06</v>
      </c>
      <c r="Y17" s="14">
        <v>0.08</v>
      </c>
      <c r="Z17" s="14">
        <v>0.03</v>
      </c>
      <c r="AA17" s="14">
        <v>0.03</v>
      </c>
      <c r="AB17" s="14">
        <v>0.03</v>
      </c>
      <c r="AC17" s="14">
        <v>0.09</v>
      </c>
      <c r="AD17" s="14">
        <v>0.12</v>
      </c>
      <c r="AE17" s="14">
        <v>0.1</v>
      </c>
      <c r="AF17" s="14">
        <v>0.08</v>
      </c>
    </row>
    <row r="18" spans="1:32" x14ac:dyDescent="0.25">
      <c r="A18" s="19"/>
      <c r="B18" s="11" t="s">
        <v>418</v>
      </c>
      <c r="C18" s="12">
        <v>1628</v>
      </c>
      <c r="D18" s="12">
        <v>79</v>
      </c>
      <c r="E18" s="12">
        <v>102</v>
      </c>
      <c r="F18" s="12">
        <v>109</v>
      </c>
      <c r="G18" s="12">
        <v>110</v>
      </c>
      <c r="H18" s="12">
        <v>107</v>
      </c>
      <c r="I18" s="12">
        <v>132</v>
      </c>
      <c r="J18" s="12">
        <v>26</v>
      </c>
      <c r="K18" s="12">
        <v>110</v>
      </c>
      <c r="L18" s="12">
        <v>62</v>
      </c>
      <c r="M18" s="12">
        <v>62</v>
      </c>
      <c r="N18" s="12">
        <v>35</v>
      </c>
      <c r="O18" s="12">
        <v>54</v>
      </c>
      <c r="P18" s="12">
        <v>72</v>
      </c>
      <c r="Q18" s="12">
        <v>42</v>
      </c>
      <c r="R18" s="12">
        <v>19</v>
      </c>
      <c r="S18" s="12">
        <v>82</v>
      </c>
      <c r="T18" s="12">
        <v>74</v>
      </c>
      <c r="U18" s="12">
        <v>51</v>
      </c>
      <c r="V18" s="12">
        <v>92</v>
      </c>
      <c r="W18" s="12">
        <v>23</v>
      </c>
      <c r="X18" s="12">
        <v>68</v>
      </c>
      <c r="Y18" s="12">
        <v>68</v>
      </c>
      <c r="Z18" s="12">
        <v>50</v>
      </c>
      <c r="AA18" s="12">
        <v>30</v>
      </c>
      <c r="AB18" s="12">
        <v>38</v>
      </c>
      <c r="AC18" s="12">
        <v>88</v>
      </c>
      <c r="AD18" s="12">
        <v>82</v>
      </c>
      <c r="AE18" s="12">
        <v>101</v>
      </c>
      <c r="AF18" s="12">
        <v>78</v>
      </c>
    </row>
    <row r="19" spans="1:32" x14ac:dyDescent="0.25">
      <c r="A19" s="19"/>
      <c r="B19" s="13" t="s">
        <v>418</v>
      </c>
      <c r="C19" s="14">
        <v>0.06</v>
      </c>
      <c r="D19" s="14">
        <v>0.08</v>
      </c>
      <c r="E19" s="14">
        <v>0.1</v>
      </c>
      <c r="F19" s="14">
        <v>0.1</v>
      </c>
      <c r="G19" s="14">
        <v>0.11</v>
      </c>
      <c r="H19" s="14">
        <v>0.09</v>
      </c>
      <c r="I19" s="14">
        <v>0.09</v>
      </c>
      <c r="J19" s="14">
        <v>0.09</v>
      </c>
      <c r="K19" s="14">
        <v>0.11</v>
      </c>
      <c r="L19" s="14">
        <v>0.06</v>
      </c>
      <c r="M19" s="14">
        <v>0.06</v>
      </c>
      <c r="N19" s="14">
        <v>0.03</v>
      </c>
      <c r="O19" s="14">
        <v>0.05</v>
      </c>
      <c r="P19" s="14">
        <v>7.0000000000000007E-2</v>
      </c>
      <c r="Q19" s="14">
        <v>0.04</v>
      </c>
      <c r="R19" s="14">
        <v>0.04</v>
      </c>
      <c r="S19" s="14">
        <v>0.08</v>
      </c>
      <c r="T19" s="14">
        <v>7.0000000000000007E-2</v>
      </c>
      <c r="U19" s="14">
        <v>0.1</v>
      </c>
      <c r="V19" s="14">
        <v>0.09</v>
      </c>
      <c r="W19" s="14">
        <v>0.05</v>
      </c>
      <c r="X19" s="14">
        <v>7.0000000000000007E-2</v>
      </c>
      <c r="Y19" s="14">
        <v>7.0000000000000007E-2</v>
      </c>
      <c r="Z19" s="14">
        <v>0.05</v>
      </c>
      <c r="AA19" s="14">
        <v>0.03</v>
      </c>
      <c r="AB19" s="14">
        <v>0.04</v>
      </c>
      <c r="AC19" s="14">
        <v>0.09</v>
      </c>
      <c r="AD19" s="14">
        <v>0.08</v>
      </c>
      <c r="AE19" s="14">
        <v>0.1</v>
      </c>
      <c r="AF19" s="14">
        <v>0.08</v>
      </c>
    </row>
    <row r="20" spans="1:32" x14ac:dyDescent="0.25">
      <c r="A20" s="19"/>
      <c r="B20" s="11" t="s">
        <v>419</v>
      </c>
      <c r="C20" s="12">
        <v>3095</v>
      </c>
      <c r="D20" s="12">
        <v>131</v>
      </c>
      <c r="E20" s="12">
        <v>133</v>
      </c>
      <c r="F20" s="12">
        <v>174</v>
      </c>
      <c r="G20" s="12">
        <v>121</v>
      </c>
      <c r="H20" s="12">
        <v>168</v>
      </c>
      <c r="I20" s="12">
        <v>217</v>
      </c>
      <c r="J20" s="12">
        <v>49</v>
      </c>
      <c r="K20" s="12">
        <v>170</v>
      </c>
      <c r="L20" s="12">
        <v>105</v>
      </c>
      <c r="M20" s="12">
        <v>134</v>
      </c>
      <c r="N20" s="12">
        <v>87</v>
      </c>
      <c r="O20" s="12">
        <v>155</v>
      </c>
      <c r="P20" s="12">
        <v>101</v>
      </c>
      <c r="Q20" s="12">
        <v>69</v>
      </c>
      <c r="R20" s="12">
        <v>47</v>
      </c>
      <c r="S20" s="12">
        <v>155</v>
      </c>
      <c r="T20" s="12">
        <v>182</v>
      </c>
      <c r="U20" s="12">
        <v>66</v>
      </c>
      <c r="V20" s="12">
        <v>146</v>
      </c>
      <c r="W20" s="12">
        <v>53</v>
      </c>
      <c r="X20" s="12">
        <v>119</v>
      </c>
      <c r="Y20" s="12">
        <v>124</v>
      </c>
      <c r="Z20" s="12">
        <v>89</v>
      </c>
      <c r="AA20" s="12">
        <v>80</v>
      </c>
      <c r="AB20" s="12">
        <v>103</v>
      </c>
      <c r="AC20" s="12">
        <v>191</v>
      </c>
      <c r="AD20" s="12">
        <v>124</v>
      </c>
      <c r="AE20" s="12">
        <v>126</v>
      </c>
      <c r="AF20" s="12">
        <v>137</v>
      </c>
    </row>
    <row r="21" spans="1:32" x14ac:dyDescent="0.25">
      <c r="A21" s="19"/>
      <c r="B21" s="13" t="s">
        <v>419</v>
      </c>
      <c r="C21" s="14">
        <v>0.12</v>
      </c>
      <c r="D21" s="14">
        <v>0.13</v>
      </c>
      <c r="E21" s="14">
        <v>0.13</v>
      </c>
      <c r="F21" s="14">
        <v>0.16</v>
      </c>
      <c r="G21" s="14">
        <v>0.12</v>
      </c>
      <c r="H21" s="14">
        <v>0.14000000000000001</v>
      </c>
      <c r="I21" s="14">
        <v>0.14000000000000001</v>
      </c>
      <c r="J21" s="14">
        <v>0.16</v>
      </c>
      <c r="K21" s="14">
        <v>0.17</v>
      </c>
      <c r="L21" s="14">
        <v>0.1</v>
      </c>
      <c r="M21" s="14">
        <v>0.13</v>
      </c>
      <c r="N21" s="14">
        <v>0.09</v>
      </c>
      <c r="O21" s="14">
        <v>0.16</v>
      </c>
      <c r="P21" s="14">
        <v>0.1</v>
      </c>
      <c r="Q21" s="14">
        <v>7.0000000000000007E-2</v>
      </c>
      <c r="R21" s="14">
        <v>0.09</v>
      </c>
      <c r="S21" s="14">
        <v>0.15</v>
      </c>
      <c r="T21" s="14">
        <v>0.18</v>
      </c>
      <c r="U21" s="14">
        <v>0.13</v>
      </c>
      <c r="V21" s="14">
        <v>0.14000000000000001</v>
      </c>
      <c r="W21" s="14">
        <v>0.1</v>
      </c>
      <c r="X21" s="14">
        <v>0.12</v>
      </c>
      <c r="Y21" s="14">
        <v>0.12</v>
      </c>
      <c r="Z21" s="14">
        <v>0.09</v>
      </c>
      <c r="AA21" s="14">
        <v>0.08</v>
      </c>
      <c r="AB21" s="14">
        <v>0.1</v>
      </c>
      <c r="AC21" s="14">
        <v>0.19</v>
      </c>
      <c r="AD21" s="14">
        <v>0.12</v>
      </c>
      <c r="AE21" s="14">
        <v>0.13</v>
      </c>
      <c r="AF21" s="14">
        <v>0.13</v>
      </c>
    </row>
    <row r="22" spans="1:32" x14ac:dyDescent="0.25">
      <c r="A22" s="19"/>
      <c r="B22" s="11" t="s">
        <v>420</v>
      </c>
      <c r="C22" s="12">
        <v>2965</v>
      </c>
      <c r="D22" s="12">
        <v>131</v>
      </c>
      <c r="E22" s="12">
        <v>123</v>
      </c>
      <c r="F22" s="12">
        <v>125</v>
      </c>
      <c r="G22" s="12">
        <v>95</v>
      </c>
      <c r="H22" s="12">
        <v>150</v>
      </c>
      <c r="I22" s="12">
        <v>185</v>
      </c>
      <c r="J22" s="12">
        <v>36</v>
      </c>
      <c r="K22" s="12">
        <v>108</v>
      </c>
      <c r="L22" s="12">
        <v>90</v>
      </c>
      <c r="M22" s="12">
        <v>147</v>
      </c>
      <c r="N22" s="12">
        <v>111</v>
      </c>
      <c r="O22" s="12">
        <v>102</v>
      </c>
      <c r="P22" s="12">
        <v>132</v>
      </c>
      <c r="Q22" s="12">
        <v>86</v>
      </c>
      <c r="R22" s="12">
        <v>61</v>
      </c>
      <c r="S22" s="12">
        <v>76</v>
      </c>
      <c r="T22" s="12">
        <v>125</v>
      </c>
      <c r="U22" s="12">
        <v>71</v>
      </c>
      <c r="V22" s="12">
        <v>150</v>
      </c>
      <c r="W22" s="12">
        <v>48</v>
      </c>
      <c r="X22" s="12">
        <v>153</v>
      </c>
      <c r="Y22" s="12">
        <v>118</v>
      </c>
      <c r="Z22" s="12">
        <v>122</v>
      </c>
      <c r="AA22" s="12">
        <v>63</v>
      </c>
      <c r="AB22" s="12">
        <v>136</v>
      </c>
      <c r="AC22" s="12">
        <v>95</v>
      </c>
      <c r="AD22" s="12">
        <v>111</v>
      </c>
      <c r="AE22" s="12">
        <v>134</v>
      </c>
      <c r="AF22" s="12">
        <v>115</v>
      </c>
    </row>
    <row r="23" spans="1:32" x14ac:dyDescent="0.25">
      <c r="A23" s="19"/>
      <c r="B23" s="13" t="s">
        <v>420</v>
      </c>
      <c r="C23" s="14">
        <v>0.11</v>
      </c>
      <c r="D23" s="14">
        <v>0.13</v>
      </c>
      <c r="E23" s="14">
        <v>0.12</v>
      </c>
      <c r="F23" s="14">
        <v>0.12</v>
      </c>
      <c r="G23" s="14">
        <v>0.09</v>
      </c>
      <c r="H23" s="14">
        <v>0.12</v>
      </c>
      <c r="I23" s="14">
        <v>0.12</v>
      </c>
      <c r="J23" s="14">
        <v>0.12</v>
      </c>
      <c r="K23" s="14">
        <v>0.11</v>
      </c>
      <c r="L23" s="14">
        <v>0.09</v>
      </c>
      <c r="M23" s="14">
        <v>0.15</v>
      </c>
      <c r="N23" s="14">
        <v>0.11</v>
      </c>
      <c r="O23" s="14">
        <v>0.1</v>
      </c>
      <c r="P23" s="14">
        <v>0.13</v>
      </c>
      <c r="Q23" s="14">
        <v>0.08</v>
      </c>
      <c r="R23" s="14">
        <v>0.12</v>
      </c>
      <c r="S23" s="14">
        <v>0.08</v>
      </c>
      <c r="T23" s="14">
        <v>0.12</v>
      </c>
      <c r="U23" s="14">
        <v>0.14000000000000001</v>
      </c>
      <c r="V23" s="14">
        <v>0.15</v>
      </c>
      <c r="W23" s="14">
        <v>0.1</v>
      </c>
      <c r="X23" s="14">
        <v>0.15</v>
      </c>
      <c r="Y23" s="14">
        <v>0.12</v>
      </c>
      <c r="Z23" s="14">
        <v>0.12</v>
      </c>
      <c r="AA23" s="14">
        <v>0.06</v>
      </c>
      <c r="AB23" s="14">
        <v>0.13</v>
      </c>
      <c r="AC23" s="14">
        <v>0.09</v>
      </c>
      <c r="AD23" s="14">
        <v>0.11</v>
      </c>
      <c r="AE23" s="14">
        <v>0.13</v>
      </c>
      <c r="AF23" s="14">
        <v>0.11</v>
      </c>
    </row>
    <row r="24" spans="1:32" x14ac:dyDescent="0.25">
      <c r="A24" s="19"/>
      <c r="B24" s="11" t="s">
        <v>421</v>
      </c>
      <c r="C24" s="12">
        <v>4376</v>
      </c>
      <c r="D24" s="12">
        <v>207</v>
      </c>
      <c r="E24" s="12">
        <v>120</v>
      </c>
      <c r="F24" s="12">
        <v>126</v>
      </c>
      <c r="G24" s="12">
        <v>161</v>
      </c>
      <c r="H24" s="12">
        <v>161</v>
      </c>
      <c r="I24" s="12">
        <v>201</v>
      </c>
      <c r="J24" s="12">
        <v>40</v>
      </c>
      <c r="K24" s="12">
        <v>108</v>
      </c>
      <c r="L24" s="12">
        <v>161</v>
      </c>
      <c r="M24" s="12">
        <v>188</v>
      </c>
      <c r="N24" s="12">
        <v>170</v>
      </c>
      <c r="O24" s="12">
        <v>168</v>
      </c>
      <c r="P24" s="12">
        <v>137</v>
      </c>
      <c r="Q24" s="12">
        <v>195</v>
      </c>
      <c r="R24" s="12">
        <v>90</v>
      </c>
      <c r="S24" s="12">
        <v>116</v>
      </c>
      <c r="T24" s="12">
        <v>124</v>
      </c>
      <c r="U24" s="12">
        <v>89</v>
      </c>
      <c r="V24" s="12">
        <v>182</v>
      </c>
      <c r="W24" s="12">
        <v>69</v>
      </c>
      <c r="X24" s="12">
        <v>224</v>
      </c>
      <c r="Y24" s="12">
        <v>131</v>
      </c>
      <c r="Z24" s="12">
        <v>196</v>
      </c>
      <c r="AA24" s="12">
        <v>134</v>
      </c>
      <c r="AB24" s="12">
        <v>206</v>
      </c>
      <c r="AC24" s="12">
        <v>119</v>
      </c>
      <c r="AD24" s="12">
        <v>140</v>
      </c>
      <c r="AE24" s="12">
        <v>142</v>
      </c>
      <c r="AF24" s="12">
        <v>187</v>
      </c>
    </row>
    <row r="25" spans="1:32" x14ac:dyDescent="0.25">
      <c r="A25" s="19"/>
      <c r="B25" s="13" t="s">
        <v>421</v>
      </c>
      <c r="C25" s="14">
        <v>0.16</v>
      </c>
      <c r="D25" s="14">
        <v>0.2</v>
      </c>
      <c r="E25" s="14">
        <v>0.11</v>
      </c>
      <c r="F25" s="14">
        <v>0.12</v>
      </c>
      <c r="G25" s="14">
        <v>0.16</v>
      </c>
      <c r="H25" s="14">
        <v>0.13</v>
      </c>
      <c r="I25" s="14">
        <v>0.13</v>
      </c>
      <c r="J25" s="14">
        <v>0.13</v>
      </c>
      <c r="K25" s="14">
        <v>0.11</v>
      </c>
      <c r="L25" s="14">
        <v>0.16</v>
      </c>
      <c r="M25" s="14">
        <v>0.19</v>
      </c>
      <c r="N25" s="14">
        <v>0.17</v>
      </c>
      <c r="O25" s="14">
        <v>0.17</v>
      </c>
      <c r="P25" s="14">
        <v>0.14000000000000001</v>
      </c>
      <c r="Q25" s="14">
        <v>0.19</v>
      </c>
      <c r="R25" s="14">
        <v>0.18</v>
      </c>
      <c r="S25" s="14">
        <v>0.12</v>
      </c>
      <c r="T25" s="14">
        <v>0.12</v>
      </c>
      <c r="U25" s="14">
        <v>0.17</v>
      </c>
      <c r="V25" s="14">
        <v>0.18</v>
      </c>
      <c r="W25" s="14">
        <v>0.14000000000000001</v>
      </c>
      <c r="X25" s="14">
        <v>0.22</v>
      </c>
      <c r="Y25" s="14">
        <v>0.13</v>
      </c>
      <c r="Z25" s="14">
        <v>0.19</v>
      </c>
      <c r="AA25" s="14">
        <v>0.13</v>
      </c>
      <c r="AB25" s="14">
        <v>0.2</v>
      </c>
      <c r="AC25" s="14">
        <v>0.12</v>
      </c>
      <c r="AD25" s="14">
        <v>0.14000000000000001</v>
      </c>
      <c r="AE25" s="14">
        <v>0.14000000000000001</v>
      </c>
      <c r="AF25" s="14">
        <v>0.18</v>
      </c>
    </row>
    <row r="26" spans="1:32" x14ac:dyDescent="0.25">
      <c r="A26" s="19"/>
      <c r="B26" s="11" t="s">
        <v>422</v>
      </c>
      <c r="C26" s="12">
        <v>4838</v>
      </c>
      <c r="D26" s="12">
        <v>205</v>
      </c>
      <c r="E26" s="12">
        <v>122</v>
      </c>
      <c r="F26" s="12">
        <v>121</v>
      </c>
      <c r="G26" s="12">
        <v>116</v>
      </c>
      <c r="H26" s="12">
        <v>181</v>
      </c>
      <c r="I26" s="12">
        <v>219</v>
      </c>
      <c r="J26" s="12">
        <v>37</v>
      </c>
      <c r="K26" s="12">
        <v>102</v>
      </c>
      <c r="L26" s="12">
        <v>183</v>
      </c>
      <c r="M26" s="12">
        <v>223</v>
      </c>
      <c r="N26" s="12">
        <v>212</v>
      </c>
      <c r="O26" s="12">
        <v>187</v>
      </c>
      <c r="P26" s="12">
        <v>162</v>
      </c>
      <c r="Q26" s="12">
        <v>222</v>
      </c>
      <c r="R26" s="12">
        <v>110</v>
      </c>
      <c r="S26" s="12">
        <v>124</v>
      </c>
      <c r="T26" s="12">
        <v>111</v>
      </c>
      <c r="U26" s="12">
        <v>69</v>
      </c>
      <c r="V26" s="12">
        <v>134</v>
      </c>
      <c r="W26" s="12">
        <v>94</v>
      </c>
      <c r="X26" s="12">
        <v>187</v>
      </c>
      <c r="Y26" s="12">
        <v>165</v>
      </c>
      <c r="Z26" s="12">
        <v>252</v>
      </c>
      <c r="AA26" s="12">
        <v>138</v>
      </c>
      <c r="AB26" s="12">
        <v>238</v>
      </c>
      <c r="AC26" s="12">
        <v>90</v>
      </c>
      <c r="AD26" s="12">
        <v>146</v>
      </c>
      <c r="AE26" s="12">
        <v>153</v>
      </c>
      <c r="AF26" s="12">
        <v>167</v>
      </c>
    </row>
    <row r="27" spans="1:32" x14ac:dyDescent="0.25">
      <c r="A27" s="19"/>
      <c r="B27" s="13" t="s">
        <v>422</v>
      </c>
      <c r="C27" s="14">
        <v>0.18</v>
      </c>
      <c r="D27" s="14">
        <v>0.2</v>
      </c>
      <c r="E27" s="14">
        <v>0.12</v>
      </c>
      <c r="F27" s="14">
        <v>0.11</v>
      </c>
      <c r="G27" s="14">
        <v>0.11</v>
      </c>
      <c r="H27" s="14">
        <v>0.15</v>
      </c>
      <c r="I27" s="14">
        <v>0.14000000000000001</v>
      </c>
      <c r="J27" s="14">
        <v>0.13</v>
      </c>
      <c r="K27" s="14">
        <v>0.1</v>
      </c>
      <c r="L27" s="14">
        <v>0.18</v>
      </c>
      <c r="M27" s="14">
        <v>0.22</v>
      </c>
      <c r="N27" s="14">
        <v>0.21</v>
      </c>
      <c r="O27" s="14">
        <v>0.19</v>
      </c>
      <c r="P27" s="14">
        <v>0.16</v>
      </c>
      <c r="Q27" s="14">
        <v>0.22</v>
      </c>
      <c r="R27" s="14">
        <v>0.22</v>
      </c>
      <c r="S27" s="14">
        <v>0.12</v>
      </c>
      <c r="T27" s="14">
        <v>0.11</v>
      </c>
      <c r="U27" s="14">
        <v>0.14000000000000001</v>
      </c>
      <c r="V27" s="14">
        <v>0.13</v>
      </c>
      <c r="W27" s="14">
        <v>0.19</v>
      </c>
      <c r="X27" s="14">
        <v>0.19</v>
      </c>
      <c r="Y27" s="14">
        <v>0.16</v>
      </c>
      <c r="Z27" s="14">
        <v>0.25</v>
      </c>
      <c r="AA27" s="14">
        <v>0.13</v>
      </c>
      <c r="AB27" s="14">
        <v>0.23</v>
      </c>
      <c r="AC27" s="14">
        <v>0.09</v>
      </c>
      <c r="AD27" s="14">
        <v>0.15</v>
      </c>
      <c r="AE27" s="14">
        <v>0.15</v>
      </c>
      <c r="AF27" s="14">
        <v>0.16</v>
      </c>
    </row>
    <row r="28" spans="1:32" x14ac:dyDescent="0.25">
      <c r="A28" s="19"/>
      <c r="B28" s="11" t="s">
        <v>423</v>
      </c>
      <c r="C28" s="12">
        <v>2537</v>
      </c>
      <c r="D28" s="12">
        <v>90</v>
      </c>
      <c r="E28" s="12">
        <v>66</v>
      </c>
      <c r="F28" s="12">
        <v>61</v>
      </c>
      <c r="G28" s="12">
        <v>70</v>
      </c>
      <c r="H28" s="12">
        <v>73</v>
      </c>
      <c r="I28" s="12">
        <v>92</v>
      </c>
      <c r="J28" s="12">
        <v>19</v>
      </c>
      <c r="K28" s="12">
        <v>41</v>
      </c>
      <c r="L28" s="12">
        <v>81</v>
      </c>
      <c r="M28" s="12">
        <v>110</v>
      </c>
      <c r="N28" s="12">
        <v>135</v>
      </c>
      <c r="O28" s="12">
        <v>67</v>
      </c>
      <c r="P28" s="12">
        <v>97</v>
      </c>
      <c r="Q28" s="12">
        <v>179</v>
      </c>
      <c r="R28" s="12">
        <v>55</v>
      </c>
      <c r="S28" s="12">
        <v>81</v>
      </c>
      <c r="T28" s="12">
        <v>68</v>
      </c>
      <c r="U28" s="12">
        <v>34</v>
      </c>
      <c r="V28" s="12">
        <v>76</v>
      </c>
      <c r="W28" s="12">
        <v>66</v>
      </c>
      <c r="X28" s="12">
        <v>76</v>
      </c>
      <c r="Y28" s="12">
        <v>92</v>
      </c>
      <c r="Z28" s="12">
        <v>104</v>
      </c>
      <c r="AA28" s="12">
        <v>147</v>
      </c>
      <c r="AB28" s="12">
        <v>99</v>
      </c>
      <c r="AC28" s="12">
        <v>36</v>
      </c>
      <c r="AD28" s="12">
        <v>63</v>
      </c>
      <c r="AE28" s="12">
        <v>43</v>
      </c>
      <c r="AF28" s="12">
        <v>77</v>
      </c>
    </row>
    <row r="29" spans="1:32" x14ac:dyDescent="0.25">
      <c r="A29" s="19"/>
      <c r="B29" s="13" t="s">
        <v>423</v>
      </c>
      <c r="C29" s="14">
        <v>0.1</v>
      </c>
      <c r="D29" s="14">
        <v>0.09</v>
      </c>
      <c r="E29" s="14">
        <v>0.06</v>
      </c>
      <c r="F29" s="14">
        <v>0.06</v>
      </c>
      <c r="G29" s="14">
        <v>7.0000000000000007E-2</v>
      </c>
      <c r="H29" s="14">
        <v>0.06</v>
      </c>
      <c r="I29" s="14">
        <v>0.06</v>
      </c>
      <c r="J29" s="14">
        <v>0.06</v>
      </c>
      <c r="K29" s="14">
        <v>0.04</v>
      </c>
      <c r="L29" s="14">
        <v>0.08</v>
      </c>
      <c r="M29" s="14">
        <v>0.11</v>
      </c>
      <c r="N29" s="14">
        <v>0.13</v>
      </c>
      <c r="O29" s="14">
        <v>7.0000000000000007E-2</v>
      </c>
      <c r="P29" s="14">
        <v>0.1</v>
      </c>
      <c r="Q29" s="14">
        <v>0.17</v>
      </c>
      <c r="R29" s="14">
        <v>0.11</v>
      </c>
      <c r="S29" s="14">
        <v>0.08</v>
      </c>
      <c r="T29" s="14">
        <v>7.0000000000000007E-2</v>
      </c>
      <c r="U29" s="14">
        <v>7.0000000000000007E-2</v>
      </c>
      <c r="V29" s="14">
        <v>7.0000000000000007E-2</v>
      </c>
      <c r="W29" s="14">
        <v>0.13</v>
      </c>
      <c r="X29" s="14">
        <v>7.0000000000000007E-2</v>
      </c>
      <c r="Y29" s="14">
        <v>0.09</v>
      </c>
      <c r="Z29" s="14">
        <v>0.1</v>
      </c>
      <c r="AA29" s="14">
        <v>0.14000000000000001</v>
      </c>
      <c r="AB29" s="14">
        <v>0.1</v>
      </c>
      <c r="AC29" s="14">
        <v>0.04</v>
      </c>
      <c r="AD29" s="14">
        <v>0.06</v>
      </c>
      <c r="AE29" s="14">
        <v>0.04</v>
      </c>
      <c r="AF29" s="14">
        <v>0.08</v>
      </c>
    </row>
    <row r="30" spans="1:32" ht="23.25" x14ac:dyDescent="0.25">
      <c r="A30" s="19"/>
      <c r="B30" s="11" t="s">
        <v>424</v>
      </c>
      <c r="C30" s="12">
        <v>3238</v>
      </c>
      <c r="D30" s="12">
        <v>65</v>
      </c>
      <c r="E30" s="12">
        <v>153</v>
      </c>
      <c r="F30" s="12">
        <v>88</v>
      </c>
      <c r="G30" s="12">
        <v>88</v>
      </c>
      <c r="H30" s="12">
        <v>138</v>
      </c>
      <c r="I30" s="12">
        <v>169</v>
      </c>
      <c r="J30" s="12">
        <v>31</v>
      </c>
      <c r="K30" s="12">
        <v>80</v>
      </c>
      <c r="L30" s="12">
        <v>159</v>
      </c>
      <c r="M30" s="12">
        <v>65</v>
      </c>
      <c r="N30" s="12">
        <v>172</v>
      </c>
      <c r="O30" s="12">
        <v>105</v>
      </c>
      <c r="P30" s="12">
        <v>175</v>
      </c>
      <c r="Q30" s="12">
        <v>162</v>
      </c>
      <c r="R30" s="12">
        <v>83</v>
      </c>
      <c r="S30" s="12">
        <v>153</v>
      </c>
      <c r="T30" s="12">
        <v>98</v>
      </c>
      <c r="U30" s="12">
        <v>45</v>
      </c>
      <c r="V30" s="12">
        <v>124</v>
      </c>
      <c r="W30" s="12">
        <v>83</v>
      </c>
      <c r="X30" s="12">
        <v>59</v>
      </c>
      <c r="Y30" s="12">
        <v>108</v>
      </c>
      <c r="Z30" s="12">
        <v>166</v>
      </c>
      <c r="AA30" s="12">
        <v>181</v>
      </c>
      <c r="AB30" s="12">
        <v>84</v>
      </c>
      <c r="AC30" s="12">
        <v>106</v>
      </c>
      <c r="AD30" s="12">
        <v>56</v>
      </c>
      <c r="AE30" s="12">
        <v>58</v>
      </c>
      <c r="AF30" s="12">
        <v>117</v>
      </c>
    </row>
    <row r="31" spans="1:32" x14ac:dyDescent="0.25">
      <c r="A31" s="19"/>
      <c r="B31" s="13" t="s">
        <v>425</v>
      </c>
      <c r="C31" s="14">
        <v>0.12</v>
      </c>
      <c r="D31" s="14">
        <v>0.06</v>
      </c>
      <c r="E31" s="14">
        <v>0.15</v>
      </c>
      <c r="F31" s="14">
        <v>0.08</v>
      </c>
      <c r="G31" s="14">
        <v>0.09</v>
      </c>
      <c r="H31" s="14">
        <v>0.11</v>
      </c>
      <c r="I31" s="14">
        <v>0.11</v>
      </c>
      <c r="J31" s="14">
        <v>0.1</v>
      </c>
      <c r="K31" s="14">
        <v>0.08</v>
      </c>
      <c r="L31" s="14">
        <v>0.16</v>
      </c>
      <c r="M31" s="14">
        <v>0.06</v>
      </c>
      <c r="N31" s="14">
        <v>0.17</v>
      </c>
      <c r="O31" s="14">
        <v>0.11</v>
      </c>
      <c r="P31" s="14">
        <v>0.18</v>
      </c>
      <c r="Q31" s="14">
        <v>0.16</v>
      </c>
      <c r="R31" s="14">
        <v>0.17</v>
      </c>
      <c r="S31" s="14">
        <v>0.15</v>
      </c>
      <c r="T31" s="14">
        <v>0.1</v>
      </c>
      <c r="U31" s="14">
        <v>0.09</v>
      </c>
      <c r="V31" s="14">
        <v>0.12</v>
      </c>
      <c r="W31" s="14">
        <v>0.16</v>
      </c>
      <c r="X31" s="14">
        <v>0.06</v>
      </c>
      <c r="Y31" s="14">
        <v>0.11</v>
      </c>
      <c r="Z31" s="14">
        <v>0.16</v>
      </c>
      <c r="AA31" s="14">
        <v>0.18</v>
      </c>
      <c r="AB31" s="14">
        <v>0.08</v>
      </c>
      <c r="AC31" s="14">
        <v>0.1</v>
      </c>
      <c r="AD31" s="14">
        <v>0.06</v>
      </c>
      <c r="AE31" s="14">
        <v>0.06</v>
      </c>
      <c r="AF31" s="14">
        <v>0.11</v>
      </c>
    </row>
    <row r="32" spans="1:32" x14ac:dyDescent="0.25">
      <c r="A32" s="19"/>
      <c r="B32" s="11" t="s">
        <v>224</v>
      </c>
      <c r="C32" s="12">
        <v>422</v>
      </c>
      <c r="D32" s="12">
        <v>4</v>
      </c>
      <c r="E32" s="12">
        <v>29</v>
      </c>
      <c r="F32" s="12">
        <v>6</v>
      </c>
      <c r="G32" s="12">
        <v>12</v>
      </c>
      <c r="H32" s="12">
        <v>15</v>
      </c>
      <c r="I32" s="12">
        <v>15</v>
      </c>
      <c r="J32" s="12">
        <v>0</v>
      </c>
      <c r="K32" s="12">
        <v>21</v>
      </c>
      <c r="L32" s="12">
        <v>14</v>
      </c>
      <c r="M32" s="12">
        <v>20</v>
      </c>
      <c r="N32" s="12">
        <v>25</v>
      </c>
      <c r="O32" s="12">
        <v>34</v>
      </c>
      <c r="P32" s="12">
        <v>11</v>
      </c>
      <c r="Q32" s="12">
        <v>7</v>
      </c>
      <c r="R32" s="12">
        <v>7</v>
      </c>
      <c r="S32" s="12">
        <v>29</v>
      </c>
      <c r="T32" s="12">
        <v>29</v>
      </c>
      <c r="U32" s="12">
        <v>7</v>
      </c>
      <c r="V32" s="12">
        <v>3</v>
      </c>
      <c r="W32" s="12">
        <v>7</v>
      </c>
      <c r="X32" s="12">
        <v>3</v>
      </c>
      <c r="Y32" s="12">
        <v>10</v>
      </c>
      <c r="Z32" s="12">
        <v>7</v>
      </c>
      <c r="AA32" s="12">
        <v>45</v>
      </c>
      <c r="AB32" s="12">
        <v>33</v>
      </c>
      <c r="AC32" s="12">
        <v>13</v>
      </c>
      <c r="AD32" s="12">
        <v>6</v>
      </c>
      <c r="AE32" s="12">
        <v>6</v>
      </c>
      <c r="AF32" s="12">
        <v>2</v>
      </c>
    </row>
    <row r="33" spans="1:32" x14ac:dyDescent="0.25">
      <c r="A33" s="19"/>
      <c r="B33" s="13" t="s">
        <v>237</v>
      </c>
      <c r="C33" s="14">
        <v>0.02</v>
      </c>
      <c r="D33" s="15" t="s">
        <v>213</v>
      </c>
      <c r="E33" s="14">
        <v>0.03</v>
      </c>
      <c r="F33" s="14">
        <v>0.01</v>
      </c>
      <c r="G33" s="14">
        <v>0.01</v>
      </c>
      <c r="H33" s="14">
        <v>0.01</v>
      </c>
      <c r="I33" s="14">
        <v>0.01</v>
      </c>
      <c r="J33" s="15" t="s">
        <v>213</v>
      </c>
      <c r="K33" s="14">
        <v>0.02</v>
      </c>
      <c r="L33" s="14">
        <v>0.01</v>
      </c>
      <c r="M33" s="14">
        <v>0.02</v>
      </c>
      <c r="N33" s="14">
        <v>0.03</v>
      </c>
      <c r="O33" s="14">
        <v>0.03</v>
      </c>
      <c r="P33" s="14">
        <v>0.01</v>
      </c>
      <c r="Q33" s="14">
        <v>0.01</v>
      </c>
      <c r="R33" s="14">
        <v>0.01</v>
      </c>
      <c r="S33" s="14">
        <v>0.03</v>
      </c>
      <c r="T33" s="14">
        <v>0.03</v>
      </c>
      <c r="U33" s="14">
        <v>0.01</v>
      </c>
      <c r="V33" s="15" t="s">
        <v>213</v>
      </c>
      <c r="W33" s="14">
        <v>0.01</v>
      </c>
      <c r="X33" s="15" t="s">
        <v>213</v>
      </c>
      <c r="Y33" s="14">
        <v>0.01</v>
      </c>
      <c r="Z33" s="14">
        <v>0.01</v>
      </c>
      <c r="AA33" s="14">
        <v>0.04</v>
      </c>
      <c r="AB33" s="14">
        <v>0.03</v>
      </c>
      <c r="AC33" s="14">
        <v>0.01</v>
      </c>
      <c r="AD33" s="14">
        <v>0.01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4983</v>
      </c>
      <c r="D34" s="12">
        <v>189</v>
      </c>
      <c r="E34" s="12">
        <v>299</v>
      </c>
      <c r="F34" s="12">
        <v>362</v>
      </c>
      <c r="G34" s="12">
        <v>353</v>
      </c>
      <c r="H34" s="12">
        <v>345</v>
      </c>
      <c r="I34" s="12">
        <v>429</v>
      </c>
      <c r="J34" s="12">
        <v>85</v>
      </c>
      <c r="K34" s="12">
        <v>374</v>
      </c>
      <c r="L34" s="12">
        <v>214</v>
      </c>
      <c r="M34" s="12">
        <v>119</v>
      </c>
      <c r="N34" s="12">
        <v>99</v>
      </c>
      <c r="O34" s="12">
        <v>184</v>
      </c>
      <c r="P34" s="12">
        <v>186</v>
      </c>
      <c r="Q34" s="12">
        <v>112</v>
      </c>
      <c r="R34" s="12">
        <v>47</v>
      </c>
      <c r="S34" s="12">
        <v>270</v>
      </c>
      <c r="T34" s="12">
        <v>284</v>
      </c>
      <c r="U34" s="12">
        <v>126</v>
      </c>
      <c r="V34" s="12">
        <v>211</v>
      </c>
      <c r="W34" s="12">
        <v>82</v>
      </c>
      <c r="X34" s="12">
        <v>189</v>
      </c>
      <c r="Y34" s="12">
        <v>255</v>
      </c>
      <c r="Z34" s="12">
        <v>80</v>
      </c>
      <c r="AA34" s="12">
        <v>250</v>
      </c>
      <c r="AB34" s="12">
        <v>141</v>
      </c>
      <c r="AC34" s="12">
        <v>354</v>
      </c>
      <c r="AD34" s="12">
        <v>356</v>
      </c>
      <c r="AE34" s="12">
        <v>339</v>
      </c>
      <c r="AF34" s="12">
        <v>229</v>
      </c>
    </row>
    <row r="35" spans="1:32" ht="23.25" x14ac:dyDescent="0.25">
      <c r="A35" s="19"/>
      <c r="B35" s="13" t="s">
        <v>427</v>
      </c>
      <c r="C35" s="14">
        <v>0.19</v>
      </c>
      <c r="D35" s="14">
        <v>0.19</v>
      </c>
      <c r="E35" s="14">
        <v>0.28000000000000003</v>
      </c>
      <c r="F35" s="14">
        <v>0.34</v>
      </c>
      <c r="G35" s="14">
        <v>0.35</v>
      </c>
      <c r="H35" s="14">
        <v>0.28000000000000003</v>
      </c>
      <c r="I35" s="14">
        <v>0.28999999999999998</v>
      </c>
      <c r="J35" s="14">
        <v>0.3</v>
      </c>
      <c r="K35" s="14">
        <v>0.37</v>
      </c>
      <c r="L35" s="14">
        <v>0.22</v>
      </c>
      <c r="M35" s="14">
        <v>0.12</v>
      </c>
      <c r="N35" s="14">
        <v>0.09</v>
      </c>
      <c r="O35" s="14">
        <v>0.17</v>
      </c>
      <c r="P35" s="14">
        <v>0.18</v>
      </c>
      <c r="Q35" s="14">
        <v>0.1</v>
      </c>
      <c r="R35" s="14">
        <v>0.1</v>
      </c>
      <c r="S35" s="14">
        <v>0.27</v>
      </c>
      <c r="T35" s="14">
        <v>0.27</v>
      </c>
      <c r="U35" s="14">
        <v>0.25</v>
      </c>
      <c r="V35" s="14">
        <v>0.21</v>
      </c>
      <c r="W35" s="14">
        <v>0.17</v>
      </c>
      <c r="X35" s="14">
        <v>0.19</v>
      </c>
      <c r="Y35" s="14">
        <v>0.26</v>
      </c>
      <c r="Z35" s="14">
        <v>0.08</v>
      </c>
      <c r="AA35" s="14">
        <v>0.24</v>
      </c>
      <c r="AB35" s="14">
        <v>0.13</v>
      </c>
      <c r="AC35" s="14">
        <v>0.36</v>
      </c>
      <c r="AD35" s="14">
        <v>0.35</v>
      </c>
      <c r="AE35" s="14">
        <v>0.34</v>
      </c>
      <c r="AF35" s="14">
        <v>0.23</v>
      </c>
    </row>
    <row r="36" spans="1:32" ht="23.25" x14ac:dyDescent="0.25">
      <c r="A36" s="19"/>
      <c r="B36" s="11" t="s">
        <v>428</v>
      </c>
      <c r="C36" s="12">
        <v>6060</v>
      </c>
      <c r="D36" s="12">
        <v>262</v>
      </c>
      <c r="E36" s="12">
        <v>256</v>
      </c>
      <c r="F36" s="12">
        <v>299</v>
      </c>
      <c r="G36" s="12">
        <v>216</v>
      </c>
      <c r="H36" s="12">
        <v>318</v>
      </c>
      <c r="I36" s="12">
        <v>402</v>
      </c>
      <c r="J36" s="12">
        <v>85</v>
      </c>
      <c r="K36" s="12">
        <v>278</v>
      </c>
      <c r="L36" s="12">
        <v>195</v>
      </c>
      <c r="M36" s="12">
        <v>281</v>
      </c>
      <c r="N36" s="12">
        <v>198</v>
      </c>
      <c r="O36" s="12">
        <v>257</v>
      </c>
      <c r="P36" s="12">
        <v>233</v>
      </c>
      <c r="Q36" s="12">
        <v>155</v>
      </c>
      <c r="R36" s="12">
        <v>108</v>
      </c>
      <c r="S36" s="12">
        <v>231</v>
      </c>
      <c r="T36" s="12">
        <v>307</v>
      </c>
      <c r="U36" s="12">
        <v>137</v>
      </c>
      <c r="V36" s="12">
        <v>296</v>
      </c>
      <c r="W36" s="12">
        <v>101</v>
      </c>
      <c r="X36" s="12">
        <v>272</v>
      </c>
      <c r="Y36" s="12">
        <v>242</v>
      </c>
      <c r="Z36" s="12">
        <v>211</v>
      </c>
      <c r="AA36" s="12">
        <v>143</v>
      </c>
      <c r="AB36" s="12">
        <v>239</v>
      </c>
      <c r="AC36" s="12">
        <v>286</v>
      </c>
      <c r="AD36" s="12">
        <v>235</v>
      </c>
      <c r="AE36" s="12">
        <v>260</v>
      </c>
      <c r="AF36" s="12">
        <v>252</v>
      </c>
    </row>
    <row r="37" spans="1:32" ht="23.25" x14ac:dyDescent="0.25">
      <c r="A37" s="19"/>
      <c r="B37" s="13" t="s">
        <v>429</v>
      </c>
      <c r="C37" s="14">
        <v>0.23</v>
      </c>
      <c r="D37" s="14">
        <v>0.26</v>
      </c>
      <c r="E37" s="14">
        <v>0.25</v>
      </c>
      <c r="F37" s="14">
        <v>0.28000000000000003</v>
      </c>
      <c r="G37" s="14">
        <v>0.21</v>
      </c>
      <c r="H37" s="14">
        <v>0.26</v>
      </c>
      <c r="I37" s="14">
        <v>0.26</v>
      </c>
      <c r="J37" s="14">
        <v>0.28000000000000003</v>
      </c>
      <c r="K37" s="14">
        <v>0.28000000000000003</v>
      </c>
      <c r="L37" s="14">
        <v>0.19</v>
      </c>
      <c r="M37" s="14">
        <v>0.28000000000000003</v>
      </c>
      <c r="N37" s="14">
        <v>0.2</v>
      </c>
      <c r="O37" s="14">
        <v>0.26</v>
      </c>
      <c r="P37" s="14">
        <v>0.23</v>
      </c>
      <c r="Q37" s="14">
        <v>0.15</v>
      </c>
      <c r="R37" s="14">
        <v>0.21</v>
      </c>
      <c r="S37" s="14">
        <v>0.23</v>
      </c>
      <c r="T37" s="14">
        <v>0.3</v>
      </c>
      <c r="U37" s="14">
        <v>0.27</v>
      </c>
      <c r="V37" s="14">
        <v>0.28999999999999998</v>
      </c>
      <c r="W37" s="14">
        <v>0.2</v>
      </c>
      <c r="X37" s="14">
        <v>0.27</v>
      </c>
      <c r="Y37" s="14">
        <v>0.24</v>
      </c>
      <c r="Z37" s="14">
        <v>0.21</v>
      </c>
      <c r="AA37" s="14">
        <v>0.14000000000000001</v>
      </c>
      <c r="AB37" s="14">
        <v>0.23</v>
      </c>
      <c r="AC37" s="14">
        <v>0.28000000000000003</v>
      </c>
      <c r="AD37" s="14">
        <v>0.23</v>
      </c>
      <c r="AE37" s="14">
        <v>0.26</v>
      </c>
      <c r="AF37" s="14">
        <v>0.24</v>
      </c>
    </row>
    <row r="38" spans="1:32" ht="23.25" x14ac:dyDescent="0.25">
      <c r="A38" s="19"/>
      <c r="B38" s="11" t="s">
        <v>430</v>
      </c>
      <c r="C38" s="12">
        <v>14989</v>
      </c>
      <c r="D38" s="12">
        <v>567</v>
      </c>
      <c r="E38" s="12">
        <v>461</v>
      </c>
      <c r="F38" s="12">
        <v>396</v>
      </c>
      <c r="G38" s="12">
        <v>435</v>
      </c>
      <c r="H38" s="12">
        <v>553</v>
      </c>
      <c r="I38" s="12">
        <v>681</v>
      </c>
      <c r="J38" s="12">
        <v>127</v>
      </c>
      <c r="K38" s="12">
        <v>331</v>
      </c>
      <c r="L38" s="12">
        <v>584</v>
      </c>
      <c r="M38" s="12">
        <v>586</v>
      </c>
      <c r="N38" s="12">
        <v>689</v>
      </c>
      <c r="O38" s="12">
        <v>527</v>
      </c>
      <c r="P38" s="12">
        <v>571</v>
      </c>
      <c r="Q38" s="12">
        <v>758</v>
      </c>
      <c r="R38" s="12">
        <v>338</v>
      </c>
      <c r="S38" s="12">
        <v>474</v>
      </c>
      <c r="T38" s="12">
        <v>401</v>
      </c>
      <c r="U38" s="12">
        <v>237</v>
      </c>
      <c r="V38" s="12">
        <v>516</v>
      </c>
      <c r="W38" s="12">
        <v>312</v>
      </c>
      <c r="X38" s="12">
        <v>546</v>
      </c>
      <c r="Y38" s="12">
        <v>496</v>
      </c>
      <c r="Z38" s="12">
        <v>718</v>
      </c>
      <c r="AA38" s="12">
        <v>600</v>
      </c>
      <c r="AB38" s="12">
        <v>627</v>
      </c>
      <c r="AC38" s="12">
        <v>351</v>
      </c>
      <c r="AD38" s="12">
        <v>405</v>
      </c>
      <c r="AE38" s="12">
        <v>396</v>
      </c>
      <c r="AF38" s="12">
        <v>548</v>
      </c>
    </row>
    <row r="39" spans="1:32" ht="23.25" x14ac:dyDescent="0.25">
      <c r="A39" s="19"/>
      <c r="B39" s="13" t="s">
        <v>431</v>
      </c>
      <c r="C39" s="14">
        <v>0.56000000000000005</v>
      </c>
      <c r="D39" s="14">
        <v>0.55000000000000004</v>
      </c>
      <c r="E39" s="14">
        <v>0.44</v>
      </c>
      <c r="F39" s="14">
        <v>0.37</v>
      </c>
      <c r="G39" s="14">
        <v>0.43</v>
      </c>
      <c r="H39" s="14">
        <v>0.45</v>
      </c>
      <c r="I39" s="14">
        <v>0.44</v>
      </c>
      <c r="J39" s="14">
        <v>0.42</v>
      </c>
      <c r="K39" s="14">
        <v>0.33</v>
      </c>
      <c r="L39" s="14">
        <v>0.57999999999999996</v>
      </c>
      <c r="M39" s="14">
        <v>0.57999999999999996</v>
      </c>
      <c r="N39" s="14">
        <v>0.68</v>
      </c>
      <c r="O39" s="14">
        <v>0.54</v>
      </c>
      <c r="P39" s="14">
        <v>0.57999999999999996</v>
      </c>
      <c r="Q39" s="14">
        <v>0.74</v>
      </c>
      <c r="R39" s="14">
        <v>0.68</v>
      </c>
      <c r="S39" s="14">
        <v>0.47</v>
      </c>
      <c r="T39" s="14">
        <v>0.4</v>
      </c>
      <c r="U39" s="14">
        <v>0.47</v>
      </c>
      <c r="V39" s="14">
        <v>0.5</v>
      </c>
      <c r="W39" s="14">
        <v>0.62</v>
      </c>
      <c r="X39" s="14">
        <v>0.54</v>
      </c>
      <c r="Y39" s="14">
        <v>0.49</v>
      </c>
      <c r="Z39" s="14">
        <v>0.70000000000000007</v>
      </c>
      <c r="AA39" s="14">
        <v>0.57999999999999996</v>
      </c>
      <c r="AB39" s="14">
        <v>0.61</v>
      </c>
      <c r="AC39" s="14">
        <v>0.35</v>
      </c>
      <c r="AD39" s="14">
        <v>0.41</v>
      </c>
      <c r="AE39" s="14">
        <v>0.39</v>
      </c>
      <c r="AF39" s="14">
        <v>0.53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444</v>
      </c>
      <c r="C3" s="18"/>
      <c r="D3" s="18"/>
      <c r="E3" s="18"/>
      <c r="F3" s="18"/>
      <c r="H3" s="18" t="s">
        <v>445</v>
      </c>
      <c r="I3" s="18"/>
      <c r="J3" s="18"/>
      <c r="K3" s="18"/>
      <c r="L3" s="18"/>
    </row>
    <row r="4" spans="1:32" ht="27" customHeight="1" x14ac:dyDescent="0.25">
      <c r="B4" s="18" t="s">
        <v>446</v>
      </c>
      <c r="C4" s="18"/>
      <c r="D4" s="18"/>
      <c r="E4" s="18"/>
      <c r="F4" s="18"/>
      <c r="H4" s="18" t="s">
        <v>447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572</v>
      </c>
      <c r="D12" s="12">
        <v>18</v>
      </c>
      <c r="E12" s="12">
        <v>54</v>
      </c>
      <c r="F12" s="12">
        <v>57</v>
      </c>
      <c r="G12" s="12">
        <v>52</v>
      </c>
      <c r="H12" s="12">
        <v>18</v>
      </c>
      <c r="I12" s="12">
        <v>24</v>
      </c>
      <c r="J12" s="12">
        <v>6</v>
      </c>
      <c r="K12" s="12">
        <v>34</v>
      </c>
      <c r="L12" s="12">
        <v>45</v>
      </c>
      <c r="M12" s="12">
        <v>9</v>
      </c>
      <c r="N12" s="12">
        <v>16</v>
      </c>
      <c r="O12" s="12">
        <v>24</v>
      </c>
      <c r="P12" s="12">
        <v>17</v>
      </c>
      <c r="Q12" s="12">
        <v>29</v>
      </c>
      <c r="R12" s="12">
        <v>5</v>
      </c>
      <c r="S12" s="12">
        <v>75</v>
      </c>
      <c r="T12" s="12">
        <v>70</v>
      </c>
      <c r="U12" s="12">
        <v>6</v>
      </c>
      <c r="V12" s="12">
        <v>14</v>
      </c>
      <c r="W12" s="12">
        <v>15</v>
      </c>
      <c r="X12" s="12">
        <v>13</v>
      </c>
      <c r="Y12" s="12">
        <v>41</v>
      </c>
      <c r="Z12" s="12">
        <v>2</v>
      </c>
      <c r="AA12" s="12">
        <v>4</v>
      </c>
      <c r="AB12" s="12">
        <v>24</v>
      </c>
      <c r="AC12" s="12">
        <v>69</v>
      </c>
      <c r="AD12" s="12">
        <v>49</v>
      </c>
      <c r="AE12" s="12">
        <v>18</v>
      </c>
      <c r="AF12" s="12">
        <v>26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0.05</v>
      </c>
      <c r="F13" s="14">
        <v>0.05</v>
      </c>
      <c r="G13" s="14">
        <v>0.05</v>
      </c>
      <c r="H13" s="14">
        <v>0.01</v>
      </c>
      <c r="I13" s="14">
        <v>0.01</v>
      </c>
      <c r="J13" s="14">
        <v>0.02</v>
      </c>
      <c r="K13" s="14">
        <v>0.03</v>
      </c>
      <c r="L13" s="14">
        <v>0.05</v>
      </c>
      <c r="M13" s="14">
        <v>0.01</v>
      </c>
      <c r="N13" s="14">
        <v>0.02</v>
      </c>
      <c r="O13" s="14">
        <v>0.02</v>
      </c>
      <c r="P13" s="14">
        <v>0.02</v>
      </c>
      <c r="Q13" s="14">
        <v>0.03</v>
      </c>
      <c r="R13" s="14">
        <v>0.01</v>
      </c>
      <c r="S13" s="14">
        <v>7.0000000000000007E-2</v>
      </c>
      <c r="T13" s="14">
        <v>7.0000000000000007E-2</v>
      </c>
      <c r="U13" s="14">
        <v>0.01</v>
      </c>
      <c r="V13" s="14">
        <v>0.01</v>
      </c>
      <c r="W13" s="14">
        <v>0.03</v>
      </c>
      <c r="X13" s="14">
        <v>0.01</v>
      </c>
      <c r="Y13" s="14">
        <v>0.04</v>
      </c>
      <c r="Z13" s="15" t="s">
        <v>213</v>
      </c>
      <c r="AA13" s="15" t="s">
        <v>213</v>
      </c>
      <c r="AB13" s="14">
        <v>0.02</v>
      </c>
      <c r="AC13" s="14">
        <v>7.0000000000000007E-2</v>
      </c>
      <c r="AD13" s="14">
        <v>0.05</v>
      </c>
      <c r="AE13" s="14">
        <v>0.02</v>
      </c>
      <c r="AF13" s="14">
        <v>0.03</v>
      </c>
    </row>
    <row r="14" spans="1:32" x14ac:dyDescent="0.25">
      <c r="A14" s="19"/>
      <c r="B14" s="11" t="s">
        <v>416</v>
      </c>
      <c r="C14" s="12">
        <v>632</v>
      </c>
      <c r="D14" s="12">
        <v>19</v>
      </c>
      <c r="E14" s="12">
        <v>33</v>
      </c>
      <c r="F14" s="12">
        <v>33</v>
      </c>
      <c r="G14" s="12">
        <v>46</v>
      </c>
      <c r="H14" s="12">
        <v>81</v>
      </c>
      <c r="I14" s="12">
        <v>89</v>
      </c>
      <c r="J14" s="12">
        <v>8</v>
      </c>
      <c r="K14" s="12">
        <v>28</v>
      </c>
      <c r="L14" s="12">
        <v>23</v>
      </c>
      <c r="M14" s="12">
        <v>12</v>
      </c>
      <c r="N14" s="12">
        <v>9</v>
      </c>
      <c r="O14" s="12">
        <v>23</v>
      </c>
      <c r="P14" s="12">
        <v>13</v>
      </c>
      <c r="Q14" s="12">
        <v>8</v>
      </c>
      <c r="R14" s="12">
        <v>10</v>
      </c>
      <c r="S14" s="12">
        <v>30</v>
      </c>
      <c r="T14" s="12">
        <v>30</v>
      </c>
      <c r="U14" s="12">
        <v>2</v>
      </c>
      <c r="V14" s="12">
        <v>17</v>
      </c>
      <c r="W14" s="12">
        <v>9</v>
      </c>
      <c r="X14" s="12">
        <v>11</v>
      </c>
      <c r="Y14" s="12">
        <v>14</v>
      </c>
      <c r="Z14" s="12">
        <v>4</v>
      </c>
      <c r="AA14" s="12">
        <v>4</v>
      </c>
      <c r="AB14" s="12">
        <v>15</v>
      </c>
      <c r="AC14" s="12">
        <v>35</v>
      </c>
      <c r="AD14" s="12">
        <v>29</v>
      </c>
      <c r="AE14" s="12">
        <v>40</v>
      </c>
      <c r="AF14" s="12">
        <v>54</v>
      </c>
    </row>
    <row r="15" spans="1:32" x14ac:dyDescent="0.25">
      <c r="A15" s="19"/>
      <c r="B15" s="13" t="s">
        <v>416</v>
      </c>
      <c r="C15" s="14">
        <v>0.02</v>
      </c>
      <c r="D15" s="14">
        <v>0.02</v>
      </c>
      <c r="E15" s="14">
        <v>0.03</v>
      </c>
      <c r="F15" s="14">
        <v>0.03</v>
      </c>
      <c r="G15" s="14">
        <v>0.04</v>
      </c>
      <c r="H15" s="14">
        <v>0.06</v>
      </c>
      <c r="I15" s="14">
        <v>0.06</v>
      </c>
      <c r="J15" s="14">
        <v>0.03</v>
      </c>
      <c r="K15" s="14">
        <v>0.03</v>
      </c>
      <c r="L15" s="14">
        <v>0.02</v>
      </c>
      <c r="M15" s="14">
        <v>0.01</v>
      </c>
      <c r="N15" s="14">
        <v>0.01</v>
      </c>
      <c r="O15" s="14">
        <v>0.02</v>
      </c>
      <c r="P15" s="14">
        <v>0.01</v>
      </c>
      <c r="Q15" s="14">
        <v>0.01</v>
      </c>
      <c r="R15" s="14">
        <v>0.02</v>
      </c>
      <c r="S15" s="14">
        <v>0.03</v>
      </c>
      <c r="T15" s="14">
        <v>0.03</v>
      </c>
      <c r="U15" s="15" t="s">
        <v>213</v>
      </c>
      <c r="V15" s="14">
        <v>0.02</v>
      </c>
      <c r="W15" s="14">
        <v>0.02</v>
      </c>
      <c r="X15" s="14">
        <v>0.01</v>
      </c>
      <c r="Y15" s="14">
        <v>0.01</v>
      </c>
      <c r="Z15" s="15" t="s">
        <v>213</v>
      </c>
      <c r="AA15" s="15" t="s">
        <v>213</v>
      </c>
      <c r="AB15" s="14">
        <v>0.01</v>
      </c>
      <c r="AC15" s="14">
        <v>0.03</v>
      </c>
      <c r="AD15" s="14">
        <v>0.03</v>
      </c>
      <c r="AE15" s="14">
        <v>0.04</v>
      </c>
      <c r="AF15" s="14">
        <v>0.05</v>
      </c>
    </row>
    <row r="16" spans="1:32" x14ac:dyDescent="0.25">
      <c r="A16" s="19"/>
      <c r="B16" s="11" t="s">
        <v>417</v>
      </c>
      <c r="C16" s="12">
        <v>823</v>
      </c>
      <c r="D16" s="12">
        <v>23</v>
      </c>
      <c r="E16" s="12">
        <v>68</v>
      </c>
      <c r="F16" s="12">
        <v>68</v>
      </c>
      <c r="G16" s="12">
        <v>90</v>
      </c>
      <c r="H16" s="12">
        <v>70</v>
      </c>
      <c r="I16" s="12">
        <v>78</v>
      </c>
      <c r="J16" s="12">
        <v>8</v>
      </c>
      <c r="K16" s="12">
        <v>83</v>
      </c>
      <c r="L16" s="12">
        <v>28</v>
      </c>
      <c r="M16" s="12">
        <v>27</v>
      </c>
      <c r="N16" s="12">
        <v>12</v>
      </c>
      <c r="O16" s="12">
        <v>20</v>
      </c>
      <c r="P16" s="12">
        <v>24</v>
      </c>
      <c r="Q16" s="12">
        <v>11</v>
      </c>
      <c r="R16" s="12">
        <v>7</v>
      </c>
      <c r="S16" s="12">
        <v>71</v>
      </c>
      <c r="T16" s="12">
        <v>49</v>
      </c>
      <c r="U16" s="12">
        <v>10</v>
      </c>
      <c r="V16" s="12">
        <v>58</v>
      </c>
      <c r="W16" s="12">
        <v>14</v>
      </c>
      <c r="X16" s="12">
        <v>45</v>
      </c>
      <c r="Y16" s="12">
        <v>42</v>
      </c>
      <c r="Z16" s="12">
        <v>7</v>
      </c>
      <c r="AA16" s="12">
        <v>7</v>
      </c>
      <c r="AB16" s="12">
        <v>34</v>
      </c>
      <c r="AC16" s="12">
        <v>69</v>
      </c>
      <c r="AD16" s="12">
        <v>30</v>
      </c>
      <c r="AE16" s="12">
        <v>53</v>
      </c>
      <c r="AF16" s="12">
        <v>96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7.0000000000000007E-2</v>
      </c>
      <c r="F17" s="14">
        <v>0.06</v>
      </c>
      <c r="G17" s="14">
        <v>0.09</v>
      </c>
      <c r="H17" s="14">
        <v>0.06</v>
      </c>
      <c r="I17" s="14">
        <v>0.05</v>
      </c>
      <c r="J17" s="14">
        <v>0.03</v>
      </c>
      <c r="K17" s="14">
        <v>0.08</v>
      </c>
      <c r="L17" s="14">
        <v>0.03</v>
      </c>
      <c r="M17" s="14">
        <v>0.03</v>
      </c>
      <c r="N17" s="14">
        <v>0.01</v>
      </c>
      <c r="O17" s="14">
        <v>0.02</v>
      </c>
      <c r="P17" s="14">
        <v>0.02</v>
      </c>
      <c r="Q17" s="14">
        <v>0.01</v>
      </c>
      <c r="R17" s="14">
        <v>0.01</v>
      </c>
      <c r="S17" s="14">
        <v>7.0000000000000007E-2</v>
      </c>
      <c r="T17" s="14">
        <v>0.05</v>
      </c>
      <c r="U17" s="14">
        <v>0.02</v>
      </c>
      <c r="V17" s="14">
        <v>0.06</v>
      </c>
      <c r="W17" s="14">
        <v>0.03</v>
      </c>
      <c r="X17" s="14">
        <v>0.05</v>
      </c>
      <c r="Y17" s="14">
        <v>0.04</v>
      </c>
      <c r="Z17" s="14">
        <v>0.01</v>
      </c>
      <c r="AA17" s="14">
        <v>0.01</v>
      </c>
      <c r="AB17" s="14">
        <v>0.03</v>
      </c>
      <c r="AC17" s="14">
        <v>7.0000000000000007E-2</v>
      </c>
      <c r="AD17" s="14">
        <v>0.03</v>
      </c>
      <c r="AE17" s="14">
        <v>0.05</v>
      </c>
      <c r="AF17" s="14">
        <v>0.09</v>
      </c>
    </row>
    <row r="18" spans="1:32" x14ac:dyDescent="0.25">
      <c r="A18" s="19"/>
      <c r="B18" s="11" t="s">
        <v>418</v>
      </c>
      <c r="C18" s="12">
        <v>1341</v>
      </c>
      <c r="D18" s="12">
        <v>62</v>
      </c>
      <c r="E18" s="12">
        <v>92</v>
      </c>
      <c r="F18" s="12">
        <v>102</v>
      </c>
      <c r="G18" s="12">
        <v>110</v>
      </c>
      <c r="H18" s="12">
        <v>87</v>
      </c>
      <c r="I18" s="12">
        <v>105</v>
      </c>
      <c r="J18" s="12">
        <v>18</v>
      </c>
      <c r="K18" s="12">
        <v>97</v>
      </c>
      <c r="L18" s="12">
        <v>32</v>
      </c>
      <c r="M18" s="12">
        <v>52</v>
      </c>
      <c r="N18" s="12">
        <v>21</v>
      </c>
      <c r="O18" s="12">
        <v>39</v>
      </c>
      <c r="P18" s="12">
        <v>66</v>
      </c>
      <c r="Q18" s="12">
        <v>35</v>
      </c>
      <c r="R18" s="12">
        <v>20</v>
      </c>
      <c r="S18" s="12">
        <v>71</v>
      </c>
      <c r="T18" s="12">
        <v>89</v>
      </c>
      <c r="U18" s="12">
        <v>27</v>
      </c>
      <c r="V18" s="12">
        <v>100</v>
      </c>
      <c r="W18" s="12">
        <v>23</v>
      </c>
      <c r="X18" s="12">
        <v>63</v>
      </c>
      <c r="Y18" s="12">
        <v>68</v>
      </c>
      <c r="Z18" s="12">
        <v>35</v>
      </c>
      <c r="AA18" s="12">
        <v>25</v>
      </c>
      <c r="AB18" s="12">
        <v>39</v>
      </c>
      <c r="AC18" s="12">
        <v>76</v>
      </c>
      <c r="AD18" s="12">
        <v>52</v>
      </c>
      <c r="AE18" s="12">
        <v>88</v>
      </c>
      <c r="AF18" s="12">
        <v>103</v>
      </c>
    </row>
    <row r="19" spans="1:32" x14ac:dyDescent="0.25">
      <c r="A19" s="19"/>
      <c r="B19" s="13" t="s">
        <v>418</v>
      </c>
      <c r="C19" s="14">
        <v>0.05</v>
      </c>
      <c r="D19" s="14">
        <v>0.06</v>
      </c>
      <c r="E19" s="14">
        <v>0.09</v>
      </c>
      <c r="F19" s="14">
        <v>0.1</v>
      </c>
      <c r="G19" s="14">
        <v>0.11</v>
      </c>
      <c r="H19" s="14">
        <v>7.0000000000000007E-2</v>
      </c>
      <c r="I19" s="14">
        <v>7.0000000000000007E-2</v>
      </c>
      <c r="J19" s="14">
        <v>0.06</v>
      </c>
      <c r="K19" s="14">
        <v>0.1</v>
      </c>
      <c r="L19" s="14">
        <v>0.03</v>
      </c>
      <c r="M19" s="14">
        <v>0.05</v>
      </c>
      <c r="N19" s="14">
        <v>0.02</v>
      </c>
      <c r="O19" s="14">
        <v>0.04</v>
      </c>
      <c r="P19" s="14">
        <v>7.0000000000000007E-2</v>
      </c>
      <c r="Q19" s="14">
        <v>0.03</v>
      </c>
      <c r="R19" s="14">
        <v>0.04</v>
      </c>
      <c r="S19" s="14">
        <v>7.0000000000000007E-2</v>
      </c>
      <c r="T19" s="14">
        <v>0.09</v>
      </c>
      <c r="U19" s="14">
        <v>0.05</v>
      </c>
      <c r="V19" s="14">
        <v>0.1</v>
      </c>
      <c r="W19" s="14">
        <v>0.04</v>
      </c>
      <c r="X19" s="14">
        <v>0.06</v>
      </c>
      <c r="Y19" s="14">
        <v>7.0000000000000007E-2</v>
      </c>
      <c r="Z19" s="14">
        <v>0.03</v>
      </c>
      <c r="AA19" s="14">
        <v>0.03</v>
      </c>
      <c r="AB19" s="14">
        <v>0.04</v>
      </c>
      <c r="AC19" s="14">
        <v>0.08</v>
      </c>
      <c r="AD19" s="14">
        <v>0.05</v>
      </c>
      <c r="AE19" s="14">
        <v>0.09</v>
      </c>
      <c r="AF19" s="14">
        <v>0.1</v>
      </c>
    </row>
    <row r="20" spans="1:32" x14ac:dyDescent="0.25">
      <c r="A20" s="19"/>
      <c r="B20" s="11" t="s">
        <v>419</v>
      </c>
      <c r="C20" s="12">
        <v>3047</v>
      </c>
      <c r="D20" s="12">
        <v>106</v>
      </c>
      <c r="E20" s="12">
        <v>132</v>
      </c>
      <c r="F20" s="12">
        <v>173</v>
      </c>
      <c r="G20" s="12">
        <v>199</v>
      </c>
      <c r="H20" s="12">
        <v>174</v>
      </c>
      <c r="I20" s="12">
        <v>206</v>
      </c>
      <c r="J20" s="12">
        <v>32</v>
      </c>
      <c r="K20" s="12">
        <v>175</v>
      </c>
      <c r="L20" s="12">
        <v>91</v>
      </c>
      <c r="M20" s="12">
        <v>72</v>
      </c>
      <c r="N20" s="12">
        <v>66</v>
      </c>
      <c r="O20" s="12">
        <v>155</v>
      </c>
      <c r="P20" s="12">
        <v>98</v>
      </c>
      <c r="Q20" s="12">
        <v>50</v>
      </c>
      <c r="R20" s="12">
        <v>59</v>
      </c>
      <c r="S20" s="12">
        <v>180</v>
      </c>
      <c r="T20" s="12">
        <v>208</v>
      </c>
      <c r="U20" s="12">
        <v>50</v>
      </c>
      <c r="V20" s="12">
        <v>126</v>
      </c>
      <c r="W20" s="12">
        <v>55</v>
      </c>
      <c r="X20" s="12">
        <v>134</v>
      </c>
      <c r="Y20" s="12">
        <v>154</v>
      </c>
      <c r="Z20" s="12">
        <v>85</v>
      </c>
      <c r="AA20" s="12">
        <v>196</v>
      </c>
      <c r="AB20" s="12">
        <v>131</v>
      </c>
      <c r="AC20" s="12">
        <v>163</v>
      </c>
      <c r="AD20" s="12">
        <v>147</v>
      </c>
      <c r="AE20" s="12">
        <v>115</v>
      </c>
      <c r="AF20" s="12">
        <v>177</v>
      </c>
    </row>
    <row r="21" spans="1:32" x14ac:dyDescent="0.25">
      <c r="A21" s="19"/>
      <c r="B21" s="13" t="s">
        <v>419</v>
      </c>
      <c r="C21" s="14">
        <v>0.12</v>
      </c>
      <c r="D21" s="14">
        <v>0.1</v>
      </c>
      <c r="E21" s="14">
        <v>0.13</v>
      </c>
      <c r="F21" s="14">
        <v>0.16</v>
      </c>
      <c r="G21" s="14">
        <v>0.2</v>
      </c>
      <c r="H21" s="14">
        <v>0.14000000000000001</v>
      </c>
      <c r="I21" s="14">
        <v>0.13</v>
      </c>
      <c r="J21" s="14">
        <v>0.11</v>
      </c>
      <c r="K21" s="14">
        <v>0.17</v>
      </c>
      <c r="L21" s="14">
        <v>0.09</v>
      </c>
      <c r="M21" s="14">
        <v>7.0000000000000007E-2</v>
      </c>
      <c r="N21" s="14">
        <v>7.0000000000000007E-2</v>
      </c>
      <c r="O21" s="14">
        <v>0.15</v>
      </c>
      <c r="P21" s="14">
        <v>0.1</v>
      </c>
      <c r="Q21" s="14">
        <v>0.05</v>
      </c>
      <c r="R21" s="14">
        <v>0.12</v>
      </c>
      <c r="S21" s="14">
        <v>0.18</v>
      </c>
      <c r="T21" s="14">
        <v>0.2</v>
      </c>
      <c r="U21" s="14">
        <v>0.1</v>
      </c>
      <c r="V21" s="14">
        <v>0.12</v>
      </c>
      <c r="W21" s="14">
        <v>0.11</v>
      </c>
      <c r="X21" s="14">
        <v>0.13</v>
      </c>
      <c r="Y21" s="14">
        <v>0.15</v>
      </c>
      <c r="Z21" s="14">
        <v>0.08</v>
      </c>
      <c r="AA21" s="14">
        <v>0.19</v>
      </c>
      <c r="AB21" s="14">
        <v>0.13</v>
      </c>
      <c r="AC21" s="14">
        <v>0.16</v>
      </c>
      <c r="AD21" s="14">
        <v>0.15</v>
      </c>
      <c r="AE21" s="14">
        <v>0.12</v>
      </c>
      <c r="AF21" s="14">
        <v>0.17</v>
      </c>
    </row>
    <row r="22" spans="1:32" x14ac:dyDescent="0.25">
      <c r="A22" s="19"/>
      <c r="B22" s="11" t="s">
        <v>420</v>
      </c>
      <c r="C22" s="12">
        <v>3346</v>
      </c>
      <c r="D22" s="12">
        <v>148</v>
      </c>
      <c r="E22" s="12">
        <v>137</v>
      </c>
      <c r="F22" s="12">
        <v>133</v>
      </c>
      <c r="G22" s="12">
        <v>117</v>
      </c>
      <c r="H22" s="12">
        <v>179</v>
      </c>
      <c r="I22" s="12">
        <v>219</v>
      </c>
      <c r="J22" s="12">
        <v>40</v>
      </c>
      <c r="K22" s="12">
        <v>117</v>
      </c>
      <c r="L22" s="12">
        <v>83</v>
      </c>
      <c r="M22" s="12">
        <v>109</v>
      </c>
      <c r="N22" s="12">
        <v>97</v>
      </c>
      <c r="O22" s="12">
        <v>142</v>
      </c>
      <c r="P22" s="12">
        <v>126</v>
      </c>
      <c r="Q22" s="12">
        <v>94</v>
      </c>
      <c r="R22" s="12">
        <v>41</v>
      </c>
      <c r="S22" s="12">
        <v>108</v>
      </c>
      <c r="T22" s="12">
        <v>132</v>
      </c>
      <c r="U22" s="12">
        <v>81</v>
      </c>
      <c r="V22" s="12">
        <v>165</v>
      </c>
      <c r="W22" s="12">
        <v>63</v>
      </c>
      <c r="X22" s="12">
        <v>172</v>
      </c>
      <c r="Y22" s="12">
        <v>126</v>
      </c>
      <c r="Z22" s="12">
        <v>138</v>
      </c>
      <c r="AA22" s="12">
        <v>101</v>
      </c>
      <c r="AB22" s="12">
        <v>144</v>
      </c>
      <c r="AC22" s="12">
        <v>110</v>
      </c>
      <c r="AD22" s="12">
        <v>135</v>
      </c>
      <c r="AE22" s="12">
        <v>150</v>
      </c>
      <c r="AF22" s="12">
        <v>131</v>
      </c>
    </row>
    <row r="23" spans="1:32" x14ac:dyDescent="0.25">
      <c r="A23" s="19"/>
      <c r="B23" s="13" t="s">
        <v>420</v>
      </c>
      <c r="C23" s="14">
        <v>0.13</v>
      </c>
      <c r="D23" s="14">
        <v>0.15</v>
      </c>
      <c r="E23" s="14">
        <v>0.13</v>
      </c>
      <c r="F23" s="14">
        <v>0.13</v>
      </c>
      <c r="G23" s="14">
        <v>0.11</v>
      </c>
      <c r="H23" s="14">
        <v>0.14000000000000001</v>
      </c>
      <c r="I23" s="14">
        <v>0.14000000000000001</v>
      </c>
      <c r="J23" s="14">
        <v>0.14000000000000001</v>
      </c>
      <c r="K23" s="14">
        <v>0.12</v>
      </c>
      <c r="L23" s="14">
        <v>0.08</v>
      </c>
      <c r="M23" s="14">
        <v>0.11</v>
      </c>
      <c r="N23" s="14">
        <v>0.1</v>
      </c>
      <c r="O23" s="14">
        <v>0.14000000000000001</v>
      </c>
      <c r="P23" s="14">
        <v>0.12</v>
      </c>
      <c r="Q23" s="14">
        <v>0.09</v>
      </c>
      <c r="R23" s="14">
        <v>0.08</v>
      </c>
      <c r="S23" s="14">
        <v>0.11</v>
      </c>
      <c r="T23" s="14">
        <v>0.13</v>
      </c>
      <c r="U23" s="14">
        <v>0.16</v>
      </c>
      <c r="V23" s="14">
        <v>0.16</v>
      </c>
      <c r="W23" s="14">
        <v>0.13</v>
      </c>
      <c r="X23" s="14">
        <v>0.17</v>
      </c>
      <c r="Y23" s="14">
        <v>0.13</v>
      </c>
      <c r="Z23" s="14">
        <v>0.14000000000000001</v>
      </c>
      <c r="AA23" s="14">
        <v>0.1</v>
      </c>
      <c r="AB23" s="14">
        <v>0.14000000000000001</v>
      </c>
      <c r="AC23" s="14">
        <v>0.11</v>
      </c>
      <c r="AD23" s="14">
        <v>0.14000000000000001</v>
      </c>
      <c r="AE23" s="14">
        <v>0.15</v>
      </c>
      <c r="AF23" s="14">
        <v>0.13</v>
      </c>
    </row>
    <row r="24" spans="1:32" x14ac:dyDescent="0.25">
      <c r="A24" s="19"/>
      <c r="B24" s="11" t="s">
        <v>421</v>
      </c>
      <c r="C24" s="12">
        <v>4892</v>
      </c>
      <c r="D24" s="12">
        <v>252</v>
      </c>
      <c r="E24" s="12">
        <v>137</v>
      </c>
      <c r="F24" s="12">
        <v>158</v>
      </c>
      <c r="G24" s="12">
        <v>164</v>
      </c>
      <c r="H24" s="12">
        <v>207</v>
      </c>
      <c r="I24" s="12">
        <v>254</v>
      </c>
      <c r="J24" s="12">
        <v>47</v>
      </c>
      <c r="K24" s="12">
        <v>135</v>
      </c>
      <c r="L24" s="12">
        <v>181</v>
      </c>
      <c r="M24" s="12">
        <v>214</v>
      </c>
      <c r="N24" s="12">
        <v>174</v>
      </c>
      <c r="O24" s="12">
        <v>218</v>
      </c>
      <c r="P24" s="12">
        <v>151</v>
      </c>
      <c r="Q24" s="12">
        <v>183</v>
      </c>
      <c r="R24" s="12">
        <v>94</v>
      </c>
      <c r="S24" s="12">
        <v>136</v>
      </c>
      <c r="T24" s="12">
        <v>129</v>
      </c>
      <c r="U24" s="12">
        <v>118</v>
      </c>
      <c r="V24" s="12">
        <v>197</v>
      </c>
      <c r="W24" s="12">
        <v>84</v>
      </c>
      <c r="X24" s="12">
        <v>256</v>
      </c>
      <c r="Y24" s="12">
        <v>141</v>
      </c>
      <c r="Z24" s="12">
        <v>188</v>
      </c>
      <c r="AA24" s="12">
        <v>138</v>
      </c>
      <c r="AB24" s="12">
        <v>200</v>
      </c>
      <c r="AC24" s="12">
        <v>160</v>
      </c>
      <c r="AD24" s="12">
        <v>248</v>
      </c>
      <c r="AE24" s="12">
        <v>198</v>
      </c>
      <c r="AF24" s="12">
        <v>191</v>
      </c>
    </row>
    <row r="25" spans="1:32" x14ac:dyDescent="0.25">
      <c r="A25" s="19"/>
      <c r="B25" s="13" t="s">
        <v>421</v>
      </c>
      <c r="C25" s="14">
        <v>0.19</v>
      </c>
      <c r="D25" s="14">
        <v>0.25</v>
      </c>
      <c r="E25" s="14">
        <v>0.13</v>
      </c>
      <c r="F25" s="14">
        <v>0.15</v>
      </c>
      <c r="G25" s="14">
        <v>0.16</v>
      </c>
      <c r="H25" s="14">
        <v>0.17</v>
      </c>
      <c r="I25" s="14">
        <v>0.17</v>
      </c>
      <c r="J25" s="14">
        <v>0.16</v>
      </c>
      <c r="K25" s="14">
        <v>0.14000000000000001</v>
      </c>
      <c r="L25" s="14">
        <v>0.18</v>
      </c>
      <c r="M25" s="14">
        <v>0.21</v>
      </c>
      <c r="N25" s="14">
        <v>0.17</v>
      </c>
      <c r="O25" s="14">
        <v>0.22</v>
      </c>
      <c r="P25" s="14">
        <v>0.15</v>
      </c>
      <c r="Q25" s="14">
        <v>0.18</v>
      </c>
      <c r="R25" s="14">
        <v>0.19</v>
      </c>
      <c r="S25" s="14">
        <v>0.14000000000000001</v>
      </c>
      <c r="T25" s="14">
        <v>0.12</v>
      </c>
      <c r="U25" s="14">
        <v>0.23</v>
      </c>
      <c r="V25" s="14">
        <v>0.19</v>
      </c>
      <c r="W25" s="14">
        <v>0.17</v>
      </c>
      <c r="X25" s="14">
        <v>0.25</v>
      </c>
      <c r="Y25" s="14">
        <v>0.14000000000000001</v>
      </c>
      <c r="Z25" s="14">
        <v>0.19</v>
      </c>
      <c r="AA25" s="14">
        <v>0.13</v>
      </c>
      <c r="AB25" s="14">
        <v>0.19</v>
      </c>
      <c r="AC25" s="14">
        <v>0.16</v>
      </c>
      <c r="AD25" s="14">
        <v>0.25</v>
      </c>
      <c r="AE25" s="14">
        <v>0.2</v>
      </c>
      <c r="AF25" s="14">
        <v>0.19</v>
      </c>
    </row>
    <row r="26" spans="1:32" x14ac:dyDescent="0.25">
      <c r="A26" s="19"/>
      <c r="B26" s="11" t="s">
        <v>422</v>
      </c>
      <c r="C26" s="12">
        <v>5513</v>
      </c>
      <c r="D26" s="12">
        <v>211</v>
      </c>
      <c r="E26" s="12">
        <v>148</v>
      </c>
      <c r="F26" s="12">
        <v>166</v>
      </c>
      <c r="G26" s="12">
        <v>131</v>
      </c>
      <c r="H26" s="12">
        <v>204</v>
      </c>
      <c r="I26" s="12">
        <v>265</v>
      </c>
      <c r="J26" s="12">
        <v>61</v>
      </c>
      <c r="K26" s="12">
        <v>113</v>
      </c>
      <c r="L26" s="12">
        <v>215</v>
      </c>
      <c r="M26" s="12">
        <v>298</v>
      </c>
      <c r="N26" s="12">
        <v>235</v>
      </c>
      <c r="O26" s="12">
        <v>208</v>
      </c>
      <c r="P26" s="12">
        <v>208</v>
      </c>
      <c r="Q26" s="12">
        <v>267</v>
      </c>
      <c r="R26" s="12">
        <v>120</v>
      </c>
      <c r="S26" s="12">
        <v>135</v>
      </c>
      <c r="T26" s="12">
        <v>119</v>
      </c>
      <c r="U26" s="12">
        <v>79</v>
      </c>
      <c r="V26" s="12">
        <v>165</v>
      </c>
      <c r="W26" s="12">
        <v>92</v>
      </c>
      <c r="X26" s="12">
        <v>197</v>
      </c>
      <c r="Y26" s="12">
        <v>175</v>
      </c>
      <c r="Z26" s="12">
        <v>274</v>
      </c>
      <c r="AA26" s="12">
        <v>168</v>
      </c>
      <c r="AB26" s="12">
        <v>234</v>
      </c>
      <c r="AC26" s="12">
        <v>140</v>
      </c>
      <c r="AD26" s="12">
        <v>183</v>
      </c>
      <c r="AE26" s="12">
        <v>192</v>
      </c>
      <c r="AF26" s="12">
        <v>127</v>
      </c>
    </row>
    <row r="27" spans="1:32" x14ac:dyDescent="0.25">
      <c r="A27" s="19"/>
      <c r="B27" s="13" t="s">
        <v>422</v>
      </c>
      <c r="C27" s="14">
        <v>0.21</v>
      </c>
      <c r="D27" s="14">
        <v>0.21</v>
      </c>
      <c r="E27" s="14">
        <v>0.14000000000000001</v>
      </c>
      <c r="F27" s="14">
        <v>0.16</v>
      </c>
      <c r="G27" s="14">
        <v>0.13</v>
      </c>
      <c r="H27" s="14">
        <v>0.17</v>
      </c>
      <c r="I27" s="14">
        <v>0.17</v>
      </c>
      <c r="J27" s="14">
        <v>0.2</v>
      </c>
      <c r="K27" s="14">
        <v>0.11</v>
      </c>
      <c r="L27" s="14">
        <v>0.21</v>
      </c>
      <c r="M27" s="14">
        <v>0.3</v>
      </c>
      <c r="N27" s="14">
        <v>0.23</v>
      </c>
      <c r="O27" s="14">
        <v>0.21</v>
      </c>
      <c r="P27" s="14">
        <v>0.21</v>
      </c>
      <c r="Q27" s="14">
        <v>0.26</v>
      </c>
      <c r="R27" s="14">
        <v>0.24</v>
      </c>
      <c r="S27" s="14">
        <v>0.13</v>
      </c>
      <c r="T27" s="14">
        <v>0.12</v>
      </c>
      <c r="U27" s="14">
        <v>0.16</v>
      </c>
      <c r="V27" s="14">
        <v>0.16</v>
      </c>
      <c r="W27" s="14">
        <v>0.18</v>
      </c>
      <c r="X27" s="14">
        <v>0.2</v>
      </c>
      <c r="Y27" s="14">
        <v>0.18</v>
      </c>
      <c r="Z27" s="14">
        <v>0.27</v>
      </c>
      <c r="AA27" s="14">
        <v>0.16</v>
      </c>
      <c r="AB27" s="14">
        <v>0.23</v>
      </c>
      <c r="AC27" s="14">
        <v>0.14000000000000001</v>
      </c>
      <c r="AD27" s="14">
        <v>0.18</v>
      </c>
      <c r="AE27" s="14">
        <v>0.19</v>
      </c>
      <c r="AF27" s="14">
        <v>0.12</v>
      </c>
    </row>
    <row r="28" spans="1:32" x14ac:dyDescent="0.25">
      <c r="A28" s="19"/>
      <c r="B28" s="11" t="s">
        <v>423</v>
      </c>
      <c r="C28" s="12">
        <v>2686</v>
      </c>
      <c r="D28" s="12">
        <v>95</v>
      </c>
      <c r="E28" s="12">
        <v>70</v>
      </c>
      <c r="F28" s="12">
        <v>80</v>
      </c>
      <c r="G28" s="12">
        <v>47</v>
      </c>
      <c r="H28" s="12">
        <v>70</v>
      </c>
      <c r="I28" s="12">
        <v>101</v>
      </c>
      <c r="J28" s="12">
        <v>31</v>
      </c>
      <c r="K28" s="12">
        <v>74</v>
      </c>
      <c r="L28" s="12">
        <v>101</v>
      </c>
      <c r="M28" s="12">
        <v>140</v>
      </c>
      <c r="N28" s="12">
        <v>146</v>
      </c>
      <c r="O28" s="12">
        <v>69</v>
      </c>
      <c r="P28" s="12">
        <v>101</v>
      </c>
      <c r="Q28" s="12">
        <v>172</v>
      </c>
      <c r="R28" s="12">
        <v>58</v>
      </c>
      <c r="S28" s="12">
        <v>84</v>
      </c>
      <c r="T28" s="12">
        <v>68</v>
      </c>
      <c r="U28" s="12">
        <v>47</v>
      </c>
      <c r="V28" s="12">
        <v>75</v>
      </c>
      <c r="W28" s="12">
        <v>60</v>
      </c>
      <c r="X28" s="12">
        <v>70</v>
      </c>
      <c r="Y28" s="12">
        <v>115</v>
      </c>
      <c r="Z28" s="12">
        <v>130</v>
      </c>
      <c r="AA28" s="12">
        <v>164</v>
      </c>
      <c r="AB28" s="12">
        <v>104</v>
      </c>
      <c r="AC28" s="12">
        <v>33</v>
      </c>
      <c r="AD28" s="12">
        <v>74</v>
      </c>
      <c r="AE28" s="12">
        <v>79</v>
      </c>
      <c r="AF28" s="12">
        <v>51</v>
      </c>
    </row>
    <row r="29" spans="1:32" x14ac:dyDescent="0.25">
      <c r="A29" s="19"/>
      <c r="B29" s="13" t="s">
        <v>423</v>
      </c>
      <c r="C29" s="14">
        <v>0.1</v>
      </c>
      <c r="D29" s="14">
        <v>0.09</v>
      </c>
      <c r="E29" s="14">
        <v>7.0000000000000007E-2</v>
      </c>
      <c r="F29" s="14">
        <v>0.08</v>
      </c>
      <c r="G29" s="14">
        <v>0.05</v>
      </c>
      <c r="H29" s="14">
        <v>0.06</v>
      </c>
      <c r="I29" s="14">
        <v>7.0000000000000007E-2</v>
      </c>
      <c r="J29" s="14">
        <v>0.1</v>
      </c>
      <c r="K29" s="14">
        <v>7.0000000000000007E-2</v>
      </c>
      <c r="L29" s="14">
        <v>0.1</v>
      </c>
      <c r="M29" s="14">
        <v>0.14000000000000001</v>
      </c>
      <c r="N29" s="14">
        <v>0.14000000000000001</v>
      </c>
      <c r="O29" s="14">
        <v>7.0000000000000007E-2</v>
      </c>
      <c r="P29" s="14">
        <v>0.1</v>
      </c>
      <c r="Q29" s="14">
        <v>0.17</v>
      </c>
      <c r="R29" s="14">
        <v>0.11</v>
      </c>
      <c r="S29" s="14">
        <v>0.08</v>
      </c>
      <c r="T29" s="14">
        <v>7.0000000000000007E-2</v>
      </c>
      <c r="U29" s="14">
        <v>0.09</v>
      </c>
      <c r="V29" s="14">
        <v>7.0000000000000007E-2</v>
      </c>
      <c r="W29" s="14">
        <v>0.12</v>
      </c>
      <c r="X29" s="14">
        <v>7.0000000000000007E-2</v>
      </c>
      <c r="Y29" s="14">
        <v>0.11</v>
      </c>
      <c r="Z29" s="14">
        <v>0.13</v>
      </c>
      <c r="AA29" s="14">
        <v>0.16</v>
      </c>
      <c r="AB29" s="14">
        <v>0.1</v>
      </c>
      <c r="AC29" s="14">
        <v>0.03</v>
      </c>
      <c r="AD29" s="14">
        <v>7.0000000000000007E-2</v>
      </c>
      <c r="AE29" s="14">
        <v>0.08</v>
      </c>
      <c r="AF29" s="14">
        <v>0.05</v>
      </c>
    </row>
    <row r="30" spans="1:32" ht="23.25" x14ac:dyDescent="0.25">
      <c r="A30" s="19"/>
      <c r="B30" s="11" t="s">
        <v>424</v>
      </c>
      <c r="C30" s="12">
        <v>3281</v>
      </c>
      <c r="D30" s="12">
        <v>81</v>
      </c>
      <c r="E30" s="12">
        <v>141</v>
      </c>
      <c r="F30" s="12">
        <v>89</v>
      </c>
      <c r="G30" s="12">
        <v>36</v>
      </c>
      <c r="H30" s="12">
        <v>131</v>
      </c>
      <c r="I30" s="12">
        <v>177</v>
      </c>
      <c r="J30" s="12">
        <v>46</v>
      </c>
      <c r="K30" s="12">
        <v>122</v>
      </c>
      <c r="L30" s="12">
        <v>195</v>
      </c>
      <c r="M30" s="12">
        <v>60</v>
      </c>
      <c r="N30" s="12">
        <v>210</v>
      </c>
      <c r="O30" s="12">
        <v>90</v>
      </c>
      <c r="P30" s="12">
        <v>190</v>
      </c>
      <c r="Q30" s="12">
        <v>175</v>
      </c>
      <c r="R30" s="12">
        <v>79</v>
      </c>
      <c r="S30" s="12">
        <v>89</v>
      </c>
      <c r="T30" s="12">
        <v>85</v>
      </c>
      <c r="U30" s="12">
        <v>84</v>
      </c>
      <c r="V30" s="12">
        <v>102</v>
      </c>
      <c r="W30" s="12">
        <v>83</v>
      </c>
      <c r="X30" s="12">
        <v>41</v>
      </c>
      <c r="Y30" s="12">
        <v>126</v>
      </c>
      <c r="Z30" s="12">
        <v>146</v>
      </c>
      <c r="AA30" s="12">
        <v>200</v>
      </c>
      <c r="AB30" s="12">
        <v>84</v>
      </c>
      <c r="AC30" s="12">
        <v>142</v>
      </c>
      <c r="AD30" s="12">
        <v>53</v>
      </c>
      <c r="AE30" s="12">
        <v>54</v>
      </c>
      <c r="AF30" s="12">
        <v>73</v>
      </c>
    </row>
    <row r="31" spans="1:32" x14ac:dyDescent="0.25">
      <c r="A31" s="19"/>
      <c r="B31" s="13" t="s">
        <v>425</v>
      </c>
      <c r="C31" s="14">
        <v>0.12</v>
      </c>
      <c r="D31" s="14">
        <v>0.08</v>
      </c>
      <c r="E31" s="14">
        <v>0.13</v>
      </c>
      <c r="F31" s="14">
        <v>0.08</v>
      </c>
      <c r="G31" s="14">
        <v>0.04</v>
      </c>
      <c r="H31" s="14">
        <v>0.11</v>
      </c>
      <c r="I31" s="14">
        <v>0.12</v>
      </c>
      <c r="J31" s="14">
        <v>0.15</v>
      </c>
      <c r="K31" s="14">
        <v>0.12</v>
      </c>
      <c r="L31" s="14">
        <v>0.2</v>
      </c>
      <c r="M31" s="14">
        <v>0.06</v>
      </c>
      <c r="N31" s="14">
        <v>0.21</v>
      </c>
      <c r="O31" s="14">
        <v>0.09</v>
      </c>
      <c r="P31" s="14">
        <v>0.19</v>
      </c>
      <c r="Q31" s="14">
        <v>0.17</v>
      </c>
      <c r="R31" s="14">
        <v>0.16</v>
      </c>
      <c r="S31" s="14">
        <v>0.09</v>
      </c>
      <c r="T31" s="14">
        <v>0.08</v>
      </c>
      <c r="U31" s="14">
        <v>0.17</v>
      </c>
      <c r="V31" s="14">
        <v>0.1</v>
      </c>
      <c r="W31" s="14">
        <v>0.16</v>
      </c>
      <c r="X31" s="14">
        <v>0.04</v>
      </c>
      <c r="Y31" s="14">
        <v>0.13</v>
      </c>
      <c r="Z31" s="14">
        <v>0.14000000000000001</v>
      </c>
      <c r="AA31" s="14">
        <v>0.19</v>
      </c>
      <c r="AB31" s="14">
        <v>0.08</v>
      </c>
      <c r="AC31" s="14">
        <v>0.14000000000000001</v>
      </c>
      <c r="AD31" s="14">
        <v>0.05</v>
      </c>
      <c r="AE31" s="14">
        <v>0.05</v>
      </c>
      <c r="AF31" s="14">
        <v>7.0000000000000007E-2</v>
      </c>
    </row>
    <row r="32" spans="1:32" x14ac:dyDescent="0.25">
      <c r="A32" s="19"/>
      <c r="B32" s="11" t="s">
        <v>224</v>
      </c>
      <c r="C32" s="12">
        <v>320</v>
      </c>
      <c r="D32" s="12">
        <v>5</v>
      </c>
      <c r="E32" s="12">
        <v>33</v>
      </c>
      <c r="F32" s="12">
        <v>5</v>
      </c>
      <c r="G32" s="12">
        <v>22</v>
      </c>
      <c r="H32" s="12">
        <v>8</v>
      </c>
      <c r="I32" s="12">
        <v>9</v>
      </c>
      <c r="J32" s="12">
        <v>1</v>
      </c>
      <c r="K32" s="12">
        <v>27</v>
      </c>
      <c r="L32" s="12">
        <v>12</v>
      </c>
      <c r="M32" s="12">
        <v>14</v>
      </c>
      <c r="N32" s="12">
        <v>23</v>
      </c>
      <c r="O32" s="12">
        <v>16</v>
      </c>
      <c r="P32" s="12">
        <v>9</v>
      </c>
      <c r="Q32" s="12">
        <v>6</v>
      </c>
      <c r="R32" s="12">
        <v>10</v>
      </c>
      <c r="S32" s="12">
        <v>26</v>
      </c>
      <c r="T32" s="12">
        <v>44</v>
      </c>
      <c r="U32" s="12">
        <v>4</v>
      </c>
      <c r="V32" s="12">
        <v>9</v>
      </c>
      <c r="W32" s="12">
        <v>6</v>
      </c>
      <c r="X32" s="12">
        <v>7</v>
      </c>
      <c r="Y32" s="12">
        <v>2</v>
      </c>
      <c r="Z32" s="12">
        <v>7</v>
      </c>
      <c r="AA32" s="12">
        <v>30</v>
      </c>
      <c r="AB32" s="12">
        <v>32</v>
      </c>
      <c r="AC32" s="12">
        <v>8</v>
      </c>
      <c r="AD32" s="12">
        <v>3</v>
      </c>
      <c r="AE32" s="12">
        <v>13</v>
      </c>
      <c r="AF32" s="12">
        <v>2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0.03</v>
      </c>
      <c r="F33" s="15" t="s">
        <v>213</v>
      </c>
      <c r="G33" s="14">
        <v>0.02</v>
      </c>
      <c r="H33" s="14">
        <v>0.01</v>
      </c>
      <c r="I33" s="14">
        <v>0.01</v>
      </c>
      <c r="J33" s="15" t="s">
        <v>213</v>
      </c>
      <c r="K33" s="14">
        <v>0.03</v>
      </c>
      <c r="L33" s="14">
        <v>0.01</v>
      </c>
      <c r="M33" s="14">
        <v>0.01</v>
      </c>
      <c r="N33" s="14">
        <v>0.02</v>
      </c>
      <c r="O33" s="14">
        <v>0.02</v>
      </c>
      <c r="P33" s="14">
        <v>0.01</v>
      </c>
      <c r="Q33" s="15" t="s">
        <v>213</v>
      </c>
      <c r="R33" s="14">
        <v>0.02</v>
      </c>
      <c r="S33" s="14">
        <v>0.03</v>
      </c>
      <c r="T33" s="14">
        <v>0.04</v>
      </c>
      <c r="U33" s="14">
        <v>0.01</v>
      </c>
      <c r="V33" s="14">
        <v>0.01</v>
      </c>
      <c r="W33" s="14">
        <v>0.01</v>
      </c>
      <c r="X33" s="14">
        <v>0.01</v>
      </c>
      <c r="Y33" s="15" t="s">
        <v>213</v>
      </c>
      <c r="Z33" s="14">
        <v>0.01</v>
      </c>
      <c r="AA33" s="14">
        <v>0.03</v>
      </c>
      <c r="AB33" s="14">
        <v>0.03</v>
      </c>
      <c r="AC33" s="14">
        <v>0.01</v>
      </c>
      <c r="AD33" s="15" t="s">
        <v>213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3368</v>
      </c>
      <c r="D34" s="12">
        <v>122</v>
      </c>
      <c r="E34" s="12">
        <v>247</v>
      </c>
      <c r="F34" s="12">
        <v>260</v>
      </c>
      <c r="G34" s="12">
        <v>298</v>
      </c>
      <c r="H34" s="12">
        <v>256</v>
      </c>
      <c r="I34" s="12">
        <v>296</v>
      </c>
      <c r="J34" s="12">
        <v>40</v>
      </c>
      <c r="K34" s="12">
        <v>242</v>
      </c>
      <c r="L34" s="12">
        <v>128</v>
      </c>
      <c r="M34" s="12">
        <v>100</v>
      </c>
      <c r="N34" s="12">
        <v>58</v>
      </c>
      <c r="O34" s="12">
        <v>106</v>
      </c>
      <c r="P34" s="12">
        <v>120</v>
      </c>
      <c r="Q34" s="12">
        <v>83</v>
      </c>
      <c r="R34" s="12">
        <v>42</v>
      </c>
      <c r="S34" s="12">
        <v>247</v>
      </c>
      <c r="T34" s="12">
        <v>238</v>
      </c>
      <c r="U34" s="12">
        <v>45</v>
      </c>
      <c r="V34" s="12">
        <v>189</v>
      </c>
      <c r="W34" s="12">
        <v>61</v>
      </c>
      <c r="X34" s="12">
        <v>132</v>
      </c>
      <c r="Y34" s="12">
        <v>165</v>
      </c>
      <c r="Z34" s="12">
        <v>48</v>
      </c>
      <c r="AA34" s="12">
        <v>40</v>
      </c>
      <c r="AB34" s="12">
        <v>112</v>
      </c>
      <c r="AC34" s="12">
        <v>249</v>
      </c>
      <c r="AD34" s="12">
        <v>160</v>
      </c>
      <c r="AE34" s="12">
        <v>199</v>
      </c>
      <c r="AF34" s="12">
        <v>279</v>
      </c>
    </row>
    <row r="35" spans="1:32" ht="23.25" x14ac:dyDescent="0.25">
      <c r="A35" s="19"/>
      <c r="B35" s="13" t="s">
        <v>427</v>
      </c>
      <c r="C35" s="14">
        <v>0.12</v>
      </c>
      <c r="D35" s="14">
        <v>0.12</v>
      </c>
      <c r="E35" s="14">
        <v>0.24</v>
      </c>
      <c r="F35" s="14">
        <v>0.24</v>
      </c>
      <c r="G35" s="14">
        <v>0.28999999999999998</v>
      </c>
      <c r="H35" s="14">
        <v>0.2</v>
      </c>
      <c r="I35" s="14">
        <v>0.19</v>
      </c>
      <c r="J35" s="14">
        <v>0.14000000000000001</v>
      </c>
      <c r="K35" s="14">
        <v>0.24</v>
      </c>
      <c r="L35" s="14">
        <v>0.13</v>
      </c>
      <c r="M35" s="14">
        <v>0.1</v>
      </c>
      <c r="N35" s="14">
        <v>0.06</v>
      </c>
      <c r="O35" s="14">
        <v>0.1</v>
      </c>
      <c r="P35" s="14">
        <v>0.12</v>
      </c>
      <c r="Q35" s="14">
        <v>0.08</v>
      </c>
      <c r="R35" s="14">
        <v>0.08</v>
      </c>
      <c r="S35" s="14">
        <v>0.24</v>
      </c>
      <c r="T35" s="14">
        <v>0.24</v>
      </c>
      <c r="U35" s="14">
        <v>0.08</v>
      </c>
      <c r="V35" s="14">
        <v>0.19</v>
      </c>
      <c r="W35" s="14">
        <v>0.12</v>
      </c>
      <c r="X35" s="14">
        <v>0.13</v>
      </c>
      <c r="Y35" s="14">
        <v>0.16</v>
      </c>
      <c r="Z35" s="14">
        <v>0.04</v>
      </c>
      <c r="AA35" s="14">
        <v>0.04</v>
      </c>
      <c r="AB35" s="14">
        <v>0.1</v>
      </c>
      <c r="AC35" s="14">
        <v>0.25</v>
      </c>
      <c r="AD35" s="14">
        <v>0.16</v>
      </c>
      <c r="AE35" s="14">
        <v>0.2</v>
      </c>
      <c r="AF35" s="14">
        <v>0.27</v>
      </c>
    </row>
    <row r="36" spans="1:32" ht="23.25" x14ac:dyDescent="0.25">
      <c r="A36" s="19"/>
      <c r="B36" s="11" t="s">
        <v>428</v>
      </c>
      <c r="C36" s="12">
        <v>6393</v>
      </c>
      <c r="D36" s="12">
        <v>254</v>
      </c>
      <c r="E36" s="12">
        <v>269</v>
      </c>
      <c r="F36" s="12">
        <v>306</v>
      </c>
      <c r="G36" s="12">
        <v>316</v>
      </c>
      <c r="H36" s="12">
        <v>353</v>
      </c>
      <c r="I36" s="12">
        <v>425</v>
      </c>
      <c r="J36" s="12">
        <v>72</v>
      </c>
      <c r="K36" s="12">
        <v>292</v>
      </c>
      <c r="L36" s="12">
        <v>174</v>
      </c>
      <c r="M36" s="12">
        <v>181</v>
      </c>
      <c r="N36" s="12">
        <v>163</v>
      </c>
      <c r="O36" s="12">
        <v>297</v>
      </c>
      <c r="P36" s="12">
        <v>224</v>
      </c>
      <c r="Q36" s="12">
        <v>144</v>
      </c>
      <c r="R36" s="12">
        <v>100</v>
      </c>
      <c r="S36" s="12">
        <v>288</v>
      </c>
      <c r="T36" s="12">
        <v>340</v>
      </c>
      <c r="U36" s="12">
        <v>131</v>
      </c>
      <c r="V36" s="12">
        <v>291</v>
      </c>
      <c r="W36" s="12">
        <v>118</v>
      </c>
      <c r="X36" s="12">
        <v>306</v>
      </c>
      <c r="Y36" s="12">
        <v>280</v>
      </c>
      <c r="Z36" s="12">
        <v>223</v>
      </c>
      <c r="AA36" s="12">
        <v>297</v>
      </c>
      <c r="AB36" s="12">
        <v>275</v>
      </c>
      <c r="AC36" s="12">
        <v>273</v>
      </c>
      <c r="AD36" s="12">
        <v>282</v>
      </c>
      <c r="AE36" s="12">
        <v>265</v>
      </c>
      <c r="AF36" s="12">
        <v>308</v>
      </c>
    </row>
    <row r="37" spans="1:32" ht="23.25" x14ac:dyDescent="0.25">
      <c r="A37" s="19"/>
      <c r="B37" s="13" t="s">
        <v>429</v>
      </c>
      <c r="C37" s="14">
        <v>0.25</v>
      </c>
      <c r="D37" s="14">
        <v>0.25</v>
      </c>
      <c r="E37" s="14">
        <v>0.26</v>
      </c>
      <c r="F37" s="14">
        <v>0.28999999999999998</v>
      </c>
      <c r="G37" s="14">
        <v>0.31</v>
      </c>
      <c r="H37" s="14">
        <v>0.28000000000000003</v>
      </c>
      <c r="I37" s="14">
        <v>0.27</v>
      </c>
      <c r="J37" s="14">
        <v>0.25</v>
      </c>
      <c r="K37" s="14">
        <v>0.28999999999999998</v>
      </c>
      <c r="L37" s="14">
        <v>0.17</v>
      </c>
      <c r="M37" s="14">
        <v>0.18</v>
      </c>
      <c r="N37" s="14">
        <v>0.17</v>
      </c>
      <c r="O37" s="14">
        <v>0.28999999999999998</v>
      </c>
      <c r="P37" s="14">
        <v>0.22</v>
      </c>
      <c r="Q37" s="14">
        <v>0.14000000000000001</v>
      </c>
      <c r="R37" s="14">
        <v>0.2</v>
      </c>
      <c r="S37" s="14">
        <v>0.28999999999999998</v>
      </c>
      <c r="T37" s="14">
        <v>0.33</v>
      </c>
      <c r="U37" s="14">
        <v>0.26</v>
      </c>
      <c r="V37" s="14">
        <v>0.28000000000000003</v>
      </c>
      <c r="W37" s="14">
        <v>0.24</v>
      </c>
      <c r="X37" s="14">
        <v>0.3</v>
      </c>
      <c r="Y37" s="14">
        <v>0.28000000000000003</v>
      </c>
      <c r="Z37" s="14">
        <v>0.22</v>
      </c>
      <c r="AA37" s="14">
        <v>0.28999999999999998</v>
      </c>
      <c r="AB37" s="14">
        <v>0.27</v>
      </c>
      <c r="AC37" s="14">
        <v>0.27</v>
      </c>
      <c r="AD37" s="14">
        <v>0.28999999999999998</v>
      </c>
      <c r="AE37" s="14">
        <v>0.27</v>
      </c>
      <c r="AF37" s="14">
        <v>0.3</v>
      </c>
    </row>
    <row r="38" spans="1:32" ht="23.25" x14ac:dyDescent="0.25">
      <c r="A38" s="19"/>
      <c r="B38" s="11" t="s">
        <v>430</v>
      </c>
      <c r="C38" s="12">
        <v>16372</v>
      </c>
      <c r="D38" s="12">
        <v>639</v>
      </c>
      <c r="E38" s="12">
        <v>496</v>
      </c>
      <c r="F38" s="12">
        <v>493</v>
      </c>
      <c r="G38" s="12">
        <v>378</v>
      </c>
      <c r="H38" s="12">
        <v>612</v>
      </c>
      <c r="I38" s="12">
        <v>797</v>
      </c>
      <c r="J38" s="12">
        <v>185</v>
      </c>
      <c r="K38" s="12">
        <v>444</v>
      </c>
      <c r="L38" s="12">
        <v>692</v>
      </c>
      <c r="M38" s="12">
        <v>712</v>
      </c>
      <c r="N38" s="12">
        <v>765</v>
      </c>
      <c r="O38" s="12">
        <v>585</v>
      </c>
      <c r="P38" s="12">
        <v>650</v>
      </c>
      <c r="Q38" s="12">
        <v>797</v>
      </c>
      <c r="R38" s="12">
        <v>351</v>
      </c>
      <c r="S38" s="12">
        <v>444</v>
      </c>
      <c r="T38" s="12">
        <v>401</v>
      </c>
      <c r="U38" s="12">
        <v>328</v>
      </c>
      <c r="V38" s="12">
        <v>539</v>
      </c>
      <c r="W38" s="12">
        <v>319</v>
      </c>
      <c r="X38" s="12">
        <v>564</v>
      </c>
      <c r="Y38" s="12">
        <v>557</v>
      </c>
      <c r="Z38" s="12">
        <v>738</v>
      </c>
      <c r="AA38" s="12">
        <v>670</v>
      </c>
      <c r="AB38" s="12">
        <v>622</v>
      </c>
      <c r="AC38" s="12">
        <v>475</v>
      </c>
      <c r="AD38" s="12">
        <v>558</v>
      </c>
      <c r="AE38" s="12">
        <v>523</v>
      </c>
      <c r="AF38" s="12">
        <v>442</v>
      </c>
    </row>
    <row r="39" spans="1:32" ht="23.25" x14ac:dyDescent="0.25">
      <c r="A39" s="19"/>
      <c r="B39" s="13" t="s">
        <v>431</v>
      </c>
      <c r="C39" s="14">
        <v>0.62</v>
      </c>
      <c r="D39" s="14">
        <v>0.63</v>
      </c>
      <c r="E39" s="14">
        <v>0.47</v>
      </c>
      <c r="F39" s="14">
        <v>0.47</v>
      </c>
      <c r="G39" s="14">
        <v>0.38</v>
      </c>
      <c r="H39" s="14">
        <v>0.51</v>
      </c>
      <c r="I39" s="14">
        <v>0.53</v>
      </c>
      <c r="J39" s="14">
        <v>0.61</v>
      </c>
      <c r="K39" s="14">
        <v>0.44</v>
      </c>
      <c r="L39" s="14">
        <v>0.69000000000000006</v>
      </c>
      <c r="M39" s="14">
        <v>0.71</v>
      </c>
      <c r="N39" s="14">
        <v>0.75</v>
      </c>
      <c r="O39" s="14">
        <v>0.59</v>
      </c>
      <c r="P39" s="14">
        <v>0.65</v>
      </c>
      <c r="Q39" s="14">
        <v>0.78</v>
      </c>
      <c r="R39" s="14">
        <v>0.70000000000000007</v>
      </c>
      <c r="S39" s="14">
        <v>0.44</v>
      </c>
      <c r="T39" s="14">
        <v>0.39</v>
      </c>
      <c r="U39" s="14">
        <v>0.65</v>
      </c>
      <c r="V39" s="14">
        <v>0.52</v>
      </c>
      <c r="W39" s="14">
        <v>0.63</v>
      </c>
      <c r="X39" s="14">
        <v>0.56000000000000005</v>
      </c>
      <c r="Y39" s="14">
        <v>0.56000000000000005</v>
      </c>
      <c r="Z39" s="14">
        <v>0.73</v>
      </c>
      <c r="AA39" s="14">
        <v>0.64</v>
      </c>
      <c r="AB39" s="14">
        <v>0.6</v>
      </c>
      <c r="AC39" s="14">
        <v>0.47</v>
      </c>
      <c r="AD39" s="14">
        <v>0.55000000000000004</v>
      </c>
      <c r="AE39" s="14">
        <v>0.52</v>
      </c>
      <c r="AF39" s="14">
        <v>0.43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448</v>
      </c>
      <c r="C3" s="18"/>
      <c r="D3" s="18"/>
      <c r="E3" s="18"/>
      <c r="F3" s="18"/>
      <c r="H3" s="18" t="s">
        <v>449</v>
      </c>
      <c r="I3" s="18"/>
      <c r="J3" s="18"/>
      <c r="K3" s="18"/>
      <c r="L3" s="18"/>
    </row>
    <row r="4" spans="1:32" ht="27" customHeight="1" x14ac:dyDescent="0.25">
      <c r="B4" s="18" t="s">
        <v>450</v>
      </c>
      <c r="C4" s="18"/>
      <c r="D4" s="18"/>
      <c r="E4" s="18"/>
      <c r="F4" s="18"/>
      <c r="H4" s="18" t="s">
        <v>451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655</v>
      </c>
      <c r="D12" s="12">
        <v>17</v>
      </c>
      <c r="E12" s="12">
        <v>54</v>
      </c>
      <c r="F12" s="12">
        <v>53</v>
      </c>
      <c r="G12" s="12">
        <v>34</v>
      </c>
      <c r="H12" s="12">
        <v>26</v>
      </c>
      <c r="I12" s="12">
        <v>39</v>
      </c>
      <c r="J12" s="12">
        <v>13</v>
      </c>
      <c r="K12" s="12">
        <v>49</v>
      </c>
      <c r="L12" s="12">
        <v>62</v>
      </c>
      <c r="M12" s="12">
        <v>14</v>
      </c>
      <c r="N12" s="12">
        <v>19</v>
      </c>
      <c r="O12" s="12">
        <v>34</v>
      </c>
      <c r="P12" s="12">
        <v>14</v>
      </c>
      <c r="Q12" s="12">
        <v>18</v>
      </c>
      <c r="R12" s="12">
        <v>8</v>
      </c>
      <c r="S12" s="12">
        <v>77</v>
      </c>
      <c r="T12" s="12">
        <v>61</v>
      </c>
      <c r="U12" s="12">
        <v>7</v>
      </c>
      <c r="V12" s="12">
        <v>18</v>
      </c>
      <c r="W12" s="12">
        <v>16</v>
      </c>
      <c r="X12" s="12">
        <v>16</v>
      </c>
      <c r="Y12" s="12">
        <v>38</v>
      </c>
      <c r="Z12" s="12">
        <v>3</v>
      </c>
      <c r="AA12" s="12">
        <v>3</v>
      </c>
      <c r="AB12" s="12">
        <v>31</v>
      </c>
      <c r="AC12" s="12">
        <v>95</v>
      </c>
      <c r="AD12" s="12">
        <v>61</v>
      </c>
      <c r="AE12" s="12">
        <v>22</v>
      </c>
      <c r="AF12" s="12">
        <v>36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0.05</v>
      </c>
      <c r="F13" s="14">
        <v>0.05</v>
      </c>
      <c r="G13" s="14">
        <v>0.03</v>
      </c>
      <c r="H13" s="14">
        <v>0.02</v>
      </c>
      <c r="I13" s="14">
        <v>0.03</v>
      </c>
      <c r="J13" s="14">
        <v>0.05</v>
      </c>
      <c r="K13" s="14">
        <v>0.05</v>
      </c>
      <c r="L13" s="14">
        <v>0.06</v>
      </c>
      <c r="M13" s="14">
        <v>0.01</v>
      </c>
      <c r="N13" s="14">
        <v>0.02</v>
      </c>
      <c r="O13" s="14">
        <v>0.03</v>
      </c>
      <c r="P13" s="14">
        <v>0.01</v>
      </c>
      <c r="Q13" s="14">
        <v>0.02</v>
      </c>
      <c r="R13" s="14">
        <v>0.02</v>
      </c>
      <c r="S13" s="14">
        <v>0.08</v>
      </c>
      <c r="T13" s="14">
        <v>0.06</v>
      </c>
      <c r="U13" s="14">
        <v>0.01</v>
      </c>
      <c r="V13" s="14">
        <v>0.02</v>
      </c>
      <c r="W13" s="14">
        <v>0.03</v>
      </c>
      <c r="X13" s="14">
        <v>0.01</v>
      </c>
      <c r="Y13" s="14">
        <v>0.04</v>
      </c>
      <c r="Z13" s="15" t="s">
        <v>213</v>
      </c>
      <c r="AA13" s="15" t="s">
        <v>213</v>
      </c>
      <c r="AB13" s="14">
        <v>0.03</v>
      </c>
      <c r="AC13" s="14">
        <v>0.09</v>
      </c>
      <c r="AD13" s="14">
        <v>0.06</v>
      </c>
      <c r="AE13" s="14">
        <v>0.02</v>
      </c>
      <c r="AF13" s="14">
        <v>0.03</v>
      </c>
    </row>
    <row r="14" spans="1:32" x14ac:dyDescent="0.25">
      <c r="A14" s="19"/>
      <c r="B14" s="11" t="s">
        <v>416</v>
      </c>
      <c r="C14" s="12">
        <v>683</v>
      </c>
      <c r="D14" s="12">
        <v>13</v>
      </c>
      <c r="E14" s="12">
        <v>30</v>
      </c>
      <c r="F14" s="12">
        <v>24</v>
      </c>
      <c r="G14" s="12">
        <v>31</v>
      </c>
      <c r="H14" s="12">
        <v>79</v>
      </c>
      <c r="I14" s="12">
        <v>93</v>
      </c>
      <c r="J14" s="12">
        <v>15</v>
      </c>
      <c r="K14" s="12">
        <v>53</v>
      </c>
      <c r="L14" s="12">
        <v>25</v>
      </c>
      <c r="M14" s="12">
        <v>16</v>
      </c>
      <c r="N14" s="12">
        <v>10</v>
      </c>
      <c r="O14" s="12">
        <v>25</v>
      </c>
      <c r="P14" s="12">
        <v>21</v>
      </c>
      <c r="Q14" s="12">
        <v>10</v>
      </c>
      <c r="R14" s="12">
        <v>4</v>
      </c>
      <c r="S14" s="12">
        <v>30</v>
      </c>
      <c r="T14" s="12">
        <v>25</v>
      </c>
      <c r="U14" s="12">
        <v>9</v>
      </c>
      <c r="V14" s="12">
        <v>24</v>
      </c>
      <c r="W14" s="12">
        <v>5</v>
      </c>
      <c r="X14" s="12">
        <v>29</v>
      </c>
      <c r="Y14" s="12">
        <v>27</v>
      </c>
      <c r="Z14" s="12">
        <v>5</v>
      </c>
      <c r="AA14" s="12">
        <v>3</v>
      </c>
      <c r="AB14" s="12">
        <v>13</v>
      </c>
      <c r="AC14" s="12">
        <v>44</v>
      </c>
      <c r="AD14" s="12">
        <v>24</v>
      </c>
      <c r="AE14" s="12">
        <v>19</v>
      </c>
      <c r="AF14" s="12">
        <v>65</v>
      </c>
    </row>
    <row r="15" spans="1:32" x14ac:dyDescent="0.25">
      <c r="A15" s="19"/>
      <c r="B15" s="13" t="s">
        <v>416</v>
      </c>
      <c r="C15" s="14">
        <v>0.02</v>
      </c>
      <c r="D15" s="14">
        <v>0.01</v>
      </c>
      <c r="E15" s="14">
        <v>0.03</v>
      </c>
      <c r="F15" s="14">
        <v>0.02</v>
      </c>
      <c r="G15" s="14">
        <v>0.03</v>
      </c>
      <c r="H15" s="14">
        <v>0.06</v>
      </c>
      <c r="I15" s="14">
        <v>0.06</v>
      </c>
      <c r="J15" s="14">
        <v>0.05</v>
      </c>
      <c r="K15" s="14">
        <v>0.05</v>
      </c>
      <c r="L15" s="14">
        <v>0.02</v>
      </c>
      <c r="M15" s="14">
        <v>0.02</v>
      </c>
      <c r="N15" s="14">
        <v>0.01</v>
      </c>
      <c r="O15" s="14">
        <v>0.02</v>
      </c>
      <c r="P15" s="14">
        <v>0.02</v>
      </c>
      <c r="Q15" s="14">
        <v>0.01</v>
      </c>
      <c r="R15" s="14">
        <v>0.01</v>
      </c>
      <c r="S15" s="14">
        <v>0.03</v>
      </c>
      <c r="T15" s="14">
        <v>0.03</v>
      </c>
      <c r="U15" s="14">
        <v>0.02</v>
      </c>
      <c r="V15" s="14">
        <v>0.02</v>
      </c>
      <c r="W15" s="14">
        <v>0.01</v>
      </c>
      <c r="X15" s="14">
        <v>0.03</v>
      </c>
      <c r="Y15" s="14">
        <v>0.03</v>
      </c>
      <c r="Z15" s="14">
        <v>0.01</v>
      </c>
      <c r="AA15" s="15" t="s">
        <v>213</v>
      </c>
      <c r="AB15" s="14">
        <v>0.01</v>
      </c>
      <c r="AC15" s="14">
        <v>0.04</v>
      </c>
      <c r="AD15" s="14">
        <v>0.03</v>
      </c>
      <c r="AE15" s="14">
        <v>0.02</v>
      </c>
      <c r="AF15" s="14">
        <v>0.06</v>
      </c>
    </row>
    <row r="16" spans="1:32" x14ac:dyDescent="0.25">
      <c r="A16" s="19"/>
      <c r="B16" s="11" t="s">
        <v>417</v>
      </c>
      <c r="C16" s="12">
        <v>980</v>
      </c>
      <c r="D16" s="12">
        <v>40</v>
      </c>
      <c r="E16" s="12">
        <v>83</v>
      </c>
      <c r="F16" s="12">
        <v>80</v>
      </c>
      <c r="G16" s="12">
        <v>76</v>
      </c>
      <c r="H16" s="12">
        <v>76</v>
      </c>
      <c r="I16" s="12">
        <v>89</v>
      </c>
      <c r="J16" s="12">
        <v>13</v>
      </c>
      <c r="K16" s="12">
        <v>80</v>
      </c>
      <c r="L16" s="12">
        <v>31</v>
      </c>
      <c r="M16" s="12">
        <v>31</v>
      </c>
      <c r="N16" s="12">
        <v>23</v>
      </c>
      <c r="O16" s="12">
        <v>33</v>
      </c>
      <c r="P16" s="12">
        <v>38</v>
      </c>
      <c r="Q16" s="12">
        <v>16</v>
      </c>
      <c r="R16" s="12">
        <v>14</v>
      </c>
      <c r="S16" s="12">
        <v>56</v>
      </c>
      <c r="T16" s="12">
        <v>52</v>
      </c>
      <c r="U16" s="12">
        <v>12</v>
      </c>
      <c r="V16" s="12">
        <v>60</v>
      </c>
      <c r="W16" s="12">
        <v>17</v>
      </c>
      <c r="X16" s="12">
        <v>39</v>
      </c>
      <c r="Y16" s="12">
        <v>46</v>
      </c>
      <c r="Z16" s="12">
        <v>12</v>
      </c>
      <c r="AA16" s="12">
        <v>7</v>
      </c>
      <c r="AB16" s="12">
        <v>28</v>
      </c>
      <c r="AC16" s="12">
        <v>84</v>
      </c>
      <c r="AD16" s="12">
        <v>49</v>
      </c>
      <c r="AE16" s="12">
        <v>45</v>
      </c>
      <c r="AF16" s="12">
        <v>84</v>
      </c>
    </row>
    <row r="17" spans="1:32" x14ac:dyDescent="0.25">
      <c r="A17" s="19"/>
      <c r="B17" s="13" t="s">
        <v>417</v>
      </c>
      <c r="C17" s="14">
        <v>0.04</v>
      </c>
      <c r="D17" s="14">
        <v>0.04</v>
      </c>
      <c r="E17" s="14">
        <v>0.08</v>
      </c>
      <c r="F17" s="14">
        <v>0.08</v>
      </c>
      <c r="G17" s="14">
        <v>0.08</v>
      </c>
      <c r="H17" s="14">
        <v>0.06</v>
      </c>
      <c r="I17" s="14">
        <v>0.06</v>
      </c>
      <c r="J17" s="14">
        <v>0.04</v>
      </c>
      <c r="K17" s="14">
        <v>0.08</v>
      </c>
      <c r="L17" s="14">
        <v>0.03</v>
      </c>
      <c r="M17" s="14">
        <v>0.03</v>
      </c>
      <c r="N17" s="14">
        <v>0.02</v>
      </c>
      <c r="O17" s="14">
        <v>0.03</v>
      </c>
      <c r="P17" s="14">
        <v>0.04</v>
      </c>
      <c r="Q17" s="14">
        <v>0.01</v>
      </c>
      <c r="R17" s="14">
        <v>0.03</v>
      </c>
      <c r="S17" s="14">
        <v>0.06</v>
      </c>
      <c r="T17" s="14">
        <v>0.05</v>
      </c>
      <c r="U17" s="14">
        <v>0.02</v>
      </c>
      <c r="V17" s="14">
        <v>0.06</v>
      </c>
      <c r="W17" s="14">
        <v>0.03</v>
      </c>
      <c r="X17" s="14">
        <v>0.04</v>
      </c>
      <c r="Y17" s="14">
        <v>0.05</v>
      </c>
      <c r="Z17" s="14">
        <v>0.01</v>
      </c>
      <c r="AA17" s="14">
        <v>0.01</v>
      </c>
      <c r="AB17" s="14">
        <v>0.03</v>
      </c>
      <c r="AC17" s="14">
        <v>0.08</v>
      </c>
      <c r="AD17" s="14">
        <v>0.05</v>
      </c>
      <c r="AE17" s="14">
        <v>0.05</v>
      </c>
      <c r="AF17" s="14">
        <v>0.08</v>
      </c>
    </row>
    <row r="18" spans="1:32" x14ac:dyDescent="0.25">
      <c r="A18" s="19"/>
      <c r="B18" s="11" t="s">
        <v>418</v>
      </c>
      <c r="C18" s="12">
        <v>1516</v>
      </c>
      <c r="D18" s="12">
        <v>59</v>
      </c>
      <c r="E18" s="12">
        <v>89</v>
      </c>
      <c r="F18" s="12">
        <v>106</v>
      </c>
      <c r="G18" s="12">
        <v>88</v>
      </c>
      <c r="H18" s="12">
        <v>104</v>
      </c>
      <c r="I18" s="12">
        <v>127</v>
      </c>
      <c r="J18" s="12">
        <v>22</v>
      </c>
      <c r="K18" s="12">
        <v>110</v>
      </c>
      <c r="L18" s="12">
        <v>44</v>
      </c>
      <c r="M18" s="12">
        <v>31</v>
      </c>
      <c r="N18" s="12">
        <v>26</v>
      </c>
      <c r="O18" s="12">
        <v>54</v>
      </c>
      <c r="P18" s="12">
        <v>54</v>
      </c>
      <c r="Q18" s="12">
        <v>41</v>
      </c>
      <c r="R18" s="12">
        <v>17</v>
      </c>
      <c r="S18" s="12">
        <v>74</v>
      </c>
      <c r="T18" s="12">
        <v>63</v>
      </c>
      <c r="U18" s="12">
        <v>16</v>
      </c>
      <c r="V18" s="12">
        <v>98</v>
      </c>
      <c r="W18" s="12">
        <v>20</v>
      </c>
      <c r="X18" s="12">
        <v>50</v>
      </c>
      <c r="Y18" s="12">
        <v>72</v>
      </c>
      <c r="Z18" s="12">
        <v>42</v>
      </c>
      <c r="AA18" s="12">
        <v>51</v>
      </c>
      <c r="AB18" s="12">
        <v>45</v>
      </c>
      <c r="AC18" s="12">
        <v>96</v>
      </c>
      <c r="AD18" s="12">
        <v>62</v>
      </c>
      <c r="AE18" s="12">
        <v>71</v>
      </c>
      <c r="AF18" s="12">
        <v>114</v>
      </c>
    </row>
    <row r="19" spans="1:32" x14ac:dyDescent="0.25">
      <c r="A19" s="19"/>
      <c r="B19" s="13" t="s">
        <v>418</v>
      </c>
      <c r="C19" s="14">
        <v>0.06</v>
      </c>
      <c r="D19" s="14">
        <v>0.06</v>
      </c>
      <c r="E19" s="14">
        <v>0.09</v>
      </c>
      <c r="F19" s="14">
        <v>0.1</v>
      </c>
      <c r="G19" s="14">
        <v>0.09</v>
      </c>
      <c r="H19" s="14">
        <v>0.08</v>
      </c>
      <c r="I19" s="14">
        <v>0.08</v>
      </c>
      <c r="J19" s="14">
        <v>0.08</v>
      </c>
      <c r="K19" s="14">
        <v>0.11</v>
      </c>
      <c r="L19" s="14">
        <v>0.04</v>
      </c>
      <c r="M19" s="14">
        <v>0.03</v>
      </c>
      <c r="N19" s="14">
        <v>0.03</v>
      </c>
      <c r="O19" s="14">
        <v>0.05</v>
      </c>
      <c r="P19" s="14">
        <v>0.05</v>
      </c>
      <c r="Q19" s="14">
        <v>0.04</v>
      </c>
      <c r="R19" s="14">
        <v>0.03</v>
      </c>
      <c r="S19" s="14">
        <v>7.0000000000000007E-2</v>
      </c>
      <c r="T19" s="14">
        <v>0.06</v>
      </c>
      <c r="U19" s="14">
        <v>0.03</v>
      </c>
      <c r="V19" s="14">
        <v>0.1</v>
      </c>
      <c r="W19" s="14">
        <v>0.04</v>
      </c>
      <c r="X19" s="14">
        <v>0.05</v>
      </c>
      <c r="Y19" s="14">
        <v>7.0000000000000007E-2</v>
      </c>
      <c r="Z19" s="14">
        <v>0.04</v>
      </c>
      <c r="AA19" s="14">
        <v>0.05</v>
      </c>
      <c r="AB19" s="14">
        <v>0.04</v>
      </c>
      <c r="AC19" s="14">
        <v>0.1</v>
      </c>
      <c r="AD19" s="14">
        <v>0.06</v>
      </c>
      <c r="AE19" s="14">
        <v>7.0000000000000007E-2</v>
      </c>
      <c r="AF19" s="14">
        <v>0.11</v>
      </c>
    </row>
    <row r="20" spans="1:32" x14ac:dyDescent="0.25">
      <c r="A20" s="19"/>
      <c r="B20" s="11" t="s">
        <v>419</v>
      </c>
      <c r="C20" s="12">
        <v>3375</v>
      </c>
      <c r="D20" s="12">
        <v>132</v>
      </c>
      <c r="E20" s="12">
        <v>156</v>
      </c>
      <c r="F20" s="12">
        <v>206</v>
      </c>
      <c r="G20" s="12">
        <v>172</v>
      </c>
      <c r="H20" s="12">
        <v>186</v>
      </c>
      <c r="I20" s="12">
        <v>224</v>
      </c>
      <c r="J20" s="12">
        <v>37</v>
      </c>
      <c r="K20" s="12">
        <v>143</v>
      </c>
      <c r="L20" s="12">
        <v>93</v>
      </c>
      <c r="M20" s="12">
        <v>119</v>
      </c>
      <c r="N20" s="12">
        <v>83</v>
      </c>
      <c r="O20" s="12">
        <v>166</v>
      </c>
      <c r="P20" s="12">
        <v>126</v>
      </c>
      <c r="Q20" s="12">
        <v>66</v>
      </c>
      <c r="R20" s="12">
        <v>51</v>
      </c>
      <c r="S20" s="12">
        <v>207</v>
      </c>
      <c r="T20" s="12">
        <v>209</v>
      </c>
      <c r="U20" s="12">
        <v>67</v>
      </c>
      <c r="V20" s="12">
        <v>162</v>
      </c>
      <c r="W20" s="12">
        <v>40</v>
      </c>
      <c r="X20" s="12">
        <v>164</v>
      </c>
      <c r="Y20" s="12">
        <v>127</v>
      </c>
      <c r="Z20" s="12">
        <v>103</v>
      </c>
      <c r="AA20" s="12">
        <v>184</v>
      </c>
      <c r="AB20" s="12">
        <v>103</v>
      </c>
      <c r="AC20" s="12">
        <v>188</v>
      </c>
      <c r="AD20" s="12">
        <v>162</v>
      </c>
      <c r="AE20" s="12">
        <v>154</v>
      </c>
      <c r="AF20" s="12">
        <v>179</v>
      </c>
    </row>
    <row r="21" spans="1:32" x14ac:dyDescent="0.25">
      <c r="A21" s="19"/>
      <c r="B21" s="13" t="s">
        <v>419</v>
      </c>
      <c r="C21" s="14">
        <v>0.13</v>
      </c>
      <c r="D21" s="14">
        <v>0.13</v>
      </c>
      <c r="E21" s="14">
        <v>0.15</v>
      </c>
      <c r="F21" s="14">
        <v>0.19</v>
      </c>
      <c r="G21" s="14">
        <v>0.17</v>
      </c>
      <c r="H21" s="14">
        <v>0.15</v>
      </c>
      <c r="I21" s="14">
        <v>0.15</v>
      </c>
      <c r="J21" s="14">
        <v>0.13</v>
      </c>
      <c r="K21" s="14">
        <v>0.14000000000000001</v>
      </c>
      <c r="L21" s="14">
        <v>0.09</v>
      </c>
      <c r="M21" s="14">
        <v>0.12</v>
      </c>
      <c r="N21" s="14">
        <v>0.08</v>
      </c>
      <c r="O21" s="14">
        <v>0.17</v>
      </c>
      <c r="P21" s="14">
        <v>0.13</v>
      </c>
      <c r="Q21" s="14">
        <v>0.06</v>
      </c>
      <c r="R21" s="14">
        <v>0.1</v>
      </c>
      <c r="S21" s="14">
        <v>0.21</v>
      </c>
      <c r="T21" s="14">
        <v>0.2</v>
      </c>
      <c r="U21" s="14">
        <v>0.13</v>
      </c>
      <c r="V21" s="14">
        <v>0.16</v>
      </c>
      <c r="W21" s="14">
        <v>0.08</v>
      </c>
      <c r="X21" s="14">
        <v>0.16</v>
      </c>
      <c r="Y21" s="14">
        <v>0.13</v>
      </c>
      <c r="Z21" s="14">
        <v>0.1</v>
      </c>
      <c r="AA21" s="14">
        <v>0.18</v>
      </c>
      <c r="AB21" s="14">
        <v>0.1</v>
      </c>
      <c r="AC21" s="14">
        <v>0.19</v>
      </c>
      <c r="AD21" s="14">
        <v>0.16</v>
      </c>
      <c r="AE21" s="14">
        <v>0.15</v>
      </c>
      <c r="AF21" s="14">
        <v>0.17</v>
      </c>
    </row>
    <row r="22" spans="1:32" x14ac:dyDescent="0.25">
      <c r="A22" s="19"/>
      <c r="B22" s="11" t="s">
        <v>420</v>
      </c>
      <c r="C22" s="12">
        <v>3354</v>
      </c>
      <c r="D22" s="12">
        <v>167</v>
      </c>
      <c r="E22" s="12">
        <v>119</v>
      </c>
      <c r="F22" s="12">
        <v>145</v>
      </c>
      <c r="G22" s="12">
        <v>145</v>
      </c>
      <c r="H22" s="12">
        <v>168</v>
      </c>
      <c r="I22" s="12">
        <v>204</v>
      </c>
      <c r="J22" s="12">
        <v>36</v>
      </c>
      <c r="K22" s="12">
        <v>128</v>
      </c>
      <c r="L22" s="12">
        <v>96</v>
      </c>
      <c r="M22" s="12">
        <v>94</v>
      </c>
      <c r="N22" s="12">
        <v>112</v>
      </c>
      <c r="O22" s="12">
        <v>137</v>
      </c>
      <c r="P22" s="12">
        <v>141</v>
      </c>
      <c r="Q22" s="12">
        <v>103</v>
      </c>
      <c r="R22" s="12">
        <v>39</v>
      </c>
      <c r="S22" s="12">
        <v>114</v>
      </c>
      <c r="T22" s="12">
        <v>126</v>
      </c>
      <c r="U22" s="12">
        <v>79</v>
      </c>
      <c r="V22" s="12">
        <v>159</v>
      </c>
      <c r="W22" s="12">
        <v>80</v>
      </c>
      <c r="X22" s="12">
        <v>168</v>
      </c>
      <c r="Y22" s="12">
        <v>146</v>
      </c>
      <c r="Z22" s="12">
        <v>133</v>
      </c>
      <c r="AA22" s="12">
        <v>80</v>
      </c>
      <c r="AB22" s="12">
        <v>149</v>
      </c>
      <c r="AC22" s="12">
        <v>85</v>
      </c>
      <c r="AD22" s="12">
        <v>134</v>
      </c>
      <c r="AE22" s="12">
        <v>141</v>
      </c>
      <c r="AF22" s="12">
        <v>135</v>
      </c>
    </row>
    <row r="23" spans="1:32" x14ac:dyDescent="0.25">
      <c r="A23" s="19"/>
      <c r="B23" s="13" t="s">
        <v>420</v>
      </c>
      <c r="C23" s="14">
        <v>0.13</v>
      </c>
      <c r="D23" s="14">
        <v>0.16</v>
      </c>
      <c r="E23" s="14">
        <v>0.11</v>
      </c>
      <c r="F23" s="14">
        <v>0.14000000000000001</v>
      </c>
      <c r="G23" s="14">
        <v>0.14000000000000001</v>
      </c>
      <c r="H23" s="14">
        <v>0.14000000000000001</v>
      </c>
      <c r="I23" s="14">
        <v>0.13</v>
      </c>
      <c r="J23" s="14">
        <v>0.12</v>
      </c>
      <c r="K23" s="14">
        <v>0.13</v>
      </c>
      <c r="L23" s="14">
        <v>0.1</v>
      </c>
      <c r="M23" s="14">
        <v>0.09</v>
      </c>
      <c r="N23" s="14">
        <v>0.11</v>
      </c>
      <c r="O23" s="14">
        <v>0.14000000000000001</v>
      </c>
      <c r="P23" s="14">
        <v>0.14000000000000001</v>
      </c>
      <c r="Q23" s="14">
        <v>0.1</v>
      </c>
      <c r="R23" s="14">
        <v>0.08</v>
      </c>
      <c r="S23" s="14">
        <v>0.11</v>
      </c>
      <c r="T23" s="14">
        <v>0.12</v>
      </c>
      <c r="U23" s="14">
        <v>0.16</v>
      </c>
      <c r="V23" s="14">
        <v>0.16</v>
      </c>
      <c r="W23" s="14">
        <v>0.16</v>
      </c>
      <c r="X23" s="14">
        <v>0.17</v>
      </c>
      <c r="Y23" s="14">
        <v>0.14000000000000001</v>
      </c>
      <c r="Z23" s="14">
        <v>0.13</v>
      </c>
      <c r="AA23" s="14">
        <v>0.08</v>
      </c>
      <c r="AB23" s="14">
        <v>0.14000000000000001</v>
      </c>
      <c r="AC23" s="14">
        <v>0.09</v>
      </c>
      <c r="AD23" s="14">
        <v>0.13</v>
      </c>
      <c r="AE23" s="14">
        <v>0.14000000000000001</v>
      </c>
      <c r="AF23" s="14">
        <v>0.13</v>
      </c>
    </row>
    <row r="24" spans="1:32" x14ac:dyDescent="0.25">
      <c r="A24" s="19"/>
      <c r="B24" s="11" t="s">
        <v>421</v>
      </c>
      <c r="C24" s="12">
        <v>4670</v>
      </c>
      <c r="D24" s="12">
        <v>205</v>
      </c>
      <c r="E24" s="12">
        <v>152</v>
      </c>
      <c r="F24" s="12">
        <v>140</v>
      </c>
      <c r="G24" s="12">
        <v>195</v>
      </c>
      <c r="H24" s="12">
        <v>204</v>
      </c>
      <c r="I24" s="12">
        <v>252</v>
      </c>
      <c r="J24" s="12">
        <v>48</v>
      </c>
      <c r="K24" s="12">
        <v>139</v>
      </c>
      <c r="L24" s="12">
        <v>189</v>
      </c>
      <c r="M24" s="12">
        <v>198</v>
      </c>
      <c r="N24" s="12">
        <v>160</v>
      </c>
      <c r="O24" s="12">
        <v>195</v>
      </c>
      <c r="P24" s="12">
        <v>150</v>
      </c>
      <c r="Q24" s="12">
        <v>172</v>
      </c>
      <c r="R24" s="12">
        <v>101</v>
      </c>
      <c r="S24" s="12">
        <v>137</v>
      </c>
      <c r="T24" s="12">
        <v>123</v>
      </c>
      <c r="U24" s="12">
        <v>101</v>
      </c>
      <c r="V24" s="12">
        <v>189</v>
      </c>
      <c r="W24" s="12">
        <v>68</v>
      </c>
      <c r="X24" s="12">
        <v>249</v>
      </c>
      <c r="Y24" s="12">
        <v>147</v>
      </c>
      <c r="Z24" s="12">
        <v>195</v>
      </c>
      <c r="AA24" s="12">
        <v>123</v>
      </c>
      <c r="AB24" s="12">
        <v>213</v>
      </c>
      <c r="AC24" s="12">
        <v>137</v>
      </c>
      <c r="AD24" s="12">
        <v>229</v>
      </c>
      <c r="AE24" s="12">
        <v>187</v>
      </c>
      <c r="AF24" s="12">
        <v>181</v>
      </c>
    </row>
    <row r="25" spans="1:32" x14ac:dyDescent="0.25">
      <c r="A25" s="19"/>
      <c r="B25" s="13" t="s">
        <v>421</v>
      </c>
      <c r="C25" s="14">
        <v>0.18</v>
      </c>
      <c r="D25" s="14">
        <v>0.2</v>
      </c>
      <c r="E25" s="14">
        <v>0.14000000000000001</v>
      </c>
      <c r="F25" s="14">
        <v>0.13</v>
      </c>
      <c r="G25" s="14">
        <v>0.19</v>
      </c>
      <c r="H25" s="14">
        <v>0.17</v>
      </c>
      <c r="I25" s="14">
        <v>0.17</v>
      </c>
      <c r="J25" s="14">
        <v>0.16</v>
      </c>
      <c r="K25" s="14">
        <v>0.14000000000000001</v>
      </c>
      <c r="L25" s="14">
        <v>0.19</v>
      </c>
      <c r="M25" s="14">
        <v>0.2</v>
      </c>
      <c r="N25" s="14">
        <v>0.16</v>
      </c>
      <c r="O25" s="14">
        <v>0.19</v>
      </c>
      <c r="P25" s="14">
        <v>0.15</v>
      </c>
      <c r="Q25" s="14">
        <v>0.17</v>
      </c>
      <c r="R25" s="14">
        <v>0.2</v>
      </c>
      <c r="S25" s="14">
        <v>0.14000000000000001</v>
      </c>
      <c r="T25" s="14">
        <v>0.12</v>
      </c>
      <c r="U25" s="14">
        <v>0.2</v>
      </c>
      <c r="V25" s="14">
        <v>0.18</v>
      </c>
      <c r="W25" s="14">
        <v>0.13</v>
      </c>
      <c r="X25" s="14">
        <v>0.25</v>
      </c>
      <c r="Y25" s="14">
        <v>0.15</v>
      </c>
      <c r="Z25" s="14">
        <v>0.19</v>
      </c>
      <c r="AA25" s="14">
        <v>0.12</v>
      </c>
      <c r="AB25" s="14">
        <v>0.21</v>
      </c>
      <c r="AC25" s="14">
        <v>0.14000000000000001</v>
      </c>
      <c r="AD25" s="14">
        <v>0.23</v>
      </c>
      <c r="AE25" s="14">
        <v>0.19</v>
      </c>
      <c r="AF25" s="14">
        <v>0.18</v>
      </c>
    </row>
    <row r="26" spans="1:32" x14ac:dyDescent="0.25">
      <c r="A26" s="19"/>
      <c r="B26" s="11" t="s">
        <v>422</v>
      </c>
      <c r="C26" s="12">
        <v>5229</v>
      </c>
      <c r="D26" s="12">
        <v>223</v>
      </c>
      <c r="E26" s="12">
        <v>122</v>
      </c>
      <c r="F26" s="12">
        <v>144</v>
      </c>
      <c r="G26" s="12">
        <v>146</v>
      </c>
      <c r="H26" s="12">
        <v>205</v>
      </c>
      <c r="I26" s="12">
        <v>260</v>
      </c>
      <c r="J26" s="12">
        <v>55</v>
      </c>
      <c r="K26" s="12">
        <v>103</v>
      </c>
      <c r="L26" s="12">
        <v>194</v>
      </c>
      <c r="M26" s="12">
        <v>260</v>
      </c>
      <c r="N26" s="12">
        <v>230</v>
      </c>
      <c r="O26" s="12">
        <v>186</v>
      </c>
      <c r="P26" s="12">
        <v>205</v>
      </c>
      <c r="Q26" s="12">
        <v>255</v>
      </c>
      <c r="R26" s="12">
        <v>130</v>
      </c>
      <c r="S26" s="12">
        <v>125</v>
      </c>
      <c r="T26" s="12">
        <v>123</v>
      </c>
      <c r="U26" s="12">
        <v>97</v>
      </c>
      <c r="V26" s="12">
        <v>165</v>
      </c>
      <c r="W26" s="12">
        <v>99</v>
      </c>
      <c r="X26" s="12">
        <v>182</v>
      </c>
      <c r="Y26" s="12">
        <v>141</v>
      </c>
      <c r="Z26" s="12">
        <v>250</v>
      </c>
      <c r="AA26" s="12">
        <v>171</v>
      </c>
      <c r="AB26" s="12">
        <v>228</v>
      </c>
      <c r="AC26" s="12">
        <v>114</v>
      </c>
      <c r="AD26" s="12">
        <v>184</v>
      </c>
      <c r="AE26" s="12">
        <v>200</v>
      </c>
      <c r="AF26" s="12">
        <v>130</v>
      </c>
    </row>
    <row r="27" spans="1:32" x14ac:dyDescent="0.25">
      <c r="A27" s="19"/>
      <c r="B27" s="13" t="s">
        <v>422</v>
      </c>
      <c r="C27" s="14">
        <v>0.2</v>
      </c>
      <c r="D27" s="14">
        <v>0.22</v>
      </c>
      <c r="E27" s="14">
        <v>0.12</v>
      </c>
      <c r="F27" s="14">
        <v>0.14000000000000001</v>
      </c>
      <c r="G27" s="14">
        <v>0.14000000000000001</v>
      </c>
      <c r="H27" s="14">
        <v>0.17</v>
      </c>
      <c r="I27" s="14">
        <v>0.17</v>
      </c>
      <c r="J27" s="14">
        <v>0.18</v>
      </c>
      <c r="K27" s="14">
        <v>0.1</v>
      </c>
      <c r="L27" s="14">
        <v>0.19</v>
      </c>
      <c r="M27" s="14">
        <v>0.26</v>
      </c>
      <c r="N27" s="14">
        <v>0.23</v>
      </c>
      <c r="O27" s="14">
        <v>0.19</v>
      </c>
      <c r="P27" s="14">
        <v>0.2</v>
      </c>
      <c r="Q27" s="14">
        <v>0.25</v>
      </c>
      <c r="R27" s="14">
        <v>0.26</v>
      </c>
      <c r="S27" s="14">
        <v>0.12</v>
      </c>
      <c r="T27" s="14">
        <v>0.12</v>
      </c>
      <c r="U27" s="14">
        <v>0.19</v>
      </c>
      <c r="V27" s="14">
        <v>0.16</v>
      </c>
      <c r="W27" s="14">
        <v>0.2</v>
      </c>
      <c r="X27" s="14">
        <v>0.18</v>
      </c>
      <c r="Y27" s="14">
        <v>0.14000000000000001</v>
      </c>
      <c r="Z27" s="14">
        <v>0.25</v>
      </c>
      <c r="AA27" s="14">
        <v>0.16</v>
      </c>
      <c r="AB27" s="14">
        <v>0.22</v>
      </c>
      <c r="AC27" s="14">
        <v>0.11</v>
      </c>
      <c r="AD27" s="14">
        <v>0.18</v>
      </c>
      <c r="AE27" s="14">
        <v>0.2</v>
      </c>
      <c r="AF27" s="14">
        <v>0.13</v>
      </c>
    </row>
    <row r="28" spans="1:32" x14ac:dyDescent="0.25">
      <c r="A28" s="19"/>
      <c r="B28" s="11" t="s">
        <v>423</v>
      </c>
      <c r="C28" s="12">
        <v>2661</v>
      </c>
      <c r="D28" s="12">
        <v>87</v>
      </c>
      <c r="E28" s="12">
        <v>66</v>
      </c>
      <c r="F28" s="12">
        <v>65</v>
      </c>
      <c r="G28" s="12">
        <v>59</v>
      </c>
      <c r="H28" s="12">
        <v>63</v>
      </c>
      <c r="I28" s="12">
        <v>82</v>
      </c>
      <c r="J28" s="12">
        <v>19</v>
      </c>
      <c r="K28" s="12">
        <v>60</v>
      </c>
      <c r="L28" s="12">
        <v>97</v>
      </c>
      <c r="M28" s="12">
        <v>145</v>
      </c>
      <c r="N28" s="12">
        <v>146</v>
      </c>
      <c r="O28" s="12">
        <v>73</v>
      </c>
      <c r="P28" s="12">
        <v>96</v>
      </c>
      <c r="Q28" s="12">
        <v>183</v>
      </c>
      <c r="R28" s="12">
        <v>40</v>
      </c>
      <c r="S28" s="12">
        <v>70</v>
      </c>
      <c r="T28" s="12">
        <v>73</v>
      </c>
      <c r="U28" s="12">
        <v>39</v>
      </c>
      <c r="V28" s="12">
        <v>62</v>
      </c>
      <c r="W28" s="12">
        <v>65</v>
      </c>
      <c r="X28" s="12">
        <v>60</v>
      </c>
      <c r="Y28" s="12">
        <v>106</v>
      </c>
      <c r="Z28" s="12">
        <v>124</v>
      </c>
      <c r="AA28" s="12">
        <v>185</v>
      </c>
      <c r="AB28" s="12">
        <v>123</v>
      </c>
      <c r="AC28" s="12">
        <v>51</v>
      </c>
      <c r="AD28" s="12">
        <v>49</v>
      </c>
      <c r="AE28" s="12">
        <v>91</v>
      </c>
      <c r="AF28" s="12">
        <v>46</v>
      </c>
    </row>
    <row r="29" spans="1:32" x14ac:dyDescent="0.25">
      <c r="A29" s="19"/>
      <c r="B29" s="13" t="s">
        <v>423</v>
      </c>
      <c r="C29" s="14">
        <v>0.1</v>
      </c>
      <c r="D29" s="14">
        <v>0.09</v>
      </c>
      <c r="E29" s="14">
        <v>0.06</v>
      </c>
      <c r="F29" s="14">
        <v>0.06</v>
      </c>
      <c r="G29" s="14">
        <v>0.06</v>
      </c>
      <c r="H29" s="14">
        <v>0.05</v>
      </c>
      <c r="I29" s="14">
        <v>0.05</v>
      </c>
      <c r="J29" s="14">
        <v>0.06</v>
      </c>
      <c r="K29" s="14">
        <v>0.06</v>
      </c>
      <c r="L29" s="14">
        <v>0.1</v>
      </c>
      <c r="M29" s="14">
        <v>0.14000000000000001</v>
      </c>
      <c r="N29" s="14">
        <v>0.14000000000000001</v>
      </c>
      <c r="O29" s="14">
        <v>7.0000000000000007E-2</v>
      </c>
      <c r="P29" s="14">
        <v>0.1</v>
      </c>
      <c r="Q29" s="14">
        <v>0.18</v>
      </c>
      <c r="R29" s="14">
        <v>0.08</v>
      </c>
      <c r="S29" s="14">
        <v>7.0000000000000007E-2</v>
      </c>
      <c r="T29" s="14">
        <v>7.0000000000000007E-2</v>
      </c>
      <c r="U29" s="14">
        <v>0.08</v>
      </c>
      <c r="V29" s="14">
        <v>0.06</v>
      </c>
      <c r="W29" s="14">
        <v>0.13</v>
      </c>
      <c r="X29" s="14">
        <v>0.06</v>
      </c>
      <c r="Y29" s="14">
        <v>0.1</v>
      </c>
      <c r="Z29" s="14">
        <v>0.12</v>
      </c>
      <c r="AA29" s="14">
        <v>0.18</v>
      </c>
      <c r="AB29" s="14">
        <v>0.12</v>
      </c>
      <c r="AC29" s="14">
        <v>0.05</v>
      </c>
      <c r="AD29" s="14">
        <v>0.05</v>
      </c>
      <c r="AE29" s="14">
        <v>0.09</v>
      </c>
      <c r="AF29" s="14">
        <v>0.05</v>
      </c>
    </row>
    <row r="30" spans="1:32" ht="23.25" x14ac:dyDescent="0.25">
      <c r="A30" s="19"/>
      <c r="B30" s="11" t="s">
        <v>424</v>
      </c>
      <c r="C30" s="12">
        <v>2919</v>
      </c>
      <c r="D30" s="12">
        <v>72</v>
      </c>
      <c r="E30" s="12">
        <v>137</v>
      </c>
      <c r="F30" s="12">
        <v>90</v>
      </c>
      <c r="G30" s="12">
        <v>46</v>
      </c>
      <c r="H30" s="12">
        <v>100</v>
      </c>
      <c r="I30" s="12">
        <v>137</v>
      </c>
      <c r="J30" s="12">
        <v>37</v>
      </c>
      <c r="K30" s="12">
        <v>113</v>
      </c>
      <c r="L30" s="12">
        <v>157</v>
      </c>
      <c r="M30" s="12">
        <v>84</v>
      </c>
      <c r="N30" s="12">
        <v>180</v>
      </c>
      <c r="O30" s="12">
        <v>75</v>
      </c>
      <c r="P30" s="12">
        <v>147</v>
      </c>
      <c r="Q30" s="12">
        <v>161</v>
      </c>
      <c r="R30" s="12">
        <v>91</v>
      </c>
      <c r="S30" s="12">
        <v>83</v>
      </c>
      <c r="T30" s="12">
        <v>128</v>
      </c>
      <c r="U30" s="12">
        <v>78</v>
      </c>
      <c r="V30" s="12">
        <v>77</v>
      </c>
      <c r="W30" s="12">
        <v>83</v>
      </c>
      <c r="X30" s="12">
        <v>50</v>
      </c>
      <c r="Y30" s="12">
        <v>134</v>
      </c>
      <c r="Z30" s="12">
        <v>143</v>
      </c>
      <c r="AA30" s="12">
        <v>199</v>
      </c>
      <c r="AB30" s="12">
        <v>73</v>
      </c>
      <c r="AC30" s="12">
        <v>101</v>
      </c>
      <c r="AD30" s="12">
        <v>41</v>
      </c>
      <c r="AE30" s="12">
        <v>56</v>
      </c>
      <c r="AF30" s="12">
        <v>60</v>
      </c>
    </row>
    <row r="31" spans="1:32" x14ac:dyDescent="0.25">
      <c r="A31" s="19"/>
      <c r="B31" s="13" t="s">
        <v>425</v>
      </c>
      <c r="C31" s="14">
        <v>0.11</v>
      </c>
      <c r="D31" s="14">
        <v>7.0000000000000007E-2</v>
      </c>
      <c r="E31" s="14">
        <v>0.13</v>
      </c>
      <c r="F31" s="14">
        <v>0.08</v>
      </c>
      <c r="G31" s="14">
        <v>0.05</v>
      </c>
      <c r="H31" s="14">
        <v>0.08</v>
      </c>
      <c r="I31" s="14">
        <v>0.09</v>
      </c>
      <c r="J31" s="14">
        <v>0.12</v>
      </c>
      <c r="K31" s="14">
        <v>0.11</v>
      </c>
      <c r="L31" s="14">
        <v>0.16</v>
      </c>
      <c r="M31" s="14">
        <v>0.08</v>
      </c>
      <c r="N31" s="14">
        <v>0.18</v>
      </c>
      <c r="O31" s="14">
        <v>0.08</v>
      </c>
      <c r="P31" s="14">
        <v>0.15</v>
      </c>
      <c r="Q31" s="14">
        <v>0.16</v>
      </c>
      <c r="R31" s="14">
        <v>0.18</v>
      </c>
      <c r="S31" s="14">
        <v>0.08</v>
      </c>
      <c r="T31" s="14">
        <v>0.13</v>
      </c>
      <c r="U31" s="14">
        <v>0.15</v>
      </c>
      <c r="V31" s="14">
        <v>7.0000000000000007E-2</v>
      </c>
      <c r="W31" s="14">
        <v>0.17</v>
      </c>
      <c r="X31" s="14">
        <v>0.05</v>
      </c>
      <c r="Y31" s="14">
        <v>0.13</v>
      </c>
      <c r="Z31" s="14">
        <v>0.14000000000000001</v>
      </c>
      <c r="AA31" s="14">
        <v>0.19</v>
      </c>
      <c r="AB31" s="14">
        <v>7.0000000000000007E-2</v>
      </c>
      <c r="AC31" s="14">
        <v>0.1</v>
      </c>
      <c r="AD31" s="14">
        <v>0.04</v>
      </c>
      <c r="AE31" s="14">
        <v>0.06</v>
      </c>
      <c r="AF31" s="14">
        <v>0.06</v>
      </c>
    </row>
    <row r="32" spans="1:32" x14ac:dyDescent="0.25">
      <c r="A32" s="19"/>
      <c r="B32" s="11" t="s">
        <v>224</v>
      </c>
      <c r="C32" s="12">
        <v>411</v>
      </c>
      <c r="D32" s="12">
        <v>4</v>
      </c>
      <c r="E32" s="12">
        <v>38</v>
      </c>
      <c r="F32" s="12">
        <v>11</v>
      </c>
      <c r="G32" s="12">
        <v>23</v>
      </c>
      <c r="H32" s="12">
        <v>18</v>
      </c>
      <c r="I32" s="12">
        <v>21</v>
      </c>
      <c r="J32" s="12">
        <v>3</v>
      </c>
      <c r="K32" s="12">
        <v>28</v>
      </c>
      <c r="L32" s="12">
        <v>17</v>
      </c>
      <c r="M32" s="12">
        <v>16</v>
      </c>
      <c r="N32" s="12">
        <v>22</v>
      </c>
      <c r="O32" s="12">
        <v>26</v>
      </c>
      <c r="P32" s="12">
        <v>12</v>
      </c>
      <c r="Q32" s="12">
        <v>6</v>
      </c>
      <c r="R32" s="12">
        <v>7</v>
      </c>
      <c r="S32" s="12">
        <v>32</v>
      </c>
      <c r="T32" s="12">
        <v>39</v>
      </c>
      <c r="U32" s="12">
        <v>4</v>
      </c>
      <c r="V32" s="12">
        <v>11</v>
      </c>
      <c r="W32" s="12">
        <v>9</v>
      </c>
      <c r="X32" s="12">
        <v>3</v>
      </c>
      <c r="Y32" s="12">
        <v>19</v>
      </c>
      <c r="Z32" s="12">
        <v>5</v>
      </c>
      <c r="AA32" s="12">
        <v>31</v>
      </c>
      <c r="AB32" s="12">
        <v>35</v>
      </c>
      <c r="AC32" s="12">
        <v>12</v>
      </c>
      <c r="AD32" s="12">
        <v>8</v>
      </c>
      <c r="AE32" s="12">
        <v>15</v>
      </c>
      <c r="AF32" s="12">
        <v>0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0.04</v>
      </c>
      <c r="F33" s="14">
        <v>0.01</v>
      </c>
      <c r="G33" s="14">
        <v>0.02</v>
      </c>
      <c r="H33" s="14">
        <v>0.02</v>
      </c>
      <c r="I33" s="14">
        <v>0.01</v>
      </c>
      <c r="J33" s="14">
        <v>0.01</v>
      </c>
      <c r="K33" s="14">
        <v>0.03</v>
      </c>
      <c r="L33" s="14">
        <v>0.02</v>
      </c>
      <c r="M33" s="14">
        <v>0.02</v>
      </c>
      <c r="N33" s="14">
        <v>0.02</v>
      </c>
      <c r="O33" s="14">
        <v>0.03</v>
      </c>
      <c r="P33" s="14">
        <v>0.01</v>
      </c>
      <c r="Q33" s="15" t="s">
        <v>213</v>
      </c>
      <c r="R33" s="14">
        <v>0.01</v>
      </c>
      <c r="S33" s="14">
        <v>0.03</v>
      </c>
      <c r="T33" s="14">
        <v>0.04</v>
      </c>
      <c r="U33" s="14">
        <v>0.01</v>
      </c>
      <c r="V33" s="14">
        <v>0.01</v>
      </c>
      <c r="W33" s="14">
        <v>0.02</v>
      </c>
      <c r="X33" s="15" t="s">
        <v>213</v>
      </c>
      <c r="Y33" s="14">
        <v>0.02</v>
      </c>
      <c r="Z33" s="14">
        <v>0.01</v>
      </c>
      <c r="AA33" s="14">
        <v>0.03</v>
      </c>
      <c r="AB33" s="14">
        <v>0.03</v>
      </c>
      <c r="AC33" s="14">
        <v>0.01</v>
      </c>
      <c r="AD33" s="14">
        <v>0.01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3834</v>
      </c>
      <c r="D34" s="12">
        <v>129</v>
      </c>
      <c r="E34" s="12">
        <v>256</v>
      </c>
      <c r="F34" s="12">
        <v>263</v>
      </c>
      <c r="G34" s="12">
        <v>229</v>
      </c>
      <c r="H34" s="12">
        <v>285</v>
      </c>
      <c r="I34" s="12">
        <v>348</v>
      </c>
      <c r="J34" s="12">
        <v>63</v>
      </c>
      <c r="K34" s="12">
        <v>292</v>
      </c>
      <c r="L34" s="12">
        <v>162</v>
      </c>
      <c r="M34" s="12">
        <v>92</v>
      </c>
      <c r="N34" s="12">
        <v>78</v>
      </c>
      <c r="O34" s="12">
        <v>146</v>
      </c>
      <c r="P34" s="12">
        <v>127</v>
      </c>
      <c r="Q34" s="12">
        <v>85</v>
      </c>
      <c r="R34" s="12">
        <v>43</v>
      </c>
      <c r="S34" s="12">
        <v>237</v>
      </c>
      <c r="T34" s="12">
        <v>201</v>
      </c>
      <c r="U34" s="12">
        <v>44</v>
      </c>
      <c r="V34" s="12">
        <v>200</v>
      </c>
      <c r="W34" s="12">
        <v>58</v>
      </c>
      <c r="X34" s="12">
        <v>134</v>
      </c>
      <c r="Y34" s="12">
        <v>183</v>
      </c>
      <c r="Z34" s="12">
        <v>62</v>
      </c>
      <c r="AA34" s="12">
        <v>64</v>
      </c>
      <c r="AB34" s="12">
        <v>117</v>
      </c>
      <c r="AC34" s="12">
        <v>319</v>
      </c>
      <c r="AD34" s="12">
        <v>196</v>
      </c>
      <c r="AE34" s="12">
        <v>157</v>
      </c>
      <c r="AF34" s="12">
        <v>299</v>
      </c>
    </row>
    <row r="35" spans="1:32" ht="23.25" x14ac:dyDescent="0.25">
      <c r="A35" s="19"/>
      <c r="B35" s="13" t="s">
        <v>427</v>
      </c>
      <c r="C35" s="14">
        <v>0.14000000000000001</v>
      </c>
      <c r="D35" s="14">
        <v>0.13</v>
      </c>
      <c r="E35" s="14">
        <v>0.25</v>
      </c>
      <c r="F35" s="14">
        <v>0.25</v>
      </c>
      <c r="G35" s="14">
        <v>0.23</v>
      </c>
      <c r="H35" s="14">
        <v>0.22</v>
      </c>
      <c r="I35" s="14">
        <v>0.23</v>
      </c>
      <c r="J35" s="14">
        <v>0.22</v>
      </c>
      <c r="K35" s="14">
        <v>0.28999999999999998</v>
      </c>
      <c r="L35" s="14">
        <v>0.15</v>
      </c>
      <c r="M35" s="14">
        <v>0.09</v>
      </c>
      <c r="N35" s="14">
        <v>0.08</v>
      </c>
      <c r="O35" s="14">
        <v>0.13</v>
      </c>
      <c r="P35" s="14">
        <v>0.12</v>
      </c>
      <c r="Q35" s="14">
        <v>0.08</v>
      </c>
      <c r="R35" s="14">
        <v>0.09</v>
      </c>
      <c r="S35" s="14">
        <v>0.24</v>
      </c>
      <c r="T35" s="14">
        <v>0.2</v>
      </c>
      <c r="U35" s="14">
        <v>0.08</v>
      </c>
      <c r="V35" s="14">
        <v>0.2</v>
      </c>
      <c r="W35" s="14">
        <v>0.11</v>
      </c>
      <c r="X35" s="14">
        <v>0.13</v>
      </c>
      <c r="Y35" s="14">
        <v>0.19</v>
      </c>
      <c r="Z35" s="14">
        <v>0.06</v>
      </c>
      <c r="AA35" s="14">
        <v>0.06</v>
      </c>
      <c r="AB35" s="14">
        <v>0.11</v>
      </c>
      <c r="AC35" s="14">
        <v>0.31</v>
      </c>
      <c r="AD35" s="14">
        <v>0.2</v>
      </c>
      <c r="AE35" s="14">
        <v>0.16</v>
      </c>
      <c r="AF35" s="14">
        <v>0.28000000000000003</v>
      </c>
    </row>
    <row r="36" spans="1:32" ht="23.25" x14ac:dyDescent="0.25">
      <c r="A36" s="19"/>
      <c r="B36" s="11" t="s">
        <v>428</v>
      </c>
      <c r="C36" s="12">
        <v>6729</v>
      </c>
      <c r="D36" s="12">
        <v>299</v>
      </c>
      <c r="E36" s="12">
        <v>275</v>
      </c>
      <c r="F36" s="12">
        <v>351</v>
      </c>
      <c r="G36" s="12">
        <v>317</v>
      </c>
      <c r="H36" s="12">
        <v>354</v>
      </c>
      <c r="I36" s="12">
        <v>428</v>
      </c>
      <c r="J36" s="12">
        <v>73</v>
      </c>
      <c r="K36" s="12">
        <v>271</v>
      </c>
      <c r="L36" s="12">
        <v>189</v>
      </c>
      <c r="M36" s="12">
        <v>213</v>
      </c>
      <c r="N36" s="12">
        <v>195</v>
      </c>
      <c r="O36" s="12">
        <v>303</v>
      </c>
      <c r="P36" s="12">
        <v>267</v>
      </c>
      <c r="Q36" s="12">
        <v>169</v>
      </c>
      <c r="R36" s="12">
        <v>90</v>
      </c>
      <c r="S36" s="12">
        <v>321</v>
      </c>
      <c r="T36" s="12">
        <v>335</v>
      </c>
      <c r="U36" s="12">
        <v>146</v>
      </c>
      <c r="V36" s="12">
        <v>321</v>
      </c>
      <c r="W36" s="12">
        <v>120</v>
      </c>
      <c r="X36" s="12">
        <v>332</v>
      </c>
      <c r="Y36" s="12">
        <v>273</v>
      </c>
      <c r="Z36" s="12">
        <v>236</v>
      </c>
      <c r="AA36" s="12">
        <v>264</v>
      </c>
      <c r="AB36" s="12">
        <v>252</v>
      </c>
      <c r="AC36" s="12">
        <v>273</v>
      </c>
      <c r="AD36" s="12">
        <v>296</v>
      </c>
      <c r="AE36" s="12">
        <v>295</v>
      </c>
      <c r="AF36" s="12">
        <v>314</v>
      </c>
    </row>
    <row r="37" spans="1:32" ht="23.25" x14ac:dyDescent="0.25">
      <c r="A37" s="19"/>
      <c r="B37" s="13" t="s">
        <v>429</v>
      </c>
      <c r="C37" s="14">
        <v>0.26</v>
      </c>
      <c r="D37" s="14">
        <v>0.28999999999999998</v>
      </c>
      <c r="E37" s="14">
        <v>0.26</v>
      </c>
      <c r="F37" s="14">
        <v>0.33</v>
      </c>
      <c r="G37" s="14">
        <v>0.31</v>
      </c>
      <c r="H37" s="14">
        <v>0.28999999999999998</v>
      </c>
      <c r="I37" s="14">
        <v>0.28000000000000003</v>
      </c>
      <c r="J37" s="14">
        <v>0.25</v>
      </c>
      <c r="K37" s="14">
        <v>0.27</v>
      </c>
      <c r="L37" s="14">
        <v>0.19</v>
      </c>
      <c r="M37" s="14">
        <v>0.21</v>
      </c>
      <c r="N37" s="14">
        <v>0.19</v>
      </c>
      <c r="O37" s="14">
        <v>0.31</v>
      </c>
      <c r="P37" s="14">
        <v>0.27</v>
      </c>
      <c r="Q37" s="14">
        <v>0.16</v>
      </c>
      <c r="R37" s="14">
        <v>0.18</v>
      </c>
      <c r="S37" s="14">
        <v>0.32</v>
      </c>
      <c r="T37" s="14">
        <v>0.32</v>
      </c>
      <c r="U37" s="14">
        <v>0.28999999999999998</v>
      </c>
      <c r="V37" s="14">
        <v>0.32</v>
      </c>
      <c r="W37" s="14">
        <v>0.24</v>
      </c>
      <c r="X37" s="14">
        <v>0.33</v>
      </c>
      <c r="Y37" s="14">
        <v>0.27</v>
      </c>
      <c r="Z37" s="14">
        <v>0.23</v>
      </c>
      <c r="AA37" s="14">
        <v>0.26</v>
      </c>
      <c r="AB37" s="14">
        <v>0.24</v>
      </c>
      <c r="AC37" s="14">
        <v>0.28000000000000003</v>
      </c>
      <c r="AD37" s="14">
        <v>0.28999999999999998</v>
      </c>
      <c r="AE37" s="14">
        <v>0.28999999999999998</v>
      </c>
      <c r="AF37" s="14">
        <v>0.3</v>
      </c>
    </row>
    <row r="38" spans="1:32" ht="23.25" x14ac:dyDescent="0.25">
      <c r="A38" s="19"/>
      <c r="B38" s="11" t="s">
        <v>430</v>
      </c>
      <c r="C38" s="12">
        <v>15479</v>
      </c>
      <c r="D38" s="12">
        <v>587</v>
      </c>
      <c r="E38" s="12">
        <v>477</v>
      </c>
      <c r="F38" s="12">
        <v>439</v>
      </c>
      <c r="G38" s="12">
        <v>446</v>
      </c>
      <c r="H38" s="12">
        <v>572</v>
      </c>
      <c r="I38" s="12">
        <v>731</v>
      </c>
      <c r="J38" s="12">
        <v>159</v>
      </c>
      <c r="K38" s="12">
        <v>415</v>
      </c>
      <c r="L38" s="12">
        <v>637</v>
      </c>
      <c r="M38" s="12">
        <v>687</v>
      </c>
      <c r="N38" s="12">
        <v>716</v>
      </c>
      <c r="O38" s="12">
        <v>529</v>
      </c>
      <c r="P38" s="12">
        <v>598</v>
      </c>
      <c r="Q38" s="12">
        <v>771</v>
      </c>
      <c r="R38" s="12">
        <v>362</v>
      </c>
      <c r="S38" s="12">
        <v>415</v>
      </c>
      <c r="T38" s="12">
        <v>447</v>
      </c>
      <c r="U38" s="12">
        <v>315</v>
      </c>
      <c r="V38" s="12">
        <v>493</v>
      </c>
      <c r="W38" s="12">
        <v>315</v>
      </c>
      <c r="X38" s="12">
        <v>541</v>
      </c>
      <c r="Y38" s="12">
        <v>528</v>
      </c>
      <c r="Z38" s="12">
        <v>712</v>
      </c>
      <c r="AA38" s="12">
        <v>678</v>
      </c>
      <c r="AB38" s="12">
        <v>637</v>
      </c>
      <c r="AC38" s="12">
        <v>403</v>
      </c>
      <c r="AD38" s="12">
        <v>503</v>
      </c>
      <c r="AE38" s="12">
        <v>534</v>
      </c>
      <c r="AF38" s="12">
        <v>417</v>
      </c>
    </row>
    <row r="39" spans="1:32" ht="23.25" x14ac:dyDescent="0.25">
      <c r="A39" s="19"/>
      <c r="B39" s="13" t="s">
        <v>431</v>
      </c>
      <c r="C39" s="14">
        <v>0.59</v>
      </c>
      <c r="D39" s="14">
        <v>0.57999999999999996</v>
      </c>
      <c r="E39" s="14">
        <v>0.45</v>
      </c>
      <c r="F39" s="14">
        <v>0.41</v>
      </c>
      <c r="G39" s="14">
        <v>0.44</v>
      </c>
      <c r="H39" s="14">
        <v>0.47</v>
      </c>
      <c r="I39" s="14">
        <v>0.48</v>
      </c>
      <c r="J39" s="14">
        <v>0.52</v>
      </c>
      <c r="K39" s="14">
        <v>0.41</v>
      </c>
      <c r="L39" s="14">
        <v>0.64</v>
      </c>
      <c r="M39" s="14">
        <v>0.68</v>
      </c>
      <c r="N39" s="14">
        <v>0.71</v>
      </c>
      <c r="O39" s="14">
        <v>0.53</v>
      </c>
      <c r="P39" s="14">
        <v>0.6</v>
      </c>
      <c r="Q39" s="14">
        <v>0.76</v>
      </c>
      <c r="R39" s="14">
        <v>0.72</v>
      </c>
      <c r="S39" s="14">
        <v>0.41</v>
      </c>
      <c r="T39" s="14">
        <v>0.44</v>
      </c>
      <c r="U39" s="14">
        <v>0.62</v>
      </c>
      <c r="V39" s="14">
        <v>0.47</v>
      </c>
      <c r="W39" s="14">
        <v>0.63</v>
      </c>
      <c r="X39" s="14">
        <v>0.54</v>
      </c>
      <c r="Y39" s="14">
        <v>0.52</v>
      </c>
      <c r="Z39" s="14">
        <v>0.70000000000000007</v>
      </c>
      <c r="AA39" s="14">
        <v>0.65</v>
      </c>
      <c r="AB39" s="14">
        <v>0.62</v>
      </c>
      <c r="AC39" s="14">
        <v>0.4</v>
      </c>
      <c r="AD39" s="14">
        <v>0.5</v>
      </c>
      <c r="AE39" s="14">
        <v>0.54</v>
      </c>
      <c r="AF39" s="14">
        <v>0.42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452</v>
      </c>
      <c r="C3" s="18"/>
      <c r="D3" s="18"/>
      <c r="E3" s="18"/>
      <c r="F3" s="18"/>
      <c r="H3" s="18" t="s">
        <v>453</v>
      </c>
      <c r="I3" s="18"/>
      <c r="J3" s="18"/>
      <c r="K3" s="18"/>
      <c r="L3" s="18"/>
    </row>
    <row r="4" spans="1:32" ht="27" customHeight="1" x14ac:dyDescent="0.25">
      <c r="B4" s="18" t="s">
        <v>454</v>
      </c>
      <c r="C4" s="18"/>
      <c r="D4" s="18"/>
      <c r="E4" s="18"/>
      <c r="F4" s="18"/>
      <c r="H4" s="18" t="s">
        <v>455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446</v>
      </c>
      <c r="D12" s="12">
        <v>26</v>
      </c>
      <c r="E12" s="12">
        <v>28</v>
      </c>
      <c r="F12" s="12">
        <v>24</v>
      </c>
      <c r="G12" s="12">
        <v>82</v>
      </c>
      <c r="H12" s="12">
        <v>15</v>
      </c>
      <c r="I12" s="12">
        <v>17</v>
      </c>
      <c r="J12" s="12">
        <v>1</v>
      </c>
      <c r="K12" s="12">
        <v>50</v>
      </c>
      <c r="L12" s="12">
        <v>49</v>
      </c>
      <c r="M12" s="12">
        <v>9</v>
      </c>
      <c r="N12" s="12">
        <v>16</v>
      </c>
      <c r="O12" s="12">
        <v>24</v>
      </c>
      <c r="P12" s="12">
        <v>14</v>
      </c>
      <c r="Q12" s="12">
        <v>12</v>
      </c>
      <c r="R12" s="12">
        <v>7</v>
      </c>
      <c r="S12" s="12">
        <v>57</v>
      </c>
      <c r="T12" s="12">
        <v>53</v>
      </c>
      <c r="U12" s="12">
        <v>12</v>
      </c>
      <c r="V12" s="12">
        <v>22</v>
      </c>
      <c r="W12" s="12">
        <v>11</v>
      </c>
      <c r="X12" s="12">
        <v>20</v>
      </c>
      <c r="Y12" s="12">
        <v>6</v>
      </c>
      <c r="Z12" s="12">
        <v>1</v>
      </c>
      <c r="AA12" s="12">
        <v>1</v>
      </c>
      <c r="AB12" s="12">
        <v>20</v>
      </c>
      <c r="AC12" s="12">
        <v>57</v>
      </c>
      <c r="AD12" s="12">
        <v>27</v>
      </c>
      <c r="AE12" s="12">
        <v>16</v>
      </c>
      <c r="AF12" s="12">
        <v>25</v>
      </c>
    </row>
    <row r="13" spans="1:32" x14ac:dyDescent="0.25">
      <c r="A13" s="19"/>
      <c r="B13" s="13" t="s">
        <v>415</v>
      </c>
      <c r="C13" s="14">
        <v>0.02</v>
      </c>
      <c r="D13" s="14">
        <v>0.03</v>
      </c>
      <c r="E13" s="14">
        <v>0.03</v>
      </c>
      <c r="F13" s="14">
        <v>0.02</v>
      </c>
      <c r="G13" s="14">
        <v>0.08</v>
      </c>
      <c r="H13" s="14">
        <v>0.01</v>
      </c>
      <c r="I13" s="14">
        <v>0.01</v>
      </c>
      <c r="J13" s="15" t="s">
        <v>213</v>
      </c>
      <c r="K13" s="14">
        <v>0.05</v>
      </c>
      <c r="L13" s="14">
        <v>0.05</v>
      </c>
      <c r="M13" s="14">
        <v>0.01</v>
      </c>
      <c r="N13" s="14">
        <v>0.02</v>
      </c>
      <c r="O13" s="14">
        <v>0.02</v>
      </c>
      <c r="P13" s="14">
        <v>0.01</v>
      </c>
      <c r="Q13" s="14">
        <v>0.01</v>
      </c>
      <c r="R13" s="14">
        <v>0.01</v>
      </c>
      <c r="S13" s="14">
        <v>0.06</v>
      </c>
      <c r="T13" s="14">
        <v>0.05</v>
      </c>
      <c r="U13" s="14">
        <v>0.02</v>
      </c>
      <c r="V13" s="14">
        <v>0.02</v>
      </c>
      <c r="W13" s="14">
        <v>0.02</v>
      </c>
      <c r="X13" s="14">
        <v>0.02</v>
      </c>
      <c r="Y13" s="14">
        <v>0.01</v>
      </c>
      <c r="Z13" s="15" t="s">
        <v>213</v>
      </c>
      <c r="AA13" s="15" t="s">
        <v>213</v>
      </c>
      <c r="AB13" s="14">
        <v>0.02</v>
      </c>
      <c r="AC13" s="14">
        <v>0.06</v>
      </c>
      <c r="AD13" s="14">
        <v>0.03</v>
      </c>
      <c r="AE13" s="14">
        <v>0.02</v>
      </c>
      <c r="AF13" s="14">
        <v>0.02</v>
      </c>
    </row>
    <row r="14" spans="1:32" x14ac:dyDescent="0.25">
      <c r="A14" s="19"/>
      <c r="B14" s="11" t="s">
        <v>416</v>
      </c>
      <c r="C14" s="12">
        <v>711</v>
      </c>
      <c r="D14" s="12">
        <v>19</v>
      </c>
      <c r="E14" s="12">
        <v>15</v>
      </c>
      <c r="F14" s="12">
        <v>17</v>
      </c>
      <c r="G14" s="12">
        <v>82</v>
      </c>
      <c r="H14" s="12">
        <v>90</v>
      </c>
      <c r="I14" s="12">
        <v>96</v>
      </c>
      <c r="J14" s="12">
        <v>6</v>
      </c>
      <c r="K14" s="12">
        <v>48</v>
      </c>
      <c r="L14" s="12">
        <v>20</v>
      </c>
      <c r="M14" s="12">
        <v>11</v>
      </c>
      <c r="N14" s="12">
        <v>19</v>
      </c>
      <c r="O14" s="12">
        <v>15</v>
      </c>
      <c r="P14" s="12">
        <v>17</v>
      </c>
      <c r="Q14" s="12">
        <v>11</v>
      </c>
      <c r="R14" s="12">
        <v>4</v>
      </c>
      <c r="S14" s="12">
        <v>30</v>
      </c>
      <c r="T14" s="12">
        <v>42</v>
      </c>
      <c r="U14" s="12">
        <v>11</v>
      </c>
      <c r="V14" s="12">
        <v>24</v>
      </c>
      <c r="W14" s="12">
        <v>7</v>
      </c>
      <c r="X14" s="12">
        <v>36</v>
      </c>
      <c r="Y14" s="12">
        <v>17</v>
      </c>
      <c r="Z14" s="12">
        <v>6</v>
      </c>
      <c r="AA14" s="12">
        <v>3</v>
      </c>
      <c r="AB14" s="12">
        <v>13</v>
      </c>
      <c r="AC14" s="12">
        <v>40</v>
      </c>
      <c r="AD14" s="12">
        <v>13</v>
      </c>
      <c r="AE14" s="12">
        <v>59</v>
      </c>
      <c r="AF14" s="12">
        <v>79</v>
      </c>
    </row>
    <row r="15" spans="1:32" x14ac:dyDescent="0.25">
      <c r="A15" s="19"/>
      <c r="B15" s="13" t="s">
        <v>416</v>
      </c>
      <c r="C15" s="14">
        <v>0.03</v>
      </c>
      <c r="D15" s="14">
        <v>0.02</v>
      </c>
      <c r="E15" s="14">
        <v>0.01</v>
      </c>
      <c r="F15" s="14">
        <v>0.02</v>
      </c>
      <c r="G15" s="14">
        <v>0.08</v>
      </c>
      <c r="H15" s="14">
        <v>7.0000000000000007E-2</v>
      </c>
      <c r="I15" s="14">
        <v>0.06</v>
      </c>
      <c r="J15" s="14">
        <v>0.02</v>
      </c>
      <c r="K15" s="14">
        <v>0.05</v>
      </c>
      <c r="L15" s="14">
        <v>0.02</v>
      </c>
      <c r="M15" s="14">
        <v>0.01</v>
      </c>
      <c r="N15" s="14">
        <v>0.02</v>
      </c>
      <c r="O15" s="14">
        <v>0.01</v>
      </c>
      <c r="P15" s="14">
        <v>0.02</v>
      </c>
      <c r="Q15" s="14">
        <v>0.01</v>
      </c>
      <c r="R15" s="14">
        <v>0.01</v>
      </c>
      <c r="S15" s="14">
        <v>0.03</v>
      </c>
      <c r="T15" s="14">
        <v>0.04</v>
      </c>
      <c r="U15" s="14">
        <v>0.02</v>
      </c>
      <c r="V15" s="14">
        <v>0.02</v>
      </c>
      <c r="W15" s="14">
        <v>0.02</v>
      </c>
      <c r="X15" s="14">
        <v>0.03</v>
      </c>
      <c r="Y15" s="14">
        <v>0.02</v>
      </c>
      <c r="Z15" s="14">
        <v>0.01</v>
      </c>
      <c r="AA15" s="15" t="s">
        <v>213</v>
      </c>
      <c r="AB15" s="14">
        <v>0.01</v>
      </c>
      <c r="AC15" s="14">
        <v>0.04</v>
      </c>
      <c r="AD15" s="14">
        <v>0.01</v>
      </c>
      <c r="AE15" s="14">
        <v>0.06</v>
      </c>
      <c r="AF15" s="14">
        <v>0.08</v>
      </c>
    </row>
    <row r="16" spans="1:32" x14ac:dyDescent="0.25">
      <c r="A16" s="19"/>
      <c r="B16" s="11" t="s">
        <v>417</v>
      </c>
      <c r="C16" s="12">
        <v>1016</v>
      </c>
      <c r="D16" s="12">
        <v>32</v>
      </c>
      <c r="E16" s="12">
        <v>60</v>
      </c>
      <c r="F16" s="12">
        <v>40</v>
      </c>
      <c r="G16" s="12">
        <v>111</v>
      </c>
      <c r="H16" s="12">
        <v>81</v>
      </c>
      <c r="I16" s="12">
        <v>85</v>
      </c>
      <c r="J16" s="12">
        <v>4</v>
      </c>
      <c r="K16" s="12">
        <v>93</v>
      </c>
      <c r="L16" s="12">
        <v>52</v>
      </c>
      <c r="M16" s="12">
        <v>26</v>
      </c>
      <c r="N16" s="12">
        <v>18</v>
      </c>
      <c r="O16" s="12">
        <v>27</v>
      </c>
      <c r="P16" s="12">
        <v>44</v>
      </c>
      <c r="Q16" s="12">
        <v>16</v>
      </c>
      <c r="R16" s="12">
        <v>5</v>
      </c>
      <c r="S16" s="12">
        <v>57</v>
      </c>
      <c r="T16" s="12">
        <v>59</v>
      </c>
      <c r="U16" s="12">
        <v>11</v>
      </c>
      <c r="V16" s="12">
        <v>62</v>
      </c>
      <c r="W16" s="12">
        <v>17</v>
      </c>
      <c r="X16" s="12">
        <v>88</v>
      </c>
      <c r="Y16" s="12">
        <v>44</v>
      </c>
      <c r="Z16" s="12">
        <v>16</v>
      </c>
      <c r="AA16" s="12">
        <v>31</v>
      </c>
      <c r="AB16" s="12">
        <v>28</v>
      </c>
      <c r="AC16" s="12">
        <v>76</v>
      </c>
      <c r="AD16" s="12">
        <v>81</v>
      </c>
      <c r="AE16" s="12">
        <v>73</v>
      </c>
      <c r="AF16" s="12">
        <v>115</v>
      </c>
    </row>
    <row r="17" spans="1:32" x14ac:dyDescent="0.25">
      <c r="A17" s="19"/>
      <c r="B17" s="13" t="s">
        <v>417</v>
      </c>
      <c r="C17" s="14">
        <v>0.04</v>
      </c>
      <c r="D17" s="14">
        <v>0.03</v>
      </c>
      <c r="E17" s="14">
        <v>0.06</v>
      </c>
      <c r="F17" s="14">
        <v>0.04</v>
      </c>
      <c r="G17" s="14">
        <v>0.11</v>
      </c>
      <c r="H17" s="14">
        <v>7.0000000000000007E-2</v>
      </c>
      <c r="I17" s="14">
        <v>0.06</v>
      </c>
      <c r="J17" s="14">
        <v>0.01</v>
      </c>
      <c r="K17" s="14">
        <v>0.09</v>
      </c>
      <c r="L17" s="14">
        <v>0.05</v>
      </c>
      <c r="M17" s="14">
        <v>0.03</v>
      </c>
      <c r="N17" s="14">
        <v>0.02</v>
      </c>
      <c r="O17" s="14">
        <v>0.03</v>
      </c>
      <c r="P17" s="14">
        <v>0.04</v>
      </c>
      <c r="Q17" s="14">
        <v>0.02</v>
      </c>
      <c r="R17" s="14">
        <v>0.01</v>
      </c>
      <c r="S17" s="14">
        <v>0.06</v>
      </c>
      <c r="T17" s="14">
        <v>0.06</v>
      </c>
      <c r="U17" s="14">
        <v>0.02</v>
      </c>
      <c r="V17" s="14">
        <v>0.06</v>
      </c>
      <c r="W17" s="14">
        <v>0.03</v>
      </c>
      <c r="X17" s="14">
        <v>0.09</v>
      </c>
      <c r="Y17" s="14">
        <v>0.04</v>
      </c>
      <c r="Z17" s="14">
        <v>0.02</v>
      </c>
      <c r="AA17" s="14">
        <v>0.03</v>
      </c>
      <c r="AB17" s="14">
        <v>0.03</v>
      </c>
      <c r="AC17" s="14">
        <v>7.0000000000000007E-2</v>
      </c>
      <c r="AD17" s="14">
        <v>0.08</v>
      </c>
      <c r="AE17" s="14">
        <v>7.0000000000000007E-2</v>
      </c>
      <c r="AF17" s="14">
        <v>0.11</v>
      </c>
    </row>
    <row r="18" spans="1:32" x14ac:dyDescent="0.25">
      <c r="A18" s="19"/>
      <c r="B18" s="11" t="s">
        <v>418</v>
      </c>
      <c r="C18" s="12">
        <v>1276</v>
      </c>
      <c r="D18" s="12">
        <v>42</v>
      </c>
      <c r="E18" s="12">
        <v>80</v>
      </c>
      <c r="F18" s="12">
        <v>96</v>
      </c>
      <c r="G18" s="12">
        <v>92</v>
      </c>
      <c r="H18" s="12">
        <v>85</v>
      </c>
      <c r="I18" s="12">
        <v>93</v>
      </c>
      <c r="J18" s="12">
        <v>8</v>
      </c>
      <c r="K18" s="12">
        <v>107</v>
      </c>
      <c r="L18" s="12">
        <v>53</v>
      </c>
      <c r="M18" s="12">
        <v>47</v>
      </c>
      <c r="N18" s="12">
        <v>30</v>
      </c>
      <c r="O18" s="12">
        <v>29</v>
      </c>
      <c r="P18" s="12">
        <v>38</v>
      </c>
      <c r="Q18" s="12">
        <v>23</v>
      </c>
      <c r="R18" s="12">
        <v>13</v>
      </c>
      <c r="S18" s="12">
        <v>70</v>
      </c>
      <c r="T18" s="12">
        <v>46</v>
      </c>
      <c r="U18" s="12">
        <v>33</v>
      </c>
      <c r="V18" s="12">
        <v>91</v>
      </c>
      <c r="W18" s="12">
        <v>18</v>
      </c>
      <c r="X18" s="12">
        <v>90</v>
      </c>
      <c r="Y18" s="12">
        <v>67</v>
      </c>
      <c r="Z18" s="12">
        <v>26</v>
      </c>
      <c r="AA18" s="12">
        <v>116</v>
      </c>
      <c r="AB18" s="12">
        <v>34</v>
      </c>
      <c r="AC18" s="12">
        <v>84</v>
      </c>
      <c r="AD18" s="12">
        <v>90</v>
      </c>
      <c r="AE18" s="12">
        <v>97</v>
      </c>
      <c r="AF18" s="12">
        <v>100</v>
      </c>
    </row>
    <row r="19" spans="1:32" x14ac:dyDescent="0.25">
      <c r="A19" s="19"/>
      <c r="B19" s="13" t="s">
        <v>418</v>
      </c>
      <c r="C19" s="14">
        <v>0.05</v>
      </c>
      <c r="D19" s="14">
        <v>0.04</v>
      </c>
      <c r="E19" s="14">
        <v>0.08</v>
      </c>
      <c r="F19" s="14">
        <v>0.09</v>
      </c>
      <c r="G19" s="14">
        <v>0.09</v>
      </c>
      <c r="H19" s="14">
        <v>7.0000000000000007E-2</v>
      </c>
      <c r="I19" s="14">
        <v>0.06</v>
      </c>
      <c r="J19" s="14">
        <v>0.03</v>
      </c>
      <c r="K19" s="14">
        <v>0.11</v>
      </c>
      <c r="L19" s="14">
        <v>0.05</v>
      </c>
      <c r="M19" s="14">
        <v>0.05</v>
      </c>
      <c r="N19" s="14">
        <v>0.03</v>
      </c>
      <c r="O19" s="14">
        <v>0.03</v>
      </c>
      <c r="P19" s="14">
        <v>0.04</v>
      </c>
      <c r="Q19" s="14">
        <v>0.02</v>
      </c>
      <c r="R19" s="14">
        <v>0.03</v>
      </c>
      <c r="S19" s="14">
        <v>7.0000000000000007E-2</v>
      </c>
      <c r="T19" s="14">
        <v>0.05</v>
      </c>
      <c r="U19" s="14">
        <v>0.06</v>
      </c>
      <c r="V19" s="14">
        <v>0.09</v>
      </c>
      <c r="W19" s="14">
        <v>0.04</v>
      </c>
      <c r="X19" s="14">
        <v>0.09</v>
      </c>
      <c r="Y19" s="14">
        <v>7.0000000000000007E-2</v>
      </c>
      <c r="Z19" s="14">
        <v>0.03</v>
      </c>
      <c r="AA19" s="14">
        <v>0.11</v>
      </c>
      <c r="AB19" s="14">
        <v>0.03</v>
      </c>
      <c r="AC19" s="14">
        <v>0.08</v>
      </c>
      <c r="AD19" s="14">
        <v>0.09</v>
      </c>
      <c r="AE19" s="14">
        <v>0.1</v>
      </c>
      <c r="AF19" s="14">
        <v>0.1</v>
      </c>
    </row>
    <row r="20" spans="1:32" x14ac:dyDescent="0.25">
      <c r="A20" s="19"/>
      <c r="B20" s="11" t="s">
        <v>419</v>
      </c>
      <c r="C20" s="12">
        <v>2426</v>
      </c>
      <c r="D20" s="12">
        <v>104</v>
      </c>
      <c r="E20" s="12">
        <v>124</v>
      </c>
      <c r="F20" s="12">
        <v>141</v>
      </c>
      <c r="G20" s="12">
        <v>158</v>
      </c>
      <c r="H20" s="12">
        <v>165</v>
      </c>
      <c r="I20" s="12">
        <v>190</v>
      </c>
      <c r="J20" s="12">
        <v>25</v>
      </c>
      <c r="K20" s="12">
        <v>163</v>
      </c>
      <c r="L20" s="12">
        <v>97</v>
      </c>
      <c r="M20" s="12">
        <v>90</v>
      </c>
      <c r="N20" s="12">
        <v>51</v>
      </c>
      <c r="O20" s="12">
        <v>94</v>
      </c>
      <c r="P20" s="12">
        <v>70</v>
      </c>
      <c r="Q20" s="12">
        <v>37</v>
      </c>
      <c r="R20" s="12">
        <v>43</v>
      </c>
      <c r="S20" s="12">
        <v>115</v>
      </c>
      <c r="T20" s="12">
        <v>144</v>
      </c>
      <c r="U20" s="12">
        <v>49</v>
      </c>
      <c r="V20" s="12">
        <v>123</v>
      </c>
      <c r="W20" s="12">
        <v>35</v>
      </c>
      <c r="X20" s="12">
        <v>138</v>
      </c>
      <c r="Y20" s="12">
        <v>102</v>
      </c>
      <c r="Z20" s="12">
        <v>70</v>
      </c>
      <c r="AA20" s="12">
        <v>76</v>
      </c>
      <c r="AB20" s="12">
        <v>102</v>
      </c>
      <c r="AC20" s="12">
        <v>137</v>
      </c>
      <c r="AD20" s="12">
        <v>173</v>
      </c>
      <c r="AE20" s="12">
        <v>104</v>
      </c>
      <c r="AF20" s="12">
        <v>131</v>
      </c>
    </row>
    <row r="21" spans="1:32" x14ac:dyDescent="0.25">
      <c r="A21" s="19"/>
      <c r="B21" s="13" t="s">
        <v>419</v>
      </c>
      <c r="C21" s="14">
        <v>0.09</v>
      </c>
      <c r="D21" s="14">
        <v>0.1</v>
      </c>
      <c r="E21" s="14">
        <v>0.12</v>
      </c>
      <c r="F21" s="14">
        <v>0.13</v>
      </c>
      <c r="G21" s="14">
        <v>0.16</v>
      </c>
      <c r="H21" s="14">
        <v>0.13</v>
      </c>
      <c r="I21" s="14">
        <v>0.13</v>
      </c>
      <c r="J21" s="14">
        <v>0.09</v>
      </c>
      <c r="K21" s="14">
        <v>0.16</v>
      </c>
      <c r="L21" s="14">
        <v>0.1</v>
      </c>
      <c r="M21" s="14">
        <v>0.09</v>
      </c>
      <c r="N21" s="14">
        <v>0.05</v>
      </c>
      <c r="O21" s="14">
        <v>0.09</v>
      </c>
      <c r="P21" s="14">
        <v>7.0000000000000007E-2</v>
      </c>
      <c r="Q21" s="14">
        <v>0.04</v>
      </c>
      <c r="R21" s="14">
        <v>0.09</v>
      </c>
      <c r="S21" s="14">
        <v>0.11</v>
      </c>
      <c r="T21" s="14">
        <v>0.14000000000000001</v>
      </c>
      <c r="U21" s="14">
        <v>0.1</v>
      </c>
      <c r="V21" s="14">
        <v>0.12</v>
      </c>
      <c r="W21" s="14">
        <v>7.0000000000000007E-2</v>
      </c>
      <c r="X21" s="14">
        <v>0.14000000000000001</v>
      </c>
      <c r="Y21" s="14">
        <v>0.1</v>
      </c>
      <c r="Z21" s="14">
        <v>7.0000000000000007E-2</v>
      </c>
      <c r="AA21" s="14">
        <v>7.0000000000000007E-2</v>
      </c>
      <c r="AB21" s="14">
        <v>0.1</v>
      </c>
      <c r="AC21" s="14">
        <v>0.14000000000000001</v>
      </c>
      <c r="AD21" s="14">
        <v>0.17</v>
      </c>
      <c r="AE21" s="14">
        <v>0.1</v>
      </c>
      <c r="AF21" s="14">
        <v>0.13</v>
      </c>
    </row>
    <row r="22" spans="1:32" x14ac:dyDescent="0.25">
      <c r="A22" s="19"/>
      <c r="B22" s="11" t="s">
        <v>420</v>
      </c>
      <c r="C22" s="12">
        <v>2592</v>
      </c>
      <c r="D22" s="12">
        <v>132</v>
      </c>
      <c r="E22" s="12">
        <v>140</v>
      </c>
      <c r="F22" s="12">
        <v>88</v>
      </c>
      <c r="G22" s="12">
        <v>135</v>
      </c>
      <c r="H22" s="12">
        <v>167</v>
      </c>
      <c r="I22" s="12">
        <v>202</v>
      </c>
      <c r="J22" s="12">
        <v>36</v>
      </c>
      <c r="K22" s="12">
        <v>114</v>
      </c>
      <c r="L22" s="12">
        <v>97</v>
      </c>
      <c r="M22" s="12">
        <v>86</v>
      </c>
      <c r="N22" s="12">
        <v>62</v>
      </c>
      <c r="O22" s="12">
        <v>67</v>
      </c>
      <c r="P22" s="12">
        <v>115</v>
      </c>
      <c r="Q22" s="12">
        <v>68</v>
      </c>
      <c r="R22" s="12">
        <v>43</v>
      </c>
      <c r="S22" s="12">
        <v>85</v>
      </c>
      <c r="T22" s="12">
        <v>136</v>
      </c>
      <c r="U22" s="12">
        <v>57</v>
      </c>
      <c r="V22" s="12">
        <v>98</v>
      </c>
      <c r="W22" s="12">
        <v>35</v>
      </c>
      <c r="X22" s="12">
        <v>171</v>
      </c>
      <c r="Y22" s="12">
        <v>133</v>
      </c>
      <c r="Z22" s="12">
        <v>94</v>
      </c>
      <c r="AA22" s="12">
        <v>38</v>
      </c>
      <c r="AB22" s="12">
        <v>148</v>
      </c>
      <c r="AC22" s="12">
        <v>107</v>
      </c>
      <c r="AD22" s="12">
        <v>131</v>
      </c>
      <c r="AE22" s="12">
        <v>121</v>
      </c>
      <c r="AF22" s="12">
        <v>147</v>
      </c>
    </row>
    <row r="23" spans="1:32" x14ac:dyDescent="0.25">
      <c r="A23" s="19"/>
      <c r="B23" s="13" t="s">
        <v>420</v>
      </c>
      <c r="C23" s="14">
        <v>0.1</v>
      </c>
      <c r="D23" s="14">
        <v>0.13</v>
      </c>
      <c r="E23" s="14">
        <v>0.13</v>
      </c>
      <c r="F23" s="14">
        <v>0.08</v>
      </c>
      <c r="G23" s="14">
        <v>0.13</v>
      </c>
      <c r="H23" s="14">
        <v>0.14000000000000001</v>
      </c>
      <c r="I23" s="14">
        <v>0.13</v>
      </c>
      <c r="J23" s="14">
        <v>0.12</v>
      </c>
      <c r="K23" s="14">
        <v>0.11</v>
      </c>
      <c r="L23" s="14">
        <v>0.1</v>
      </c>
      <c r="M23" s="14">
        <v>0.08</v>
      </c>
      <c r="N23" s="14">
        <v>0.06</v>
      </c>
      <c r="O23" s="14">
        <v>7.0000000000000007E-2</v>
      </c>
      <c r="P23" s="14">
        <v>0.11</v>
      </c>
      <c r="Q23" s="14">
        <v>7.0000000000000007E-2</v>
      </c>
      <c r="R23" s="14">
        <v>0.08</v>
      </c>
      <c r="S23" s="14">
        <v>0.08</v>
      </c>
      <c r="T23" s="14">
        <v>0.13</v>
      </c>
      <c r="U23" s="14">
        <v>0.11</v>
      </c>
      <c r="V23" s="14">
        <v>0.1</v>
      </c>
      <c r="W23" s="14">
        <v>7.0000000000000007E-2</v>
      </c>
      <c r="X23" s="14">
        <v>0.17</v>
      </c>
      <c r="Y23" s="14">
        <v>0.13</v>
      </c>
      <c r="Z23" s="14">
        <v>0.09</v>
      </c>
      <c r="AA23" s="14">
        <v>0.04</v>
      </c>
      <c r="AB23" s="14">
        <v>0.14000000000000001</v>
      </c>
      <c r="AC23" s="14">
        <v>0.11</v>
      </c>
      <c r="AD23" s="14">
        <v>0.13</v>
      </c>
      <c r="AE23" s="14">
        <v>0.12</v>
      </c>
      <c r="AF23" s="14">
        <v>0.14000000000000001</v>
      </c>
    </row>
    <row r="24" spans="1:32" x14ac:dyDescent="0.25">
      <c r="A24" s="19"/>
      <c r="B24" s="11" t="s">
        <v>421</v>
      </c>
      <c r="C24" s="12">
        <v>4149</v>
      </c>
      <c r="D24" s="12">
        <v>178</v>
      </c>
      <c r="E24" s="12">
        <v>155</v>
      </c>
      <c r="F24" s="12">
        <v>126</v>
      </c>
      <c r="G24" s="12">
        <v>123</v>
      </c>
      <c r="H24" s="12">
        <v>179</v>
      </c>
      <c r="I24" s="12">
        <v>240</v>
      </c>
      <c r="J24" s="12">
        <v>61</v>
      </c>
      <c r="K24" s="12">
        <v>116</v>
      </c>
      <c r="L24" s="12">
        <v>151</v>
      </c>
      <c r="M24" s="12">
        <v>189</v>
      </c>
      <c r="N24" s="12">
        <v>129</v>
      </c>
      <c r="O24" s="12">
        <v>160</v>
      </c>
      <c r="P24" s="12">
        <v>150</v>
      </c>
      <c r="Q24" s="12">
        <v>146</v>
      </c>
      <c r="R24" s="12">
        <v>97</v>
      </c>
      <c r="S24" s="12">
        <v>114</v>
      </c>
      <c r="T24" s="12">
        <v>136</v>
      </c>
      <c r="U24" s="12">
        <v>100</v>
      </c>
      <c r="V24" s="12">
        <v>157</v>
      </c>
      <c r="W24" s="12">
        <v>51</v>
      </c>
      <c r="X24" s="12">
        <v>221</v>
      </c>
      <c r="Y24" s="12">
        <v>175</v>
      </c>
      <c r="Z24" s="12">
        <v>188</v>
      </c>
      <c r="AA24" s="12">
        <v>91</v>
      </c>
      <c r="AB24" s="12">
        <v>214</v>
      </c>
      <c r="AC24" s="12">
        <v>113</v>
      </c>
      <c r="AD24" s="12">
        <v>153</v>
      </c>
      <c r="AE24" s="12">
        <v>194</v>
      </c>
      <c r="AF24" s="12">
        <v>169</v>
      </c>
    </row>
    <row r="25" spans="1:32" x14ac:dyDescent="0.25">
      <c r="A25" s="19"/>
      <c r="B25" s="13" t="s">
        <v>421</v>
      </c>
      <c r="C25" s="14">
        <v>0.15</v>
      </c>
      <c r="D25" s="14">
        <v>0.17</v>
      </c>
      <c r="E25" s="14">
        <v>0.15</v>
      </c>
      <c r="F25" s="14">
        <v>0.12</v>
      </c>
      <c r="G25" s="14">
        <v>0.12</v>
      </c>
      <c r="H25" s="14">
        <v>0.15</v>
      </c>
      <c r="I25" s="14">
        <v>0.16</v>
      </c>
      <c r="J25" s="14">
        <v>0.2</v>
      </c>
      <c r="K25" s="14">
        <v>0.12</v>
      </c>
      <c r="L25" s="14">
        <v>0.15</v>
      </c>
      <c r="M25" s="14">
        <v>0.19</v>
      </c>
      <c r="N25" s="14">
        <v>0.13</v>
      </c>
      <c r="O25" s="14">
        <v>0.16</v>
      </c>
      <c r="P25" s="14">
        <v>0.15</v>
      </c>
      <c r="Q25" s="14">
        <v>0.14000000000000001</v>
      </c>
      <c r="R25" s="14">
        <v>0.19</v>
      </c>
      <c r="S25" s="14">
        <v>0.11</v>
      </c>
      <c r="T25" s="14">
        <v>0.13</v>
      </c>
      <c r="U25" s="14">
        <v>0.2</v>
      </c>
      <c r="V25" s="14">
        <v>0.15</v>
      </c>
      <c r="W25" s="14">
        <v>0.1</v>
      </c>
      <c r="X25" s="14">
        <v>0.22</v>
      </c>
      <c r="Y25" s="14">
        <v>0.18</v>
      </c>
      <c r="Z25" s="14">
        <v>0.18</v>
      </c>
      <c r="AA25" s="14">
        <v>0.09</v>
      </c>
      <c r="AB25" s="14">
        <v>0.2</v>
      </c>
      <c r="AC25" s="14">
        <v>0.11</v>
      </c>
      <c r="AD25" s="14">
        <v>0.15</v>
      </c>
      <c r="AE25" s="14">
        <v>0.19</v>
      </c>
      <c r="AF25" s="14">
        <v>0.16</v>
      </c>
    </row>
    <row r="26" spans="1:32" x14ac:dyDescent="0.25">
      <c r="A26" s="19"/>
      <c r="B26" s="11" t="s">
        <v>422</v>
      </c>
      <c r="C26" s="12">
        <v>5034</v>
      </c>
      <c r="D26" s="12">
        <v>205</v>
      </c>
      <c r="E26" s="12">
        <v>139</v>
      </c>
      <c r="F26" s="12">
        <v>170</v>
      </c>
      <c r="G26" s="12">
        <v>101</v>
      </c>
      <c r="H26" s="12">
        <v>169</v>
      </c>
      <c r="I26" s="12">
        <v>221</v>
      </c>
      <c r="J26" s="12">
        <v>52</v>
      </c>
      <c r="K26" s="12">
        <v>105</v>
      </c>
      <c r="L26" s="12">
        <v>175</v>
      </c>
      <c r="M26" s="12">
        <v>279</v>
      </c>
      <c r="N26" s="12">
        <v>207</v>
      </c>
      <c r="O26" s="12">
        <v>214</v>
      </c>
      <c r="P26" s="12">
        <v>204</v>
      </c>
      <c r="Q26" s="12">
        <v>241</v>
      </c>
      <c r="R26" s="12">
        <v>99</v>
      </c>
      <c r="S26" s="12">
        <v>126</v>
      </c>
      <c r="T26" s="12">
        <v>147</v>
      </c>
      <c r="U26" s="12">
        <v>70</v>
      </c>
      <c r="V26" s="12">
        <v>175</v>
      </c>
      <c r="W26" s="12">
        <v>77</v>
      </c>
      <c r="X26" s="12">
        <v>152</v>
      </c>
      <c r="Y26" s="12">
        <v>151</v>
      </c>
      <c r="Z26" s="12">
        <v>252</v>
      </c>
      <c r="AA26" s="12">
        <v>163</v>
      </c>
      <c r="AB26" s="12">
        <v>206</v>
      </c>
      <c r="AC26" s="12">
        <v>139</v>
      </c>
      <c r="AD26" s="12">
        <v>156</v>
      </c>
      <c r="AE26" s="12">
        <v>163</v>
      </c>
      <c r="AF26" s="12">
        <v>138</v>
      </c>
    </row>
    <row r="27" spans="1:32" x14ac:dyDescent="0.25">
      <c r="A27" s="19"/>
      <c r="B27" s="13" t="s">
        <v>422</v>
      </c>
      <c r="C27" s="14">
        <v>0.19</v>
      </c>
      <c r="D27" s="14">
        <v>0.2</v>
      </c>
      <c r="E27" s="14">
        <v>0.13</v>
      </c>
      <c r="F27" s="14">
        <v>0.16</v>
      </c>
      <c r="G27" s="14">
        <v>0.1</v>
      </c>
      <c r="H27" s="14">
        <v>0.14000000000000001</v>
      </c>
      <c r="I27" s="14">
        <v>0.14000000000000001</v>
      </c>
      <c r="J27" s="14">
        <v>0.18</v>
      </c>
      <c r="K27" s="14">
        <v>0.1</v>
      </c>
      <c r="L27" s="14">
        <v>0.17</v>
      </c>
      <c r="M27" s="14">
        <v>0.28000000000000003</v>
      </c>
      <c r="N27" s="14">
        <v>0.2</v>
      </c>
      <c r="O27" s="14">
        <v>0.21</v>
      </c>
      <c r="P27" s="14">
        <v>0.2</v>
      </c>
      <c r="Q27" s="14">
        <v>0.23</v>
      </c>
      <c r="R27" s="14">
        <v>0.2</v>
      </c>
      <c r="S27" s="14">
        <v>0.13</v>
      </c>
      <c r="T27" s="14">
        <v>0.14000000000000001</v>
      </c>
      <c r="U27" s="14">
        <v>0.14000000000000001</v>
      </c>
      <c r="V27" s="14">
        <v>0.17</v>
      </c>
      <c r="W27" s="14">
        <v>0.15</v>
      </c>
      <c r="X27" s="14">
        <v>0.15</v>
      </c>
      <c r="Y27" s="14">
        <v>0.15</v>
      </c>
      <c r="Z27" s="14">
        <v>0.25</v>
      </c>
      <c r="AA27" s="14">
        <v>0.16</v>
      </c>
      <c r="AB27" s="14">
        <v>0.2</v>
      </c>
      <c r="AC27" s="14">
        <v>0.14000000000000001</v>
      </c>
      <c r="AD27" s="14">
        <v>0.16</v>
      </c>
      <c r="AE27" s="14">
        <v>0.16</v>
      </c>
      <c r="AF27" s="14">
        <v>0.13</v>
      </c>
    </row>
    <row r="28" spans="1:32" x14ac:dyDescent="0.25">
      <c r="A28" s="19"/>
      <c r="B28" s="11" t="s">
        <v>423</v>
      </c>
      <c r="C28" s="12">
        <v>3436</v>
      </c>
      <c r="D28" s="12">
        <v>113</v>
      </c>
      <c r="E28" s="12">
        <v>93</v>
      </c>
      <c r="F28" s="12">
        <v>134</v>
      </c>
      <c r="G28" s="12">
        <v>56</v>
      </c>
      <c r="H28" s="12">
        <v>105</v>
      </c>
      <c r="I28" s="12">
        <v>138</v>
      </c>
      <c r="J28" s="12">
        <v>33</v>
      </c>
      <c r="K28" s="12">
        <v>68</v>
      </c>
      <c r="L28" s="12">
        <v>81</v>
      </c>
      <c r="M28" s="12">
        <v>152</v>
      </c>
      <c r="N28" s="12">
        <v>163</v>
      </c>
      <c r="O28" s="12">
        <v>127</v>
      </c>
      <c r="P28" s="12">
        <v>118</v>
      </c>
      <c r="Q28" s="12">
        <v>210</v>
      </c>
      <c r="R28" s="12">
        <v>66</v>
      </c>
      <c r="S28" s="12">
        <v>116</v>
      </c>
      <c r="T28" s="12">
        <v>92</v>
      </c>
      <c r="U28" s="12">
        <v>40</v>
      </c>
      <c r="V28" s="12">
        <v>132</v>
      </c>
      <c r="W28" s="12">
        <v>110</v>
      </c>
      <c r="X28" s="12">
        <v>53</v>
      </c>
      <c r="Y28" s="12">
        <v>94</v>
      </c>
      <c r="Z28" s="12">
        <v>166</v>
      </c>
      <c r="AA28" s="12">
        <v>185</v>
      </c>
      <c r="AB28" s="12">
        <v>139</v>
      </c>
      <c r="AC28" s="12">
        <v>58</v>
      </c>
      <c r="AD28" s="12">
        <v>105</v>
      </c>
      <c r="AE28" s="12">
        <v>86</v>
      </c>
      <c r="AF28" s="12">
        <v>51</v>
      </c>
    </row>
    <row r="29" spans="1:32" x14ac:dyDescent="0.25">
      <c r="A29" s="19"/>
      <c r="B29" s="13" t="s">
        <v>423</v>
      </c>
      <c r="C29" s="14">
        <v>0.13</v>
      </c>
      <c r="D29" s="14">
        <v>0.11</v>
      </c>
      <c r="E29" s="14">
        <v>0.09</v>
      </c>
      <c r="F29" s="14">
        <v>0.13</v>
      </c>
      <c r="G29" s="14">
        <v>0.06</v>
      </c>
      <c r="H29" s="14">
        <v>0.08</v>
      </c>
      <c r="I29" s="14">
        <v>0.09</v>
      </c>
      <c r="J29" s="14">
        <v>0.11</v>
      </c>
      <c r="K29" s="14">
        <v>7.0000000000000007E-2</v>
      </c>
      <c r="L29" s="14">
        <v>0.08</v>
      </c>
      <c r="M29" s="14">
        <v>0.15</v>
      </c>
      <c r="N29" s="14">
        <v>0.16</v>
      </c>
      <c r="O29" s="14">
        <v>0.13</v>
      </c>
      <c r="P29" s="14">
        <v>0.12</v>
      </c>
      <c r="Q29" s="14">
        <v>0.2</v>
      </c>
      <c r="R29" s="14">
        <v>0.13</v>
      </c>
      <c r="S29" s="14">
        <v>0.12</v>
      </c>
      <c r="T29" s="14">
        <v>0.09</v>
      </c>
      <c r="U29" s="14">
        <v>0.08</v>
      </c>
      <c r="V29" s="14">
        <v>0.13</v>
      </c>
      <c r="W29" s="14">
        <v>0.22</v>
      </c>
      <c r="X29" s="14">
        <v>0.05</v>
      </c>
      <c r="Y29" s="14">
        <v>0.09</v>
      </c>
      <c r="Z29" s="14">
        <v>0.16</v>
      </c>
      <c r="AA29" s="14">
        <v>0.18</v>
      </c>
      <c r="AB29" s="14">
        <v>0.13</v>
      </c>
      <c r="AC29" s="14">
        <v>0.06</v>
      </c>
      <c r="AD29" s="14">
        <v>0.11</v>
      </c>
      <c r="AE29" s="14">
        <v>0.09</v>
      </c>
      <c r="AF29" s="14">
        <v>0.05</v>
      </c>
    </row>
    <row r="30" spans="1:32" ht="23.25" x14ac:dyDescent="0.25">
      <c r="A30" s="19"/>
      <c r="B30" s="11" t="s">
        <v>424</v>
      </c>
      <c r="C30" s="12">
        <v>5269</v>
      </c>
      <c r="D30" s="12">
        <v>169</v>
      </c>
      <c r="E30" s="12">
        <v>207</v>
      </c>
      <c r="F30" s="12">
        <v>225</v>
      </c>
      <c r="G30" s="12">
        <v>64</v>
      </c>
      <c r="H30" s="12">
        <v>171</v>
      </c>
      <c r="I30" s="12">
        <v>242</v>
      </c>
      <c r="J30" s="12">
        <v>71</v>
      </c>
      <c r="K30" s="12">
        <v>135</v>
      </c>
      <c r="L30" s="12">
        <v>227</v>
      </c>
      <c r="M30" s="12">
        <v>113</v>
      </c>
      <c r="N30" s="12">
        <v>315</v>
      </c>
      <c r="O30" s="12">
        <v>239</v>
      </c>
      <c r="P30" s="12">
        <v>227</v>
      </c>
      <c r="Q30" s="12">
        <v>268</v>
      </c>
      <c r="R30" s="12">
        <v>123</v>
      </c>
      <c r="S30" s="12">
        <v>225</v>
      </c>
      <c r="T30" s="12">
        <v>160</v>
      </c>
      <c r="U30" s="12">
        <v>125</v>
      </c>
      <c r="V30" s="12">
        <v>141</v>
      </c>
      <c r="W30" s="12">
        <v>141</v>
      </c>
      <c r="X30" s="12">
        <v>40</v>
      </c>
      <c r="Y30" s="12">
        <v>210</v>
      </c>
      <c r="Z30" s="12">
        <v>194</v>
      </c>
      <c r="AA30" s="12">
        <v>326</v>
      </c>
      <c r="AB30" s="12">
        <v>121</v>
      </c>
      <c r="AC30" s="12">
        <v>193</v>
      </c>
      <c r="AD30" s="12">
        <v>72</v>
      </c>
      <c r="AE30" s="12">
        <v>81</v>
      </c>
      <c r="AF30" s="12">
        <v>78</v>
      </c>
    </row>
    <row r="31" spans="1:32" x14ac:dyDescent="0.25">
      <c r="A31" s="19"/>
      <c r="B31" s="13" t="s">
        <v>425</v>
      </c>
      <c r="C31" s="14">
        <v>0.2</v>
      </c>
      <c r="D31" s="14">
        <v>0.17</v>
      </c>
      <c r="E31" s="14">
        <v>0.2</v>
      </c>
      <c r="F31" s="14">
        <v>0.21</v>
      </c>
      <c r="G31" s="14">
        <v>0.06</v>
      </c>
      <c r="H31" s="14">
        <v>0.14000000000000001</v>
      </c>
      <c r="I31" s="14">
        <v>0.16</v>
      </c>
      <c r="J31" s="14">
        <v>0.24</v>
      </c>
      <c r="K31" s="14">
        <v>0.13</v>
      </c>
      <c r="L31" s="14">
        <v>0.23</v>
      </c>
      <c r="M31" s="14">
        <v>0.11</v>
      </c>
      <c r="N31" s="14">
        <v>0.31</v>
      </c>
      <c r="O31" s="14">
        <v>0.24</v>
      </c>
      <c r="P31" s="14">
        <v>0.23</v>
      </c>
      <c r="Q31" s="14">
        <v>0.26</v>
      </c>
      <c r="R31" s="14">
        <v>0.25</v>
      </c>
      <c r="S31" s="14">
        <v>0.22</v>
      </c>
      <c r="T31" s="14">
        <v>0.16</v>
      </c>
      <c r="U31" s="14">
        <v>0.25</v>
      </c>
      <c r="V31" s="14">
        <v>0.14000000000000001</v>
      </c>
      <c r="W31" s="14">
        <v>0.28000000000000003</v>
      </c>
      <c r="X31" s="14">
        <v>0.04</v>
      </c>
      <c r="Y31" s="14">
        <v>0.21</v>
      </c>
      <c r="Z31" s="14">
        <v>0.19</v>
      </c>
      <c r="AA31" s="14">
        <v>0.31</v>
      </c>
      <c r="AB31" s="14">
        <v>0.12</v>
      </c>
      <c r="AC31" s="14">
        <v>0.19</v>
      </c>
      <c r="AD31" s="14">
        <v>7.0000000000000007E-2</v>
      </c>
      <c r="AE31" s="14">
        <v>0.08</v>
      </c>
      <c r="AF31" s="14">
        <v>0.08</v>
      </c>
    </row>
    <row r="32" spans="1:32" x14ac:dyDescent="0.25">
      <c r="A32" s="19"/>
      <c r="B32" s="11" t="s">
        <v>224</v>
      </c>
      <c r="C32" s="12">
        <v>97</v>
      </c>
      <c r="D32" s="12">
        <v>3</v>
      </c>
      <c r="E32" s="12">
        <v>5</v>
      </c>
      <c r="F32" s="12">
        <v>3</v>
      </c>
      <c r="G32" s="12">
        <v>12</v>
      </c>
      <c r="H32" s="12">
        <v>3</v>
      </c>
      <c r="I32" s="12">
        <v>3</v>
      </c>
      <c r="J32" s="12">
        <v>0</v>
      </c>
      <c r="K32" s="12">
        <v>5</v>
      </c>
      <c r="L32" s="12">
        <v>4</v>
      </c>
      <c r="M32" s="12">
        <v>5</v>
      </c>
      <c r="N32" s="12">
        <v>2</v>
      </c>
      <c r="O32" s="12">
        <v>7</v>
      </c>
      <c r="P32" s="12">
        <v>7</v>
      </c>
      <c r="Q32" s="12">
        <v>1</v>
      </c>
      <c r="R32" s="12">
        <v>1</v>
      </c>
      <c r="S32" s="12">
        <v>9</v>
      </c>
      <c r="T32" s="12">
        <v>7</v>
      </c>
      <c r="U32" s="12">
        <v>2</v>
      </c>
      <c r="V32" s="12">
        <v>2</v>
      </c>
      <c r="W32" s="12">
        <v>1</v>
      </c>
      <c r="X32" s="12">
        <v>1</v>
      </c>
      <c r="Y32" s="12">
        <v>3</v>
      </c>
      <c r="Z32" s="12">
        <v>2</v>
      </c>
      <c r="AA32" s="12">
        <v>7</v>
      </c>
      <c r="AB32" s="12">
        <v>16</v>
      </c>
      <c r="AC32" s="12">
        <v>1</v>
      </c>
      <c r="AD32" s="12">
        <v>2</v>
      </c>
      <c r="AE32" s="12">
        <v>8</v>
      </c>
      <c r="AF32" s="12">
        <v>0</v>
      </c>
    </row>
    <row r="33" spans="1:32" x14ac:dyDescent="0.25">
      <c r="A33" s="19"/>
      <c r="B33" s="13" t="s">
        <v>237</v>
      </c>
      <c r="C33" s="15" t="s">
        <v>213</v>
      </c>
      <c r="D33" s="15" t="s">
        <v>213</v>
      </c>
      <c r="E33" s="15" t="s">
        <v>213</v>
      </c>
      <c r="F33" s="15" t="s">
        <v>213</v>
      </c>
      <c r="G33" s="14">
        <v>0.01</v>
      </c>
      <c r="H33" s="15" t="s">
        <v>213</v>
      </c>
      <c r="I33" s="15" t="s">
        <v>213</v>
      </c>
      <c r="J33" s="15" t="s">
        <v>213</v>
      </c>
      <c r="K33" s="14">
        <v>0.01</v>
      </c>
      <c r="L33" s="15" t="s">
        <v>213</v>
      </c>
      <c r="M33" s="15" t="s">
        <v>213</v>
      </c>
      <c r="N33" s="15" t="s">
        <v>213</v>
      </c>
      <c r="O33" s="14">
        <v>0.01</v>
      </c>
      <c r="P33" s="14">
        <v>0.01</v>
      </c>
      <c r="Q33" s="15" t="s">
        <v>213</v>
      </c>
      <c r="R33" s="15" t="s">
        <v>213</v>
      </c>
      <c r="S33" s="14">
        <v>0.01</v>
      </c>
      <c r="T33" s="14">
        <v>0.01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5" t="s">
        <v>213</v>
      </c>
      <c r="Z33" s="15" t="s">
        <v>213</v>
      </c>
      <c r="AA33" s="14">
        <v>0.01</v>
      </c>
      <c r="AB33" s="14">
        <v>0.02</v>
      </c>
      <c r="AC33" s="15" t="s">
        <v>213</v>
      </c>
      <c r="AD33" s="15" t="s">
        <v>213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3449</v>
      </c>
      <c r="D34" s="12">
        <v>119</v>
      </c>
      <c r="E34" s="12">
        <v>183</v>
      </c>
      <c r="F34" s="12">
        <v>177</v>
      </c>
      <c r="G34" s="12">
        <v>367</v>
      </c>
      <c r="H34" s="12">
        <v>271</v>
      </c>
      <c r="I34" s="12">
        <v>291</v>
      </c>
      <c r="J34" s="12">
        <v>19</v>
      </c>
      <c r="K34" s="12">
        <v>298</v>
      </c>
      <c r="L34" s="12">
        <v>174</v>
      </c>
      <c r="M34" s="12">
        <v>93</v>
      </c>
      <c r="N34" s="12">
        <v>83</v>
      </c>
      <c r="O34" s="12">
        <v>95</v>
      </c>
      <c r="P34" s="12">
        <v>113</v>
      </c>
      <c r="Q34" s="12">
        <v>62</v>
      </c>
      <c r="R34" s="12">
        <v>29</v>
      </c>
      <c r="S34" s="12">
        <v>214</v>
      </c>
      <c r="T34" s="12">
        <v>200</v>
      </c>
      <c r="U34" s="12">
        <v>67</v>
      </c>
      <c r="V34" s="12">
        <v>199</v>
      </c>
      <c r="W34" s="12">
        <v>53</v>
      </c>
      <c r="X34" s="12">
        <v>234</v>
      </c>
      <c r="Y34" s="12">
        <v>134</v>
      </c>
      <c r="Z34" s="12">
        <v>49</v>
      </c>
      <c r="AA34" s="12">
        <v>151</v>
      </c>
      <c r="AB34" s="12">
        <v>95</v>
      </c>
      <c r="AC34" s="12">
        <v>257</v>
      </c>
      <c r="AD34" s="12">
        <v>211</v>
      </c>
      <c r="AE34" s="12">
        <v>245</v>
      </c>
      <c r="AF34" s="12">
        <v>319</v>
      </c>
    </row>
    <row r="35" spans="1:32" ht="23.25" x14ac:dyDescent="0.25">
      <c r="A35" s="19"/>
      <c r="B35" s="13" t="s">
        <v>427</v>
      </c>
      <c r="C35" s="14">
        <v>0.14000000000000001</v>
      </c>
      <c r="D35" s="14">
        <v>0.12</v>
      </c>
      <c r="E35" s="14">
        <v>0.18</v>
      </c>
      <c r="F35" s="14">
        <v>0.17</v>
      </c>
      <c r="G35" s="14">
        <v>0.36</v>
      </c>
      <c r="H35" s="14">
        <v>0.22</v>
      </c>
      <c r="I35" s="14">
        <v>0.19</v>
      </c>
      <c r="J35" s="14">
        <v>0.06</v>
      </c>
      <c r="K35" s="14">
        <v>0.3</v>
      </c>
      <c r="L35" s="14">
        <v>0.17</v>
      </c>
      <c r="M35" s="14">
        <v>0.1</v>
      </c>
      <c r="N35" s="14">
        <v>0.09</v>
      </c>
      <c r="O35" s="14">
        <v>0.09</v>
      </c>
      <c r="P35" s="14">
        <v>0.11</v>
      </c>
      <c r="Q35" s="14">
        <v>0.06</v>
      </c>
      <c r="R35" s="14">
        <v>0.06</v>
      </c>
      <c r="S35" s="14">
        <v>0.22</v>
      </c>
      <c r="T35" s="14">
        <v>0.2</v>
      </c>
      <c r="U35" s="14">
        <v>0.12</v>
      </c>
      <c r="V35" s="14">
        <v>0.19</v>
      </c>
      <c r="W35" s="14">
        <v>0.11</v>
      </c>
      <c r="X35" s="14">
        <v>0.23</v>
      </c>
      <c r="Y35" s="14">
        <v>0.14000000000000001</v>
      </c>
      <c r="Z35" s="14">
        <v>0.06</v>
      </c>
      <c r="AA35" s="14">
        <v>0.14000000000000001</v>
      </c>
      <c r="AB35" s="14">
        <v>0.09</v>
      </c>
      <c r="AC35" s="14">
        <v>0.25</v>
      </c>
      <c r="AD35" s="14">
        <v>0.21</v>
      </c>
      <c r="AE35" s="14">
        <v>0.25</v>
      </c>
      <c r="AF35" s="14">
        <v>0.31</v>
      </c>
    </row>
    <row r="36" spans="1:32" ht="23.25" x14ac:dyDescent="0.25">
      <c r="A36" s="19"/>
      <c r="B36" s="11" t="s">
        <v>428</v>
      </c>
      <c r="C36" s="12">
        <v>5018</v>
      </c>
      <c r="D36" s="12">
        <v>236</v>
      </c>
      <c r="E36" s="12">
        <v>264</v>
      </c>
      <c r="F36" s="12">
        <v>229</v>
      </c>
      <c r="G36" s="12">
        <v>293</v>
      </c>
      <c r="H36" s="12">
        <v>332</v>
      </c>
      <c r="I36" s="12">
        <v>392</v>
      </c>
      <c r="J36" s="12">
        <v>61</v>
      </c>
      <c r="K36" s="12">
        <v>277</v>
      </c>
      <c r="L36" s="12">
        <v>194</v>
      </c>
      <c r="M36" s="12">
        <v>176</v>
      </c>
      <c r="N36" s="12">
        <v>113</v>
      </c>
      <c r="O36" s="12">
        <v>161</v>
      </c>
      <c r="P36" s="12">
        <v>185</v>
      </c>
      <c r="Q36" s="12">
        <v>105</v>
      </c>
      <c r="R36" s="12">
        <v>86</v>
      </c>
      <c r="S36" s="12">
        <v>200</v>
      </c>
      <c r="T36" s="12">
        <v>280</v>
      </c>
      <c r="U36" s="12">
        <v>106</v>
      </c>
      <c r="V36" s="12">
        <v>221</v>
      </c>
      <c r="W36" s="12">
        <v>70</v>
      </c>
      <c r="X36" s="12">
        <v>309</v>
      </c>
      <c r="Y36" s="12">
        <v>235</v>
      </c>
      <c r="Z36" s="12">
        <v>164</v>
      </c>
      <c r="AA36" s="12">
        <v>114</v>
      </c>
      <c r="AB36" s="12">
        <v>250</v>
      </c>
      <c r="AC36" s="12">
        <v>244</v>
      </c>
      <c r="AD36" s="12">
        <v>304</v>
      </c>
      <c r="AE36" s="12">
        <v>225</v>
      </c>
      <c r="AF36" s="12">
        <v>278</v>
      </c>
    </row>
    <row r="37" spans="1:32" ht="23.25" x14ac:dyDescent="0.25">
      <c r="A37" s="19"/>
      <c r="B37" s="13" t="s">
        <v>429</v>
      </c>
      <c r="C37" s="14">
        <v>0.19</v>
      </c>
      <c r="D37" s="14">
        <v>0.23</v>
      </c>
      <c r="E37" s="14">
        <v>0.25</v>
      </c>
      <c r="F37" s="14">
        <v>0.21</v>
      </c>
      <c r="G37" s="14">
        <v>0.28999999999999998</v>
      </c>
      <c r="H37" s="14">
        <v>0.27</v>
      </c>
      <c r="I37" s="14">
        <v>0.26</v>
      </c>
      <c r="J37" s="14">
        <v>0.21</v>
      </c>
      <c r="K37" s="14">
        <v>0.27</v>
      </c>
      <c r="L37" s="14">
        <v>0.2</v>
      </c>
      <c r="M37" s="14">
        <v>0.17</v>
      </c>
      <c r="N37" s="14">
        <v>0.11</v>
      </c>
      <c r="O37" s="14">
        <v>0.16</v>
      </c>
      <c r="P37" s="14">
        <v>0.18</v>
      </c>
      <c r="Q37" s="14">
        <v>0.11</v>
      </c>
      <c r="R37" s="14">
        <v>0.17</v>
      </c>
      <c r="S37" s="14">
        <v>0.19</v>
      </c>
      <c r="T37" s="14">
        <v>0.27</v>
      </c>
      <c r="U37" s="14">
        <v>0.21</v>
      </c>
      <c r="V37" s="14">
        <v>0.22</v>
      </c>
      <c r="W37" s="14">
        <v>0.14000000000000001</v>
      </c>
      <c r="X37" s="14">
        <v>0.31</v>
      </c>
      <c r="Y37" s="14">
        <v>0.23</v>
      </c>
      <c r="Z37" s="14">
        <v>0.16</v>
      </c>
      <c r="AA37" s="14">
        <v>0.11</v>
      </c>
      <c r="AB37" s="14">
        <v>0.24</v>
      </c>
      <c r="AC37" s="14">
        <v>0.25</v>
      </c>
      <c r="AD37" s="14">
        <v>0.3</v>
      </c>
      <c r="AE37" s="14">
        <v>0.22</v>
      </c>
      <c r="AF37" s="14">
        <v>0.27</v>
      </c>
    </row>
    <row r="38" spans="1:32" ht="23.25" x14ac:dyDescent="0.25">
      <c r="A38" s="19"/>
      <c r="B38" s="11" t="s">
        <v>430</v>
      </c>
      <c r="C38" s="12">
        <v>17888</v>
      </c>
      <c r="D38" s="12">
        <v>665</v>
      </c>
      <c r="E38" s="12">
        <v>594</v>
      </c>
      <c r="F38" s="12">
        <v>655</v>
      </c>
      <c r="G38" s="12">
        <v>344</v>
      </c>
      <c r="H38" s="12">
        <v>624</v>
      </c>
      <c r="I38" s="12">
        <v>841</v>
      </c>
      <c r="J38" s="12">
        <v>217</v>
      </c>
      <c r="K38" s="12">
        <v>424</v>
      </c>
      <c r="L38" s="12">
        <v>634</v>
      </c>
      <c r="M38" s="12">
        <v>733</v>
      </c>
      <c r="N38" s="12">
        <v>814</v>
      </c>
      <c r="O38" s="12">
        <v>740</v>
      </c>
      <c r="P38" s="12">
        <v>699</v>
      </c>
      <c r="Q38" s="12">
        <v>865</v>
      </c>
      <c r="R38" s="12">
        <v>385</v>
      </c>
      <c r="S38" s="12">
        <v>581</v>
      </c>
      <c r="T38" s="12">
        <v>535</v>
      </c>
      <c r="U38" s="12">
        <v>335</v>
      </c>
      <c r="V38" s="12">
        <v>605</v>
      </c>
      <c r="W38" s="12">
        <v>379</v>
      </c>
      <c r="X38" s="12">
        <v>466</v>
      </c>
      <c r="Y38" s="12">
        <v>630</v>
      </c>
      <c r="Z38" s="12">
        <v>800</v>
      </c>
      <c r="AA38" s="12">
        <v>765</v>
      </c>
      <c r="AB38" s="12">
        <v>680</v>
      </c>
      <c r="AC38" s="12">
        <v>503</v>
      </c>
      <c r="AD38" s="12">
        <v>486</v>
      </c>
      <c r="AE38" s="12">
        <v>524</v>
      </c>
      <c r="AF38" s="12">
        <v>436</v>
      </c>
    </row>
    <row r="39" spans="1:32" ht="23.25" x14ac:dyDescent="0.25">
      <c r="A39" s="19"/>
      <c r="B39" s="13" t="s">
        <v>431</v>
      </c>
      <c r="C39" s="14">
        <v>0.67</v>
      </c>
      <c r="D39" s="14">
        <v>0.65</v>
      </c>
      <c r="E39" s="14">
        <v>0.57000000000000006</v>
      </c>
      <c r="F39" s="14">
        <v>0.62</v>
      </c>
      <c r="G39" s="14">
        <v>0.34</v>
      </c>
      <c r="H39" s="14">
        <v>0.51</v>
      </c>
      <c r="I39" s="14">
        <v>0.55000000000000004</v>
      </c>
      <c r="J39" s="14">
        <v>0.73</v>
      </c>
      <c r="K39" s="14">
        <v>0.42</v>
      </c>
      <c r="L39" s="14">
        <v>0.63</v>
      </c>
      <c r="M39" s="14">
        <v>0.73</v>
      </c>
      <c r="N39" s="14">
        <v>0.8</v>
      </c>
      <c r="O39" s="14">
        <v>0.74</v>
      </c>
      <c r="P39" s="14">
        <v>0.70000000000000007</v>
      </c>
      <c r="Q39" s="14">
        <v>0.83000000000000007</v>
      </c>
      <c r="R39" s="14">
        <v>0.77</v>
      </c>
      <c r="S39" s="14">
        <v>0.57999999999999996</v>
      </c>
      <c r="T39" s="14">
        <v>0.52</v>
      </c>
      <c r="U39" s="14">
        <v>0.67</v>
      </c>
      <c r="V39" s="14">
        <v>0.59</v>
      </c>
      <c r="W39" s="14">
        <v>0.75</v>
      </c>
      <c r="X39" s="14">
        <v>0.46</v>
      </c>
      <c r="Y39" s="14">
        <v>0.63</v>
      </c>
      <c r="Z39" s="14">
        <v>0.78</v>
      </c>
      <c r="AA39" s="14">
        <v>0.74</v>
      </c>
      <c r="AB39" s="14">
        <v>0.65</v>
      </c>
      <c r="AC39" s="14">
        <v>0.5</v>
      </c>
      <c r="AD39" s="14">
        <v>0.49</v>
      </c>
      <c r="AE39" s="14">
        <v>0.52</v>
      </c>
      <c r="AF39" s="14">
        <v>0.42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456</v>
      </c>
      <c r="C3" s="18"/>
      <c r="D3" s="18"/>
      <c r="E3" s="18"/>
      <c r="F3" s="18"/>
      <c r="H3" s="18" t="s">
        <v>457</v>
      </c>
      <c r="I3" s="18"/>
      <c r="J3" s="18"/>
      <c r="K3" s="18"/>
      <c r="L3" s="18"/>
    </row>
    <row r="4" spans="1:32" ht="27" customHeight="1" x14ac:dyDescent="0.25">
      <c r="B4" s="18" t="s">
        <v>458</v>
      </c>
      <c r="C4" s="18"/>
      <c r="D4" s="18"/>
      <c r="E4" s="18"/>
      <c r="F4" s="18"/>
      <c r="H4" s="18" t="s">
        <v>459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694</v>
      </c>
      <c r="D12" s="12">
        <v>21</v>
      </c>
      <c r="E12" s="12">
        <v>34</v>
      </c>
      <c r="F12" s="12">
        <v>29</v>
      </c>
      <c r="G12" s="12">
        <v>44</v>
      </c>
      <c r="H12" s="12">
        <v>44</v>
      </c>
      <c r="I12" s="12">
        <v>47</v>
      </c>
      <c r="J12" s="12">
        <v>4</v>
      </c>
      <c r="K12" s="12">
        <v>53</v>
      </c>
      <c r="L12" s="12">
        <v>21</v>
      </c>
      <c r="M12" s="12">
        <v>10</v>
      </c>
      <c r="N12" s="12">
        <v>35</v>
      </c>
      <c r="O12" s="12">
        <v>53</v>
      </c>
      <c r="P12" s="12">
        <v>11</v>
      </c>
      <c r="Q12" s="12">
        <v>7</v>
      </c>
      <c r="R12" s="12">
        <v>5</v>
      </c>
      <c r="S12" s="12">
        <v>27</v>
      </c>
      <c r="T12" s="12">
        <v>29</v>
      </c>
      <c r="U12" s="12">
        <v>13</v>
      </c>
      <c r="V12" s="12">
        <v>10</v>
      </c>
      <c r="W12" s="12">
        <v>8</v>
      </c>
      <c r="X12" s="12">
        <v>22</v>
      </c>
      <c r="Y12" s="12">
        <v>10</v>
      </c>
      <c r="Z12" s="12">
        <v>1</v>
      </c>
      <c r="AA12" s="12">
        <v>4</v>
      </c>
      <c r="AB12" s="12">
        <v>23</v>
      </c>
      <c r="AC12" s="12">
        <v>32</v>
      </c>
      <c r="AD12" s="12">
        <v>38</v>
      </c>
      <c r="AE12" s="12">
        <v>30</v>
      </c>
      <c r="AF12" s="12">
        <v>62</v>
      </c>
    </row>
    <row r="13" spans="1:32" x14ac:dyDescent="0.25">
      <c r="A13" s="19"/>
      <c r="B13" s="13" t="s">
        <v>415</v>
      </c>
      <c r="C13" s="14">
        <v>0.03</v>
      </c>
      <c r="D13" s="14">
        <v>0.02</v>
      </c>
      <c r="E13" s="14">
        <v>0.03</v>
      </c>
      <c r="F13" s="14">
        <v>0.03</v>
      </c>
      <c r="G13" s="14">
        <v>0.04</v>
      </c>
      <c r="H13" s="14">
        <v>0.04</v>
      </c>
      <c r="I13" s="14">
        <v>0.03</v>
      </c>
      <c r="J13" s="14">
        <v>0.01</v>
      </c>
      <c r="K13" s="14">
        <v>0.05</v>
      </c>
      <c r="L13" s="14">
        <v>0.02</v>
      </c>
      <c r="M13" s="14">
        <v>0.01</v>
      </c>
      <c r="N13" s="14">
        <v>0.03</v>
      </c>
      <c r="O13" s="14">
        <v>0.05</v>
      </c>
      <c r="P13" s="14">
        <v>0.01</v>
      </c>
      <c r="Q13" s="14">
        <v>0.01</v>
      </c>
      <c r="R13" s="14">
        <v>0.01</v>
      </c>
      <c r="S13" s="14">
        <v>0.03</v>
      </c>
      <c r="T13" s="14">
        <v>0.03</v>
      </c>
      <c r="U13" s="14">
        <v>0.02</v>
      </c>
      <c r="V13" s="14">
        <v>0.01</v>
      </c>
      <c r="W13" s="14">
        <v>0.02</v>
      </c>
      <c r="X13" s="14">
        <v>0.02</v>
      </c>
      <c r="Y13" s="14">
        <v>0.01</v>
      </c>
      <c r="Z13" s="15" t="s">
        <v>213</v>
      </c>
      <c r="AA13" s="15" t="s">
        <v>213</v>
      </c>
      <c r="AB13" s="14">
        <v>0.02</v>
      </c>
      <c r="AC13" s="14">
        <v>0.03</v>
      </c>
      <c r="AD13" s="14">
        <v>0.04</v>
      </c>
      <c r="AE13" s="14">
        <v>0.03</v>
      </c>
      <c r="AF13" s="14">
        <v>0.06</v>
      </c>
    </row>
    <row r="14" spans="1:32" x14ac:dyDescent="0.25">
      <c r="A14" s="19"/>
      <c r="B14" s="11" t="s">
        <v>416</v>
      </c>
      <c r="C14" s="12">
        <v>591</v>
      </c>
      <c r="D14" s="12">
        <v>26</v>
      </c>
      <c r="E14" s="12">
        <v>20</v>
      </c>
      <c r="F14" s="12">
        <v>12</v>
      </c>
      <c r="G14" s="12">
        <v>43</v>
      </c>
      <c r="H14" s="12">
        <v>54</v>
      </c>
      <c r="I14" s="12">
        <v>59</v>
      </c>
      <c r="J14" s="12">
        <v>5</v>
      </c>
      <c r="K14" s="12">
        <v>28</v>
      </c>
      <c r="L14" s="12">
        <v>26</v>
      </c>
      <c r="M14" s="12">
        <v>5</v>
      </c>
      <c r="N14" s="12">
        <v>21</v>
      </c>
      <c r="O14" s="12">
        <v>20</v>
      </c>
      <c r="P14" s="12">
        <v>17</v>
      </c>
      <c r="Q14" s="12">
        <v>10</v>
      </c>
      <c r="R14" s="12">
        <v>4</v>
      </c>
      <c r="S14" s="12">
        <v>8</v>
      </c>
      <c r="T14" s="12">
        <v>25</v>
      </c>
      <c r="U14" s="12">
        <v>9</v>
      </c>
      <c r="V14" s="12">
        <v>11</v>
      </c>
      <c r="W14" s="12">
        <v>3</v>
      </c>
      <c r="X14" s="12">
        <v>38</v>
      </c>
      <c r="Y14" s="12">
        <v>16</v>
      </c>
      <c r="Z14" s="12">
        <v>0</v>
      </c>
      <c r="AA14" s="12">
        <v>3</v>
      </c>
      <c r="AB14" s="12">
        <v>15</v>
      </c>
      <c r="AC14" s="12">
        <v>28</v>
      </c>
      <c r="AD14" s="12">
        <v>50</v>
      </c>
      <c r="AE14" s="12">
        <v>54</v>
      </c>
      <c r="AF14" s="12">
        <v>82</v>
      </c>
    </row>
    <row r="15" spans="1:32" x14ac:dyDescent="0.25">
      <c r="A15" s="19"/>
      <c r="B15" s="13" t="s">
        <v>416</v>
      </c>
      <c r="C15" s="14">
        <v>0.02</v>
      </c>
      <c r="D15" s="14">
        <v>0.03</v>
      </c>
      <c r="E15" s="14">
        <v>0.02</v>
      </c>
      <c r="F15" s="14">
        <v>0.01</v>
      </c>
      <c r="G15" s="14">
        <v>0.04</v>
      </c>
      <c r="H15" s="14">
        <v>0.04</v>
      </c>
      <c r="I15" s="14">
        <v>0.04</v>
      </c>
      <c r="J15" s="14">
        <v>0.01</v>
      </c>
      <c r="K15" s="14">
        <v>0.03</v>
      </c>
      <c r="L15" s="14">
        <v>0.03</v>
      </c>
      <c r="M15" s="15" t="s">
        <v>213</v>
      </c>
      <c r="N15" s="14">
        <v>0.02</v>
      </c>
      <c r="O15" s="14">
        <v>0.02</v>
      </c>
      <c r="P15" s="14">
        <v>0.02</v>
      </c>
      <c r="Q15" s="14">
        <v>0.01</v>
      </c>
      <c r="R15" s="14">
        <v>0.01</v>
      </c>
      <c r="S15" s="14">
        <v>0.01</v>
      </c>
      <c r="T15" s="14">
        <v>0.02</v>
      </c>
      <c r="U15" s="14">
        <v>0.02</v>
      </c>
      <c r="V15" s="14">
        <v>0.01</v>
      </c>
      <c r="W15" s="14">
        <v>0.01</v>
      </c>
      <c r="X15" s="14">
        <v>0.04</v>
      </c>
      <c r="Y15" s="14">
        <v>0.02</v>
      </c>
      <c r="Z15" s="15" t="s">
        <v>213</v>
      </c>
      <c r="AA15" s="15" t="s">
        <v>213</v>
      </c>
      <c r="AB15" s="14">
        <v>0.02</v>
      </c>
      <c r="AC15" s="14">
        <v>0.03</v>
      </c>
      <c r="AD15" s="14">
        <v>0.05</v>
      </c>
      <c r="AE15" s="14">
        <v>0.05</v>
      </c>
      <c r="AF15" s="14">
        <v>0.08</v>
      </c>
    </row>
    <row r="16" spans="1:32" x14ac:dyDescent="0.25">
      <c r="A16" s="19"/>
      <c r="B16" s="11" t="s">
        <v>417</v>
      </c>
      <c r="C16" s="12">
        <v>1002</v>
      </c>
      <c r="D16" s="12">
        <v>52</v>
      </c>
      <c r="E16" s="12">
        <v>46</v>
      </c>
      <c r="F16" s="12">
        <v>35</v>
      </c>
      <c r="G16" s="12">
        <v>110</v>
      </c>
      <c r="H16" s="12">
        <v>63</v>
      </c>
      <c r="I16" s="12">
        <v>68</v>
      </c>
      <c r="J16" s="12">
        <v>6</v>
      </c>
      <c r="K16" s="12">
        <v>63</v>
      </c>
      <c r="L16" s="12">
        <v>29</v>
      </c>
      <c r="M16" s="12">
        <v>18</v>
      </c>
      <c r="N16" s="12">
        <v>17</v>
      </c>
      <c r="O16" s="12">
        <v>49</v>
      </c>
      <c r="P16" s="12">
        <v>28</v>
      </c>
      <c r="Q16" s="12">
        <v>14</v>
      </c>
      <c r="R16" s="12">
        <v>7</v>
      </c>
      <c r="S16" s="12">
        <v>32</v>
      </c>
      <c r="T16" s="12">
        <v>25</v>
      </c>
      <c r="U16" s="12">
        <v>15</v>
      </c>
      <c r="V16" s="12">
        <v>54</v>
      </c>
      <c r="W16" s="12">
        <v>11</v>
      </c>
      <c r="X16" s="12">
        <v>91</v>
      </c>
      <c r="Y16" s="12">
        <v>32</v>
      </c>
      <c r="Z16" s="12">
        <v>16</v>
      </c>
      <c r="AA16" s="12">
        <v>5</v>
      </c>
      <c r="AB16" s="12">
        <v>34</v>
      </c>
      <c r="AC16" s="12">
        <v>46</v>
      </c>
      <c r="AD16" s="12">
        <v>83</v>
      </c>
      <c r="AE16" s="12">
        <v>48</v>
      </c>
      <c r="AF16" s="12">
        <v>140</v>
      </c>
    </row>
    <row r="17" spans="1:32" x14ac:dyDescent="0.25">
      <c r="A17" s="19"/>
      <c r="B17" s="13" t="s">
        <v>417</v>
      </c>
      <c r="C17" s="14">
        <v>0.04</v>
      </c>
      <c r="D17" s="14">
        <v>0.05</v>
      </c>
      <c r="E17" s="14">
        <v>0.04</v>
      </c>
      <c r="F17" s="14">
        <v>0.03</v>
      </c>
      <c r="G17" s="14">
        <v>0.11</v>
      </c>
      <c r="H17" s="14">
        <v>0.05</v>
      </c>
      <c r="I17" s="14">
        <v>0.04</v>
      </c>
      <c r="J17" s="14">
        <v>0.02</v>
      </c>
      <c r="K17" s="14">
        <v>0.06</v>
      </c>
      <c r="L17" s="14">
        <v>0.03</v>
      </c>
      <c r="M17" s="14">
        <v>0.02</v>
      </c>
      <c r="N17" s="14">
        <v>0.02</v>
      </c>
      <c r="O17" s="14">
        <v>0.05</v>
      </c>
      <c r="P17" s="14">
        <v>0.03</v>
      </c>
      <c r="Q17" s="14">
        <v>0.01</v>
      </c>
      <c r="R17" s="14">
        <v>0.01</v>
      </c>
      <c r="S17" s="14">
        <v>0.03</v>
      </c>
      <c r="T17" s="14">
        <v>0.02</v>
      </c>
      <c r="U17" s="14">
        <v>0.03</v>
      </c>
      <c r="V17" s="14">
        <v>0.05</v>
      </c>
      <c r="W17" s="14">
        <v>0.02</v>
      </c>
      <c r="X17" s="14">
        <v>0.09</v>
      </c>
      <c r="Y17" s="14">
        <v>0.03</v>
      </c>
      <c r="Z17" s="14">
        <v>0.02</v>
      </c>
      <c r="AA17" s="14">
        <v>0.01</v>
      </c>
      <c r="AB17" s="14">
        <v>0.03</v>
      </c>
      <c r="AC17" s="14">
        <v>0.05</v>
      </c>
      <c r="AD17" s="14">
        <v>0.08</v>
      </c>
      <c r="AE17" s="14">
        <v>0.05</v>
      </c>
      <c r="AF17" s="14">
        <v>0.14000000000000001</v>
      </c>
    </row>
    <row r="18" spans="1:32" x14ac:dyDescent="0.25">
      <c r="A18" s="19"/>
      <c r="B18" s="11" t="s">
        <v>418</v>
      </c>
      <c r="C18" s="12">
        <v>1380</v>
      </c>
      <c r="D18" s="12">
        <v>66</v>
      </c>
      <c r="E18" s="12">
        <v>68</v>
      </c>
      <c r="F18" s="12">
        <v>57</v>
      </c>
      <c r="G18" s="12">
        <v>124</v>
      </c>
      <c r="H18" s="12">
        <v>86</v>
      </c>
      <c r="I18" s="12">
        <v>100</v>
      </c>
      <c r="J18" s="12">
        <v>14</v>
      </c>
      <c r="K18" s="12">
        <v>91</v>
      </c>
      <c r="L18" s="12">
        <v>43</v>
      </c>
      <c r="M18" s="12">
        <v>25</v>
      </c>
      <c r="N18" s="12">
        <v>36</v>
      </c>
      <c r="O18" s="12">
        <v>49</v>
      </c>
      <c r="P18" s="12">
        <v>60</v>
      </c>
      <c r="Q18" s="12">
        <v>24</v>
      </c>
      <c r="R18" s="12">
        <v>8</v>
      </c>
      <c r="S18" s="12">
        <v>53</v>
      </c>
      <c r="T18" s="12">
        <v>47</v>
      </c>
      <c r="U18" s="12">
        <v>33</v>
      </c>
      <c r="V18" s="12">
        <v>77</v>
      </c>
      <c r="W18" s="12">
        <v>10</v>
      </c>
      <c r="X18" s="12">
        <v>113</v>
      </c>
      <c r="Y18" s="12">
        <v>81</v>
      </c>
      <c r="Z18" s="12">
        <v>30</v>
      </c>
      <c r="AA18" s="12">
        <v>13</v>
      </c>
      <c r="AB18" s="12">
        <v>52</v>
      </c>
      <c r="AC18" s="12">
        <v>55</v>
      </c>
      <c r="AD18" s="12">
        <v>68</v>
      </c>
      <c r="AE18" s="12">
        <v>93</v>
      </c>
      <c r="AF18" s="12">
        <v>125</v>
      </c>
    </row>
    <row r="19" spans="1:32" x14ac:dyDescent="0.25">
      <c r="A19" s="19"/>
      <c r="B19" s="13" t="s">
        <v>418</v>
      </c>
      <c r="C19" s="14">
        <v>0.05</v>
      </c>
      <c r="D19" s="14">
        <v>0.06</v>
      </c>
      <c r="E19" s="14">
        <v>0.06</v>
      </c>
      <c r="F19" s="14">
        <v>0.05</v>
      </c>
      <c r="G19" s="14">
        <v>0.12</v>
      </c>
      <c r="H19" s="14">
        <v>7.0000000000000007E-2</v>
      </c>
      <c r="I19" s="14">
        <v>7.0000000000000007E-2</v>
      </c>
      <c r="J19" s="14">
        <v>0.05</v>
      </c>
      <c r="K19" s="14">
        <v>0.09</v>
      </c>
      <c r="L19" s="14">
        <v>0.04</v>
      </c>
      <c r="M19" s="14">
        <v>0.02</v>
      </c>
      <c r="N19" s="14">
        <v>0.04</v>
      </c>
      <c r="O19" s="14">
        <v>0.05</v>
      </c>
      <c r="P19" s="14">
        <v>0.06</v>
      </c>
      <c r="Q19" s="14">
        <v>0.02</v>
      </c>
      <c r="R19" s="14">
        <v>0.02</v>
      </c>
      <c r="S19" s="14">
        <v>0.05</v>
      </c>
      <c r="T19" s="14">
        <v>0.05</v>
      </c>
      <c r="U19" s="14">
        <v>7.0000000000000007E-2</v>
      </c>
      <c r="V19" s="14">
        <v>0.08</v>
      </c>
      <c r="W19" s="14">
        <v>0.02</v>
      </c>
      <c r="X19" s="14">
        <v>0.11</v>
      </c>
      <c r="Y19" s="14">
        <v>0.08</v>
      </c>
      <c r="Z19" s="14">
        <v>0.03</v>
      </c>
      <c r="AA19" s="14">
        <v>0.01</v>
      </c>
      <c r="AB19" s="14">
        <v>0.05</v>
      </c>
      <c r="AC19" s="14">
        <v>0.05</v>
      </c>
      <c r="AD19" s="14">
        <v>7.0000000000000007E-2</v>
      </c>
      <c r="AE19" s="14">
        <v>0.09</v>
      </c>
      <c r="AF19" s="14">
        <v>0.12</v>
      </c>
    </row>
    <row r="20" spans="1:32" x14ac:dyDescent="0.25">
      <c r="A20" s="19"/>
      <c r="B20" s="11" t="s">
        <v>419</v>
      </c>
      <c r="C20" s="12">
        <v>2553</v>
      </c>
      <c r="D20" s="12">
        <v>120</v>
      </c>
      <c r="E20" s="12">
        <v>125</v>
      </c>
      <c r="F20" s="12">
        <v>117</v>
      </c>
      <c r="G20" s="12">
        <v>189</v>
      </c>
      <c r="H20" s="12">
        <v>143</v>
      </c>
      <c r="I20" s="12">
        <v>162</v>
      </c>
      <c r="J20" s="12">
        <v>19</v>
      </c>
      <c r="K20" s="12">
        <v>127</v>
      </c>
      <c r="L20" s="12">
        <v>71</v>
      </c>
      <c r="M20" s="12">
        <v>46</v>
      </c>
      <c r="N20" s="12">
        <v>74</v>
      </c>
      <c r="O20" s="12">
        <v>132</v>
      </c>
      <c r="P20" s="12">
        <v>80</v>
      </c>
      <c r="Q20" s="12">
        <v>55</v>
      </c>
      <c r="R20" s="12">
        <v>16</v>
      </c>
      <c r="S20" s="12">
        <v>98</v>
      </c>
      <c r="T20" s="12">
        <v>101</v>
      </c>
      <c r="U20" s="12">
        <v>56</v>
      </c>
      <c r="V20" s="12">
        <v>115</v>
      </c>
      <c r="W20" s="12">
        <v>29</v>
      </c>
      <c r="X20" s="12">
        <v>146</v>
      </c>
      <c r="Y20" s="12">
        <v>87</v>
      </c>
      <c r="Z20" s="12">
        <v>63</v>
      </c>
      <c r="AA20" s="12">
        <v>28</v>
      </c>
      <c r="AB20" s="12">
        <v>108</v>
      </c>
      <c r="AC20" s="12">
        <v>126</v>
      </c>
      <c r="AD20" s="12">
        <v>139</v>
      </c>
      <c r="AE20" s="12">
        <v>121</v>
      </c>
      <c r="AF20" s="12">
        <v>184</v>
      </c>
    </row>
    <row r="21" spans="1:32" x14ac:dyDescent="0.25">
      <c r="A21" s="19"/>
      <c r="B21" s="13" t="s">
        <v>419</v>
      </c>
      <c r="C21" s="14">
        <v>0.1</v>
      </c>
      <c r="D21" s="14">
        <v>0.12</v>
      </c>
      <c r="E21" s="14">
        <v>0.12</v>
      </c>
      <c r="F21" s="14">
        <v>0.11</v>
      </c>
      <c r="G21" s="14">
        <v>0.19</v>
      </c>
      <c r="H21" s="14">
        <v>0.12</v>
      </c>
      <c r="I21" s="14">
        <v>0.11</v>
      </c>
      <c r="J21" s="14">
        <v>0.06</v>
      </c>
      <c r="K21" s="14">
        <v>0.13</v>
      </c>
      <c r="L21" s="14">
        <v>7.0000000000000007E-2</v>
      </c>
      <c r="M21" s="14">
        <v>0.05</v>
      </c>
      <c r="N21" s="14">
        <v>7.0000000000000007E-2</v>
      </c>
      <c r="O21" s="14">
        <v>0.13</v>
      </c>
      <c r="P21" s="14">
        <v>0.08</v>
      </c>
      <c r="Q21" s="14">
        <v>0.06</v>
      </c>
      <c r="R21" s="14">
        <v>0.03</v>
      </c>
      <c r="S21" s="14">
        <v>0.1</v>
      </c>
      <c r="T21" s="14">
        <v>0.1</v>
      </c>
      <c r="U21" s="14">
        <v>0.11</v>
      </c>
      <c r="V21" s="14">
        <v>0.11</v>
      </c>
      <c r="W21" s="14">
        <v>0.06</v>
      </c>
      <c r="X21" s="14">
        <v>0.14000000000000001</v>
      </c>
      <c r="Y21" s="14">
        <v>0.09</v>
      </c>
      <c r="Z21" s="14">
        <v>0.06</v>
      </c>
      <c r="AA21" s="14">
        <v>0.03</v>
      </c>
      <c r="AB21" s="14">
        <v>0.1</v>
      </c>
      <c r="AC21" s="14">
        <v>0.13</v>
      </c>
      <c r="AD21" s="14">
        <v>0.14000000000000001</v>
      </c>
      <c r="AE21" s="14">
        <v>0.12</v>
      </c>
      <c r="AF21" s="14">
        <v>0.18</v>
      </c>
    </row>
    <row r="22" spans="1:32" x14ac:dyDescent="0.25">
      <c r="A22" s="19"/>
      <c r="B22" s="11" t="s">
        <v>420</v>
      </c>
      <c r="C22" s="12">
        <v>2667</v>
      </c>
      <c r="D22" s="12">
        <v>137</v>
      </c>
      <c r="E22" s="12">
        <v>131</v>
      </c>
      <c r="F22" s="12">
        <v>110</v>
      </c>
      <c r="G22" s="12">
        <v>144</v>
      </c>
      <c r="H22" s="12">
        <v>141</v>
      </c>
      <c r="I22" s="12">
        <v>164</v>
      </c>
      <c r="J22" s="12">
        <v>24</v>
      </c>
      <c r="K22" s="12">
        <v>132</v>
      </c>
      <c r="L22" s="12">
        <v>63</v>
      </c>
      <c r="M22" s="12">
        <v>62</v>
      </c>
      <c r="N22" s="12">
        <v>82</v>
      </c>
      <c r="O22" s="12">
        <v>86</v>
      </c>
      <c r="P22" s="12">
        <v>115</v>
      </c>
      <c r="Q22" s="12">
        <v>86</v>
      </c>
      <c r="R22" s="12">
        <v>28</v>
      </c>
      <c r="S22" s="12">
        <v>71</v>
      </c>
      <c r="T22" s="12">
        <v>116</v>
      </c>
      <c r="U22" s="12">
        <v>64</v>
      </c>
      <c r="V22" s="12">
        <v>164</v>
      </c>
      <c r="W22" s="12">
        <v>31</v>
      </c>
      <c r="X22" s="12">
        <v>153</v>
      </c>
      <c r="Y22" s="12">
        <v>99</v>
      </c>
      <c r="Z22" s="12">
        <v>104</v>
      </c>
      <c r="AA22" s="12">
        <v>65</v>
      </c>
      <c r="AB22" s="12">
        <v>155</v>
      </c>
      <c r="AC22" s="12">
        <v>96</v>
      </c>
      <c r="AD22" s="12">
        <v>111</v>
      </c>
      <c r="AE22" s="12">
        <v>137</v>
      </c>
      <c r="AF22" s="12">
        <v>104</v>
      </c>
    </row>
    <row r="23" spans="1:32" x14ac:dyDescent="0.25">
      <c r="A23" s="19"/>
      <c r="B23" s="13" t="s">
        <v>420</v>
      </c>
      <c r="C23" s="14">
        <v>0.1</v>
      </c>
      <c r="D23" s="14">
        <v>0.13</v>
      </c>
      <c r="E23" s="14">
        <v>0.13</v>
      </c>
      <c r="F23" s="14">
        <v>0.11</v>
      </c>
      <c r="G23" s="14">
        <v>0.14000000000000001</v>
      </c>
      <c r="H23" s="14">
        <v>0.11</v>
      </c>
      <c r="I23" s="14">
        <v>0.11</v>
      </c>
      <c r="J23" s="14">
        <v>0.08</v>
      </c>
      <c r="K23" s="14">
        <v>0.13</v>
      </c>
      <c r="L23" s="14">
        <v>0.06</v>
      </c>
      <c r="M23" s="14">
        <v>0.06</v>
      </c>
      <c r="N23" s="14">
        <v>0.08</v>
      </c>
      <c r="O23" s="14">
        <v>0.09</v>
      </c>
      <c r="P23" s="14">
        <v>0.11</v>
      </c>
      <c r="Q23" s="14">
        <v>0.08</v>
      </c>
      <c r="R23" s="14">
        <v>0.05</v>
      </c>
      <c r="S23" s="14">
        <v>7.0000000000000007E-2</v>
      </c>
      <c r="T23" s="14">
        <v>0.11</v>
      </c>
      <c r="U23" s="14">
        <v>0.13</v>
      </c>
      <c r="V23" s="14">
        <v>0.16</v>
      </c>
      <c r="W23" s="14">
        <v>0.06</v>
      </c>
      <c r="X23" s="14">
        <v>0.15</v>
      </c>
      <c r="Y23" s="14">
        <v>0.1</v>
      </c>
      <c r="Z23" s="14">
        <v>0.1</v>
      </c>
      <c r="AA23" s="14">
        <v>0.06</v>
      </c>
      <c r="AB23" s="14">
        <v>0.15</v>
      </c>
      <c r="AC23" s="14">
        <v>0.09</v>
      </c>
      <c r="AD23" s="14">
        <v>0.11</v>
      </c>
      <c r="AE23" s="14">
        <v>0.14000000000000001</v>
      </c>
      <c r="AF23" s="14">
        <v>0.1</v>
      </c>
    </row>
    <row r="24" spans="1:32" x14ac:dyDescent="0.25">
      <c r="A24" s="19"/>
      <c r="B24" s="11" t="s">
        <v>421</v>
      </c>
      <c r="C24" s="12">
        <v>3982</v>
      </c>
      <c r="D24" s="12">
        <v>162</v>
      </c>
      <c r="E24" s="12">
        <v>144</v>
      </c>
      <c r="F24" s="12">
        <v>139</v>
      </c>
      <c r="G24" s="12">
        <v>136</v>
      </c>
      <c r="H24" s="12">
        <v>184</v>
      </c>
      <c r="I24" s="12">
        <v>225</v>
      </c>
      <c r="J24" s="12">
        <v>40</v>
      </c>
      <c r="K24" s="12">
        <v>139</v>
      </c>
      <c r="L24" s="12">
        <v>139</v>
      </c>
      <c r="M24" s="12">
        <v>132</v>
      </c>
      <c r="N24" s="12">
        <v>129</v>
      </c>
      <c r="O24" s="12">
        <v>159</v>
      </c>
      <c r="P24" s="12">
        <v>129</v>
      </c>
      <c r="Q24" s="12">
        <v>142</v>
      </c>
      <c r="R24" s="12">
        <v>44</v>
      </c>
      <c r="S24" s="12">
        <v>134</v>
      </c>
      <c r="T24" s="12">
        <v>138</v>
      </c>
      <c r="U24" s="12">
        <v>81</v>
      </c>
      <c r="V24" s="12">
        <v>184</v>
      </c>
      <c r="W24" s="12">
        <v>44</v>
      </c>
      <c r="X24" s="12">
        <v>168</v>
      </c>
      <c r="Y24" s="12">
        <v>154</v>
      </c>
      <c r="Z24" s="12">
        <v>176</v>
      </c>
      <c r="AA24" s="12">
        <v>234</v>
      </c>
      <c r="AB24" s="12">
        <v>177</v>
      </c>
      <c r="AC24" s="12">
        <v>110</v>
      </c>
      <c r="AD24" s="12">
        <v>164</v>
      </c>
      <c r="AE24" s="12">
        <v>188</v>
      </c>
      <c r="AF24" s="12">
        <v>125</v>
      </c>
    </row>
    <row r="25" spans="1:32" x14ac:dyDescent="0.25">
      <c r="A25" s="19"/>
      <c r="B25" s="13" t="s">
        <v>421</v>
      </c>
      <c r="C25" s="14">
        <v>0.15</v>
      </c>
      <c r="D25" s="14">
        <v>0.16</v>
      </c>
      <c r="E25" s="14">
        <v>0.14000000000000001</v>
      </c>
      <c r="F25" s="14">
        <v>0.13</v>
      </c>
      <c r="G25" s="14">
        <v>0.13</v>
      </c>
      <c r="H25" s="14">
        <v>0.15</v>
      </c>
      <c r="I25" s="14">
        <v>0.15</v>
      </c>
      <c r="J25" s="14">
        <v>0.14000000000000001</v>
      </c>
      <c r="K25" s="14">
        <v>0.14000000000000001</v>
      </c>
      <c r="L25" s="14">
        <v>0.14000000000000001</v>
      </c>
      <c r="M25" s="14">
        <v>0.13</v>
      </c>
      <c r="N25" s="14">
        <v>0.13</v>
      </c>
      <c r="O25" s="14">
        <v>0.16</v>
      </c>
      <c r="P25" s="14">
        <v>0.13</v>
      </c>
      <c r="Q25" s="14">
        <v>0.14000000000000001</v>
      </c>
      <c r="R25" s="14">
        <v>0.09</v>
      </c>
      <c r="S25" s="14">
        <v>0.13</v>
      </c>
      <c r="T25" s="14">
        <v>0.14000000000000001</v>
      </c>
      <c r="U25" s="14">
        <v>0.16</v>
      </c>
      <c r="V25" s="14">
        <v>0.18</v>
      </c>
      <c r="W25" s="14">
        <v>0.09</v>
      </c>
      <c r="X25" s="14">
        <v>0.17</v>
      </c>
      <c r="Y25" s="14">
        <v>0.15</v>
      </c>
      <c r="Z25" s="14">
        <v>0.17</v>
      </c>
      <c r="AA25" s="14">
        <v>0.23</v>
      </c>
      <c r="AB25" s="14">
        <v>0.17</v>
      </c>
      <c r="AC25" s="14">
        <v>0.11</v>
      </c>
      <c r="AD25" s="14">
        <v>0.16</v>
      </c>
      <c r="AE25" s="14">
        <v>0.19</v>
      </c>
      <c r="AF25" s="14">
        <v>0.12</v>
      </c>
    </row>
    <row r="26" spans="1:32" x14ac:dyDescent="0.25">
      <c r="A26" s="19"/>
      <c r="B26" s="11" t="s">
        <v>422</v>
      </c>
      <c r="C26" s="12">
        <v>5010</v>
      </c>
      <c r="D26" s="12">
        <v>165</v>
      </c>
      <c r="E26" s="12">
        <v>151</v>
      </c>
      <c r="F26" s="12">
        <v>167</v>
      </c>
      <c r="G26" s="12">
        <v>100</v>
      </c>
      <c r="H26" s="12">
        <v>203</v>
      </c>
      <c r="I26" s="12">
        <v>253</v>
      </c>
      <c r="J26" s="12">
        <v>49</v>
      </c>
      <c r="K26" s="12">
        <v>140</v>
      </c>
      <c r="L26" s="12">
        <v>195</v>
      </c>
      <c r="M26" s="12">
        <v>259</v>
      </c>
      <c r="N26" s="12">
        <v>196</v>
      </c>
      <c r="O26" s="12">
        <v>188</v>
      </c>
      <c r="P26" s="12">
        <v>184</v>
      </c>
      <c r="Q26" s="12">
        <v>228</v>
      </c>
      <c r="R26" s="12">
        <v>77</v>
      </c>
      <c r="S26" s="12">
        <v>171</v>
      </c>
      <c r="T26" s="12">
        <v>210</v>
      </c>
      <c r="U26" s="12">
        <v>68</v>
      </c>
      <c r="V26" s="12">
        <v>167</v>
      </c>
      <c r="W26" s="12">
        <v>82</v>
      </c>
      <c r="X26" s="12">
        <v>148</v>
      </c>
      <c r="Y26" s="12">
        <v>182</v>
      </c>
      <c r="Z26" s="12">
        <v>273</v>
      </c>
      <c r="AA26" s="12">
        <v>201</v>
      </c>
      <c r="AB26" s="12">
        <v>222</v>
      </c>
      <c r="AC26" s="12">
        <v>159</v>
      </c>
      <c r="AD26" s="12">
        <v>165</v>
      </c>
      <c r="AE26" s="12">
        <v>170</v>
      </c>
      <c r="AF26" s="12">
        <v>88</v>
      </c>
    </row>
    <row r="27" spans="1:32" x14ac:dyDescent="0.25">
      <c r="A27" s="19"/>
      <c r="B27" s="13" t="s">
        <v>422</v>
      </c>
      <c r="C27" s="14">
        <v>0.19</v>
      </c>
      <c r="D27" s="14">
        <v>0.16</v>
      </c>
      <c r="E27" s="14">
        <v>0.14000000000000001</v>
      </c>
      <c r="F27" s="14">
        <v>0.16</v>
      </c>
      <c r="G27" s="14">
        <v>0.1</v>
      </c>
      <c r="H27" s="14">
        <v>0.17</v>
      </c>
      <c r="I27" s="14">
        <v>0.16</v>
      </c>
      <c r="J27" s="14">
        <v>0.17</v>
      </c>
      <c r="K27" s="14">
        <v>0.14000000000000001</v>
      </c>
      <c r="L27" s="14">
        <v>0.19</v>
      </c>
      <c r="M27" s="14">
        <v>0.26</v>
      </c>
      <c r="N27" s="14">
        <v>0.19</v>
      </c>
      <c r="O27" s="14">
        <v>0.19</v>
      </c>
      <c r="P27" s="14">
        <v>0.18</v>
      </c>
      <c r="Q27" s="14">
        <v>0.22</v>
      </c>
      <c r="R27" s="14">
        <v>0.15</v>
      </c>
      <c r="S27" s="14">
        <v>0.17</v>
      </c>
      <c r="T27" s="14">
        <v>0.21</v>
      </c>
      <c r="U27" s="14">
        <v>0.13</v>
      </c>
      <c r="V27" s="14">
        <v>0.16</v>
      </c>
      <c r="W27" s="14">
        <v>0.16</v>
      </c>
      <c r="X27" s="14">
        <v>0.15</v>
      </c>
      <c r="Y27" s="14">
        <v>0.18</v>
      </c>
      <c r="Z27" s="14">
        <v>0.27</v>
      </c>
      <c r="AA27" s="14">
        <v>0.19</v>
      </c>
      <c r="AB27" s="14">
        <v>0.21</v>
      </c>
      <c r="AC27" s="14">
        <v>0.16</v>
      </c>
      <c r="AD27" s="14">
        <v>0.17</v>
      </c>
      <c r="AE27" s="14">
        <v>0.17</v>
      </c>
      <c r="AF27" s="14">
        <v>0.09</v>
      </c>
    </row>
    <row r="28" spans="1:32" x14ac:dyDescent="0.25">
      <c r="A28" s="19"/>
      <c r="B28" s="11" t="s">
        <v>423</v>
      </c>
      <c r="C28" s="12">
        <v>3249</v>
      </c>
      <c r="D28" s="12">
        <v>103</v>
      </c>
      <c r="E28" s="12">
        <v>81</v>
      </c>
      <c r="F28" s="12">
        <v>128</v>
      </c>
      <c r="G28" s="12">
        <v>40</v>
      </c>
      <c r="H28" s="12">
        <v>100</v>
      </c>
      <c r="I28" s="12">
        <v>141</v>
      </c>
      <c r="J28" s="12">
        <v>41</v>
      </c>
      <c r="K28" s="12">
        <v>79</v>
      </c>
      <c r="L28" s="12">
        <v>115</v>
      </c>
      <c r="M28" s="12">
        <v>237</v>
      </c>
      <c r="N28" s="12">
        <v>165</v>
      </c>
      <c r="O28" s="12">
        <v>96</v>
      </c>
      <c r="P28" s="12">
        <v>133</v>
      </c>
      <c r="Q28" s="12">
        <v>188</v>
      </c>
      <c r="R28" s="12">
        <v>88</v>
      </c>
      <c r="S28" s="12">
        <v>126</v>
      </c>
      <c r="T28" s="12">
        <v>97</v>
      </c>
      <c r="U28" s="12">
        <v>40</v>
      </c>
      <c r="V28" s="12">
        <v>85</v>
      </c>
      <c r="W28" s="12">
        <v>118</v>
      </c>
      <c r="X28" s="12">
        <v>56</v>
      </c>
      <c r="Y28" s="12">
        <v>119</v>
      </c>
      <c r="Z28" s="12">
        <v>155</v>
      </c>
      <c r="AA28" s="12">
        <v>173</v>
      </c>
      <c r="AB28" s="12">
        <v>134</v>
      </c>
      <c r="AC28" s="12">
        <v>81</v>
      </c>
      <c r="AD28" s="12">
        <v>90</v>
      </c>
      <c r="AE28" s="12">
        <v>68</v>
      </c>
      <c r="AF28" s="12">
        <v>45</v>
      </c>
    </row>
    <row r="29" spans="1:32" x14ac:dyDescent="0.25">
      <c r="A29" s="19"/>
      <c r="B29" s="13" t="s">
        <v>423</v>
      </c>
      <c r="C29" s="14">
        <v>0.12</v>
      </c>
      <c r="D29" s="14">
        <v>0.1</v>
      </c>
      <c r="E29" s="14">
        <v>0.08</v>
      </c>
      <c r="F29" s="14">
        <v>0.12</v>
      </c>
      <c r="G29" s="14">
        <v>0.04</v>
      </c>
      <c r="H29" s="14">
        <v>0.08</v>
      </c>
      <c r="I29" s="14">
        <v>0.09</v>
      </c>
      <c r="J29" s="14">
        <v>0.14000000000000001</v>
      </c>
      <c r="K29" s="14">
        <v>0.08</v>
      </c>
      <c r="L29" s="14">
        <v>0.12</v>
      </c>
      <c r="M29" s="14">
        <v>0.24</v>
      </c>
      <c r="N29" s="14">
        <v>0.16</v>
      </c>
      <c r="O29" s="14">
        <v>0.09</v>
      </c>
      <c r="P29" s="14">
        <v>0.13</v>
      </c>
      <c r="Q29" s="14">
        <v>0.18</v>
      </c>
      <c r="R29" s="14">
        <v>0.18</v>
      </c>
      <c r="S29" s="14">
        <v>0.12</v>
      </c>
      <c r="T29" s="14">
        <v>0.1</v>
      </c>
      <c r="U29" s="14">
        <v>0.08</v>
      </c>
      <c r="V29" s="14">
        <v>0.08</v>
      </c>
      <c r="W29" s="14">
        <v>0.23</v>
      </c>
      <c r="X29" s="14">
        <v>0.06</v>
      </c>
      <c r="Y29" s="14">
        <v>0.12</v>
      </c>
      <c r="Z29" s="14">
        <v>0.15</v>
      </c>
      <c r="AA29" s="14">
        <v>0.17</v>
      </c>
      <c r="AB29" s="14">
        <v>0.13</v>
      </c>
      <c r="AC29" s="14">
        <v>0.08</v>
      </c>
      <c r="AD29" s="14">
        <v>0.09</v>
      </c>
      <c r="AE29" s="14">
        <v>7.0000000000000007E-2</v>
      </c>
      <c r="AF29" s="14">
        <v>0.04</v>
      </c>
    </row>
    <row r="30" spans="1:32" ht="23.25" x14ac:dyDescent="0.25">
      <c r="A30" s="19"/>
      <c r="B30" s="11" t="s">
        <v>424</v>
      </c>
      <c r="C30" s="12">
        <v>5137</v>
      </c>
      <c r="D30" s="12">
        <v>168</v>
      </c>
      <c r="E30" s="12">
        <v>237</v>
      </c>
      <c r="F30" s="12">
        <v>265</v>
      </c>
      <c r="G30" s="12">
        <v>70</v>
      </c>
      <c r="H30" s="12">
        <v>208</v>
      </c>
      <c r="I30" s="12">
        <v>304</v>
      </c>
      <c r="J30" s="12">
        <v>96</v>
      </c>
      <c r="K30" s="12">
        <v>146</v>
      </c>
      <c r="L30" s="12">
        <v>302</v>
      </c>
      <c r="M30" s="12">
        <v>209</v>
      </c>
      <c r="N30" s="12">
        <v>249</v>
      </c>
      <c r="O30" s="12">
        <v>151</v>
      </c>
      <c r="P30" s="12">
        <v>237</v>
      </c>
      <c r="Q30" s="12">
        <v>276</v>
      </c>
      <c r="R30" s="12">
        <v>220</v>
      </c>
      <c r="S30" s="12">
        <v>277</v>
      </c>
      <c r="T30" s="12">
        <v>230</v>
      </c>
      <c r="U30" s="12">
        <v>125</v>
      </c>
      <c r="V30" s="12">
        <v>155</v>
      </c>
      <c r="W30" s="12">
        <v>166</v>
      </c>
      <c r="X30" s="12">
        <v>75</v>
      </c>
      <c r="Y30" s="12">
        <v>222</v>
      </c>
      <c r="Z30" s="12">
        <v>194</v>
      </c>
      <c r="AA30" s="12">
        <v>301</v>
      </c>
      <c r="AB30" s="12">
        <v>91</v>
      </c>
      <c r="AC30" s="12">
        <v>267</v>
      </c>
      <c r="AD30" s="12">
        <v>94</v>
      </c>
      <c r="AE30" s="12">
        <v>86</v>
      </c>
      <c r="AF30" s="12">
        <v>76</v>
      </c>
    </row>
    <row r="31" spans="1:32" x14ac:dyDescent="0.25">
      <c r="A31" s="19"/>
      <c r="B31" s="13" t="s">
        <v>425</v>
      </c>
      <c r="C31" s="14">
        <v>0.19</v>
      </c>
      <c r="D31" s="14">
        <v>0.17</v>
      </c>
      <c r="E31" s="14">
        <v>0.23</v>
      </c>
      <c r="F31" s="14">
        <v>0.25</v>
      </c>
      <c r="G31" s="14">
        <v>7.0000000000000007E-2</v>
      </c>
      <c r="H31" s="14">
        <v>0.17</v>
      </c>
      <c r="I31" s="14">
        <v>0.2</v>
      </c>
      <c r="J31" s="14">
        <v>0.32</v>
      </c>
      <c r="K31" s="14">
        <v>0.14000000000000001</v>
      </c>
      <c r="L31" s="14">
        <v>0.3</v>
      </c>
      <c r="M31" s="14">
        <v>0.21</v>
      </c>
      <c r="N31" s="14">
        <v>0.25</v>
      </c>
      <c r="O31" s="14">
        <v>0.15</v>
      </c>
      <c r="P31" s="14">
        <v>0.24</v>
      </c>
      <c r="Q31" s="14">
        <v>0.27</v>
      </c>
      <c r="R31" s="14">
        <v>0.44</v>
      </c>
      <c r="S31" s="14">
        <v>0.28000000000000003</v>
      </c>
      <c r="T31" s="14">
        <v>0.22</v>
      </c>
      <c r="U31" s="14">
        <v>0.24</v>
      </c>
      <c r="V31" s="14">
        <v>0.15</v>
      </c>
      <c r="W31" s="14">
        <v>0.33</v>
      </c>
      <c r="X31" s="14">
        <v>7.0000000000000007E-2</v>
      </c>
      <c r="Y31" s="14">
        <v>0.22</v>
      </c>
      <c r="Z31" s="14">
        <v>0.19</v>
      </c>
      <c r="AA31" s="14">
        <v>0.28999999999999998</v>
      </c>
      <c r="AB31" s="14">
        <v>0.09</v>
      </c>
      <c r="AC31" s="14">
        <v>0.27</v>
      </c>
      <c r="AD31" s="14">
        <v>0.09</v>
      </c>
      <c r="AE31" s="14">
        <v>0.08</v>
      </c>
      <c r="AF31" s="14">
        <v>7.0000000000000007E-2</v>
      </c>
    </row>
    <row r="32" spans="1:32" x14ac:dyDescent="0.25">
      <c r="A32" s="19"/>
      <c r="B32" s="11" t="s">
        <v>224</v>
      </c>
      <c r="C32" s="12">
        <v>187</v>
      </c>
      <c r="D32" s="12">
        <v>2</v>
      </c>
      <c r="E32" s="12">
        <v>8</v>
      </c>
      <c r="F32" s="12">
        <v>4</v>
      </c>
      <c r="G32" s="12">
        <v>17</v>
      </c>
      <c r="H32" s="12">
        <v>3</v>
      </c>
      <c r="I32" s="12">
        <v>4</v>
      </c>
      <c r="J32" s="12">
        <v>0</v>
      </c>
      <c r="K32" s="12">
        <v>7</v>
      </c>
      <c r="L32" s="12">
        <v>4</v>
      </c>
      <c r="M32" s="12">
        <v>4</v>
      </c>
      <c r="N32" s="12">
        <v>7</v>
      </c>
      <c r="O32" s="12">
        <v>21</v>
      </c>
      <c r="P32" s="12">
        <v>8</v>
      </c>
      <c r="Q32" s="12">
        <v>1</v>
      </c>
      <c r="R32" s="12">
        <v>4</v>
      </c>
      <c r="S32" s="12">
        <v>6</v>
      </c>
      <c r="T32" s="12">
        <v>4</v>
      </c>
      <c r="U32" s="12">
        <v>4</v>
      </c>
      <c r="V32" s="12">
        <v>3</v>
      </c>
      <c r="W32" s="12">
        <v>1</v>
      </c>
      <c r="X32" s="12">
        <v>1</v>
      </c>
      <c r="Y32" s="12">
        <v>0</v>
      </c>
      <c r="Z32" s="12">
        <v>4</v>
      </c>
      <c r="AA32" s="12">
        <v>11</v>
      </c>
      <c r="AB32" s="12">
        <v>28</v>
      </c>
      <c r="AC32" s="12">
        <v>3</v>
      </c>
      <c r="AD32" s="12">
        <v>3</v>
      </c>
      <c r="AE32" s="12">
        <v>6</v>
      </c>
      <c r="AF32" s="12">
        <v>1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0.01</v>
      </c>
      <c r="F33" s="15" t="s">
        <v>213</v>
      </c>
      <c r="G33" s="14">
        <v>0.02</v>
      </c>
      <c r="H33" s="15" t="s">
        <v>213</v>
      </c>
      <c r="I33" s="15" t="s">
        <v>213</v>
      </c>
      <c r="J33" s="15" t="s">
        <v>213</v>
      </c>
      <c r="K33" s="14">
        <v>0.01</v>
      </c>
      <c r="L33" s="15" t="s">
        <v>213</v>
      </c>
      <c r="M33" s="15" t="s">
        <v>213</v>
      </c>
      <c r="N33" s="14">
        <v>0.01</v>
      </c>
      <c r="O33" s="14">
        <v>0.02</v>
      </c>
      <c r="P33" s="14">
        <v>0.01</v>
      </c>
      <c r="Q33" s="15" t="s">
        <v>213</v>
      </c>
      <c r="R33" s="14">
        <v>0.01</v>
      </c>
      <c r="S33" s="14">
        <v>0.01</v>
      </c>
      <c r="T33" s="15" t="s">
        <v>213</v>
      </c>
      <c r="U33" s="14">
        <v>0.01</v>
      </c>
      <c r="V33" s="14">
        <v>0.01</v>
      </c>
      <c r="W33" s="15" t="s">
        <v>213</v>
      </c>
      <c r="X33" s="15" t="s">
        <v>213</v>
      </c>
      <c r="Y33" s="15" t="s">
        <v>213</v>
      </c>
      <c r="Z33" s="14">
        <v>0.01</v>
      </c>
      <c r="AA33" s="14">
        <v>0.01</v>
      </c>
      <c r="AB33" s="14">
        <v>0.03</v>
      </c>
      <c r="AC33" s="15" t="s">
        <v>213</v>
      </c>
      <c r="AD33" s="15" t="s">
        <v>213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3667</v>
      </c>
      <c r="D34" s="12">
        <v>165</v>
      </c>
      <c r="E34" s="12">
        <v>168</v>
      </c>
      <c r="F34" s="12">
        <v>133</v>
      </c>
      <c r="G34" s="12">
        <v>321</v>
      </c>
      <c r="H34" s="12">
        <v>247</v>
      </c>
      <c r="I34" s="12">
        <v>274</v>
      </c>
      <c r="J34" s="12">
        <v>29</v>
      </c>
      <c r="K34" s="12">
        <v>235</v>
      </c>
      <c r="L34" s="12">
        <v>119</v>
      </c>
      <c r="M34" s="12">
        <v>58</v>
      </c>
      <c r="N34" s="12">
        <v>109</v>
      </c>
      <c r="O34" s="12">
        <v>171</v>
      </c>
      <c r="P34" s="12">
        <v>116</v>
      </c>
      <c r="Q34" s="12">
        <v>55</v>
      </c>
      <c r="R34" s="12">
        <v>24</v>
      </c>
      <c r="S34" s="12">
        <v>120</v>
      </c>
      <c r="T34" s="12">
        <v>126</v>
      </c>
      <c r="U34" s="12">
        <v>70</v>
      </c>
      <c r="V34" s="12">
        <v>152</v>
      </c>
      <c r="W34" s="12">
        <v>32</v>
      </c>
      <c r="X34" s="12">
        <v>264</v>
      </c>
      <c r="Y34" s="12">
        <v>139</v>
      </c>
      <c r="Z34" s="12">
        <v>47</v>
      </c>
      <c r="AA34" s="12">
        <v>25</v>
      </c>
      <c r="AB34" s="12">
        <v>124</v>
      </c>
      <c r="AC34" s="12">
        <v>161</v>
      </c>
      <c r="AD34" s="12">
        <v>239</v>
      </c>
      <c r="AE34" s="12">
        <v>225</v>
      </c>
      <c r="AF34" s="12">
        <v>409</v>
      </c>
    </row>
    <row r="35" spans="1:32" ht="23.25" x14ac:dyDescent="0.25">
      <c r="A35" s="19"/>
      <c r="B35" s="13" t="s">
        <v>427</v>
      </c>
      <c r="C35" s="14">
        <v>0.14000000000000001</v>
      </c>
      <c r="D35" s="14">
        <v>0.16</v>
      </c>
      <c r="E35" s="14">
        <v>0.15</v>
      </c>
      <c r="F35" s="14">
        <v>0.12</v>
      </c>
      <c r="G35" s="14">
        <v>0.31</v>
      </c>
      <c r="H35" s="14">
        <v>0.2</v>
      </c>
      <c r="I35" s="14">
        <v>0.18</v>
      </c>
      <c r="J35" s="14">
        <v>0.09</v>
      </c>
      <c r="K35" s="14">
        <v>0.23</v>
      </c>
      <c r="L35" s="14">
        <v>0.12</v>
      </c>
      <c r="M35" s="14">
        <v>0.05</v>
      </c>
      <c r="N35" s="14">
        <v>0.11</v>
      </c>
      <c r="O35" s="14">
        <v>0.17</v>
      </c>
      <c r="P35" s="14">
        <v>0.12</v>
      </c>
      <c r="Q35" s="14">
        <v>0.05</v>
      </c>
      <c r="R35" s="14">
        <v>0.05</v>
      </c>
      <c r="S35" s="14">
        <v>0.12</v>
      </c>
      <c r="T35" s="14">
        <v>0.12</v>
      </c>
      <c r="U35" s="14">
        <v>0.14000000000000001</v>
      </c>
      <c r="V35" s="14">
        <v>0.15</v>
      </c>
      <c r="W35" s="14">
        <v>7.0000000000000007E-2</v>
      </c>
      <c r="X35" s="14">
        <v>0.26</v>
      </c>
      <c r="Y35" s="14">
        <v>0.14000000000000001</v>
      </c>
      <c r="Z35" s="14">
        <v>0.05</v>
      </c>
      <c r="AA35" s="14">
        <v>0.02</v>
      </c>
      <c r="AB35" s="14">
        <v>0.12</v>
      </c>
      <c r="AC35" s="14">
        <v>0.16</v>
      </c>
      <c r="AD35" s="14">
        <v>0.24</v>
      </c>
      <c r="AE35" s="14">
        <v>0.22</v>
      </c>
      <c r="AF35" s="14">
        <v>0.4</v>
      </c>
    </row>
    <row r="36" spans="1:32" ht="23.25" x14ac:dyDescent="0.25">
      <c r="A36" s="19"/>
      <c r="B36" s="11" t="s">
        <v>428</v>
      </c>
      <c r="C36" s="12">
        <v>5220</v>
      </c>
      <c r="D36" s="12">
        <v>257</v>
      </c>
      <c r="E36" s="12">
        <v>256</v>
      </c>
      <c r="F36" s="12">
        <v>227</v>
      </c>
      <c r="G36" s="12">
        <v>333</v>
      </c>
      <c r="H36" s="12">
        <v>284</v>
      </c>
      <c r="I36" s="12">
        <v>326</v>
      </c>
      <c r="J36" s="12">
        <v>43</v>
      </c>
      <c r="K36" s="12">
        <v>259</v>
      </c>
      <c r="L36" s="12">
        <v>134</v>
      </c>
      <c r="M36" s="12">
        <v>108</v>
      </c>
      <c r="N36" s="12">
        <v>156</v>
      </c>
      <c r="O36" s="12">
        <v>218</v>
      </c>
      <c r="P36" s="12">
        <v>195</v>
      </c>
      <c r="Q36" s="12">
        <v>141</v>
      </c>
      <c r="R36" s="12">
        <v>44</v>
      </c>
      <c r="S36" s="12">
        <v>169</v>
      </c>
      <c r="T36" s="12">
        <v>217</v>
      </c>
      <c r="U36" s="12">
        <v>120</v>
      </c>
      <c r="V36" s="12">
        <v>279</v>
      </c>
      <c r="W36" s="12">
        <v>60</v>
      </c>
      <c r="X36" s="12">
        <v>299</v>
      </c>
      <c r="Y36" s="12">
        <v>186</v>
      </c>
      <c r="Z36" s="12">
        <v>167</v>
      </c>
      <c r="AA36" s="12">
        <v>93</v>
      </c>
      <c r="AB36" s="12">
        <v>263</v>
      </c>
      <c r="AC36" s="12">
        <v>222</v>
      </c>
      <c r="AD36" s="12">
        <v>250</v>
      </c>
      <c r="AE36" s="12">
        <v>258</v>
      </c>
      <c r="AF36" s="12">
        <v>288</v>
      </c>
    </row>
    <row r="37" spans="1:32" ht="23.25" x14ac:dyDescent="0.25">
      <c r="A37" s="19"/>
      <c r="B37" s="13" t="s">
        <v>429</v>
      </c>
      <c r="C37" s="14">
        <v>0.2</v>
      </c>
      <c r="D37" s="14">
        <v>0.25</v>
      </c>
      <c r="E37" s="14">
        <v>0.25</v>
      </c>
      <c r="F37" s="14">
        <v>0.22</v>
      </c>
      <c r="G37" s="14">
        <v>0.33</v>
      </c>
      <c r="H37" s="14">
        <v>0.23</v>
      </c>
      <c r="I37" s="14">
        <v>0.22</v>
      </c>
      <c r="J37" s="14">
        <v>0.14000000000000001</v>
      </c>
      <c r="K37" s="14">
        <v>0.26</v>
      </c>
      <c r="L37" s="14">
        <v>0.13</v>
      </c>
      <c r="M37" s="14">
        <v>0.11</v>
      </c>
      <c r="N37" s="14">
        <v>0.15</v>
      </c>
      <c r="O37" s="14">
        <v>0.22</v>
      </c>
      <c r="P37" s="14">
        <v>0.19</v>
      </c>
      <c r="Q37" s="14">
        <v>0.14000000000000001</v>
      </c>
      <c r="R37" s="14">
        <v>0.08</v>
      </c>
      <c r="S37" s="14">
        <v>0.17</v>
      </c>
      <c r="T37" s="14">
        <v>0.21</v>
      </c>
      <c r="U37" s="14">
        <v>0.24</v>
      </c>
      <c r="V37" s="14">
        <v>0.27</v>
      </c>
      <c r="W37" s="14">
        <v>0.12</v>
      </c>
      <c r="X37" s="14">
        <v>0.28999999999999998</v>
      </c>
      <c r="Y37" s="14">
        <v>0.19</v>
      </c>
      <c r="Z37" s="14">
        <v>0.16</v>
      </c>
      <c r="AA37" s="14">
        <v>0.09</v>
      </c>
      <c r="AB37" s="14">
        <v>0.25</v>
      </c>
      <c r="AC37" s="14">
        <v>0.22</v>
      </c>
      <c r="AD37" s="14">
        <v>0.25</v>
      </c>
      <c r="AE37" s="14">
        <v>0.26</v>
      </c>
      <c r="AF37" s="14">
        <v>0.28000000000000003</v>
      </c>
    </row>
    <row r="38" spans="1:32" ht="23.25" x14ac:dyDescent="0.25">
      <c r="A38" s="19"/>
      <c r="B38" s="11" t="s">
        <v>430</v>
      </c>
      <c r="C38" s="12">
        <v>17378</v>
      </c>
      <c r="D38" s="12">
        <v>598</v>
      </c>
      <c r="E38" s="12">
        <v>613</v>
      </c>
      <c r="F38" s="12">
        <v>699</v>
      </c>
      <c r="G38" s="12">
        <v>346</v>
      </c>
      <c r="H38" s="12">
        <v>695</v>
      </c>
      <c r="I38" s="12">
        <v>923</v>
      </c>
      <c r="J38" s="12">
        <v>226</v>
      </c>
      <c r="K38" s="12">
        <v>504</v>
      </c>
      <c r="L38" s="12">
        <v>751</v>
      </c>
      <c r="M38" s="12">
        <v>837</v>
      </c>
      <c r="N38" s="12">
        <v>739</v>
      </c>
      <c r="O38" s="12">
        <v>594</v>
      </c>
      <c r="P38" s="12">
        <v>683</v>
      </c>
      <c r="Q38" s="12">
        <v>834</v>
      </c>
      <c r="R38" s="12">
        <v>429</v>
      </c>
      <c r="S38" s="12">
        <v>708</v>
      </c>
      <c r="T38" s="12">
        <v>675</v>
      </c>
      <c r="U38" s="12">
        <v>314</v>
      </c>
      <c r="V38" s="12">
        <v>591</v>
      </c>
      <c r="W38" s="12">
        <v>410</v>
      </c>
      <c r="X38" s="12">
        <v>447</v>
      </c>
      <c r="Y38" s="12">
        <v>677</v>
      </c>
      <c r="Z38" s="12">
        <v>798</v>
      </c>
      <c r="AA38" s="12">
        <v>909</v>
      </c>
      <c r="AB38" s="12">
        <v>624</v>
      </c>
      <c r="AC38" s="12">
        <v>617</v>
      </c>
      <c r="AD38" s="12">
        <v>513</v>
      </c>
      <c r="AE38" s="12">
        <v>512</v>
      </c>
      <c r="AF38" s="12">
        <v>334</v>
      </c>
    </row>
    <row r="39" spans="1:32" ht="23.25" x14ac:dyDescent="0.25">
      <c r="A39" s="19"/>
      <c r="B39" s="13" t="s">
        <v>431</v>
      </c>
      <c r="C39" s="14">
        <v>0.65</v>
      </c>
      <c r="D39" s="14">
        <v>0.59</v>
      </c>
      <c r="E39" s="14">
        <v>0.59</v>
      </c>
      <c r="F39" s="14">
        <v>0.66</v>
      </c>
      <c r="G39" s="14">
        <v>0.34</v>
      </c>
      <c r="H39" s="14">
        <v>0.57000000000000006</v>
      </c>
      <c r="I39" s="14">
        <v>0.6</v>
      </c>
      <c r="J39" s="14">
        <v>0.77</v>
      </c>
      <c r="K39" s="14">
        <v>0.5</v>
      </c>
      <c r="L39" s="14">
        <v>0.75</v>
      </c>
      <c r="M39" s="14">
        <v>0.84</v>
      </c>
      <c r="N39" s="14">
        <v>0.73</v>
      </c>
      <c r="O39" s="14">
        <v>0.59</v>
      </c>
      <c r="P39" s="14">
        <v>0.68</v>
      </c>
      <c r="Q39" s="14">
        <v>0.81</v>
      </c>
      <c r="R39" s="14">
        <v>0.86</v>
      </c>
      <c r="S39" s="14">
        <v>0.70000000000000007</v>
      </c>
      <c r="T39" s="14">
        <v>0.67</v>
      </c>
      <c r="U39" s="14">
        <v>0.61</v>
      </c>
      <c r="V39" s="14">
        <v>0.57000000000000006</v>
      </c>
      <c r="W39" s="14">
        <v>0.81</v>
      </c>
      <c r="X39" s="14">
        <v>0.45</v>
      </c>
      <c r="Y39" s="14">
        <v>0.67</v>
      </c>
      <c r="Z39" s="14">
        <v>0.78</v>
      </c>
      <c r="AA39" s="14">
        <v>0.88</v>
      </c>
      <c r="AB39" s="14">
        <v>0.6</v>
      </c>
      <c r="AC39" s="14">
        <v>0.62</v>
      </c>
      <c r="AD39" s="14">
        <v>0.51</v>
      </c>
      <c r="AE39" s="14">
        <v>0.51</v>
      </c>
      <c r="AF39" s="14">
        <v>0.32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460</v>
      </c>
      <c r="C3" s="18"/>
      <c r="D3" s="18"/>
      <c r="E3" s="18"/>
      <c r="F3" s="18"/>
      <c r="H3" s="18" t="s">
        <v>461</v>
      </c>
      <c r="I3" s="18"/>
      <c r="J3" s="18"/>
      <c r="K3" s="18"/>
      <c r="L3" s="18"/>
    </row>
    <row r="4" spans="1:32" ht="27" customHeight="1" x14ac:dyDescent="0.25">
      <c r="B4" s="18" t="s">
        <v>462</v>
      </c>
      <c r="C4" s="18"/>
      <c r="D4" s="18"/>
      <c r="E4" s="18"/>
      <c r="F4" s="18"/>
      <c r="H4" s="18" t="s">
        <v>463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642</v>
      </c>
      <c r="D12" s="12">
        <v>49</v>
      </c>
      <c r="E12" s="12">
        <v>25</v>
      </c>
      <c r="F12" s="12">
        <v>48</v>
      </c>
      <c r="G12" s="12">
        <v>36</v>
      </c>
      <c r="H12" s="12">
        <v>37</v>
      </c>
      <c r="I12" s="12">
        <v>48</v>
      </c>
      <c r="J12" s="12">
        <v>11</v>
      </c>
      <c r="K12" s="12">
        <v>87</v>
      </c>
      <c r="L12" s="12">
        <v>54</v>
      </c>
      <c r="M12" s="12">
        <v>5</v>
      </c>
      <c r="N12" s="12">
        <v>19</v>
      </c>
      <c r="O12" s="12">
        <v>24</v>
      </c>
      <c r="P12" s="12">
        <v>5</v>
      </c>
      <c r="Q12" s="12">
        <v>15</v>
      </c>
      <c r="R12" s="12">
        <v>11</v>
      </c>
      <c r="S12" s="12">
        <v>67</v>
      </c>
      <c r="T12" s="12">
        <v>70</v>
      </c>
      <c r="U12" s="12">
        <v>8</v>
      </c>
      <c r="V12" s="12">
        <v>8</v>
      </c>
      <c r="W12" s="12">
        <v>14</v>
      </c>
      <c r="X12" s="12">
        <v>38</v>
      </c>
      <c r="Y12" s="12">
        <v>45</v>
      </c>
      <c r="Z12" s="12">
        <v>6</v>
      </c>
      <c r="AA12" s="12">
        <v>3</v>
      </c>
      <c r="AB12" s="12">
        <v>20</v>
      </c>
      <c r="AC12" s="12">
        <v>27</v>
      </c>
      <c r="AD12" s="12">
        <v>26</v>
      </c>
      <c r="AE12" s="12">
        <v>34</v>
      </c>
      <c r="AF12" s="12">
        <v>50</v>
      </c>
    </row>
    <row r="13" spans="1:32" x14ac:dyDescent="0.25">
      <c r="A13" s="19"/>
      <c r="B13" s="13" t="s">
        <v>415</v>
      </c>
      <c r="C13" s="14">
        <v>0.03</v>
      </c>
      <c r="D13" s="14">
        <v>0.05</v>
      </c>
      <c r="E13" s="14">
        <v>0.02</v>
      </c>
      <c r="F13" s="14">
        <v>0.04</v>
      </c>
      <c r="G13" s="14">
        <v>0.04</v>
      </c>
      <c r="H13" s="14">
        <v>0.03</v>
      </c>
      <c r="I13" s="14">
        <v>0.03</v>
      </c>
      <c r="J13" s="14">
        <v>0.04</v>
      </c>
      <c r="K13" s="14">
        <v>0.09</v>
      </c>
      <c r="L13" s="14">
        <v>0.05</v>
      </c>
      <c r="M13" s="14">
        <v>0.01</v>
      </c>
      <c r="N13" s="14">
        <v>0.02</v>
      </c>
      <c r="O13" s="14">
        <v>0.02</v>
      </c>
      <c r="P13" s="14">
        <v>0.01</v>
      </c>
      <c r="Q13" s="14">
        <v>0.01</v>
      </c>
      <c r="R13" s="14">
        <v>0.02</v>
      </c>
      <c r="S13" s="14">
        <v>7.0000000000000007E-2</v>
      </c>
      <c r="T13" s="14">
        <v>7.0000000000000007E-2</v>
      </c>
      <c r="U13" s="14">
        <v>0.02</v>
      </c>
      <c r="V13" s="14">
        <v>0.01</v>
      </c>
      <c r="W13" s="14">
        <v>0.03</v>
      </c>
      <c r="X13" s="14">
        <v>0.04</v>
      </c>
      <c r="Y13" s="14">
        <v>0.04</v>
      </c>
      <c r="Z13" s="14">
        <v>0.01</v>
      </c>
      <c r="AA13" s="15" t="s">
        <v>213</v>
      </c>
      <c r="AB13" s="14">
        <v>0.02</v>
      </c>
      <c r="AC13" s="14">
        <v>0.03</v>
      </c>
      <c r="AD13" s="14">
        <v>0.03</v>
      </c>
      <c r="AE13" s="14">
        <v>0.03</v>
      </c>
      <c r="AF13" s="14">
        <v>0.05</v>
      </c>
    </row>
    <row r="14" spans="1:32" x14ac:dyDescent="0.25">
      <c r="A14" s="19"/>
      <c r="B14" s="11" t="s">
        <v>416</v>
      </c>
      <c r="C14" s="12">
        <v>696</v>
      </c>
      <c r="D14" s="12">
        <v>30</v>
      </c>
      <c r="E14" s="12">
        <v>17</v>
      </c>
      <c r="F14" s="12">
        <v>28</v>
      </c>
      <c r="G14" s="12">
        <v>35</v>
      </c>
      <c r="H14" s="12">
        <v>106</v>
      </c>
      <c r="I14" s="12">
        <v>115</v>
      </c>
      <c r="J14" s="12">
        <v>8</v>
      </c>
      <c r="K14" s="12">
        <v>72</v>
      </c>
      <c r="L14" s="12">
        <v>32</v>
      </c>
      <c r="M14" s="12">
        <v>5</v>
      </c>
      <c r="N14" s="12">
        <v>8</v>
      </c>
      <c r="O14" s="12">
        <v>13</v>
      </c>
      <c r="P14" s="12">
        <v>22</v>
      </c>
      <c r="Q14" s="12">
        <v>11</v>
      </c>
      <c r="R14" s="12">
        <v>1</v>
      </c>
      <c r="S14" s="12">
        <v>43</v>
      </c>
      <c r="T14" s="12">
        <v>33</v>
      </c>
      <c r="U14" s="12">
        <v>9</v>
      </c>
      <c r="V14" s="12">
        <v>11</v>
      </c>
      <c r="W14" s="12">
        <v>7</v>
      </c>
      <c r="X14" s="12">
        <v>29</v>
      </c>
      <c r="Y14" s="12">
        <v>16</v>
      </c>
      <c r="Z14" s="12">
        <v>5</v>
      </c>
      <c r="AA14" s="12">
        <v>0</v>
      </c>
      <c r="AB14" s="12">
        <v>19</v>
      </c>
      <c r="AC14" s="12">
        <v>24</v>
      </c>
      <c r="AD14" s="12">
        <v>24</v>
      </c>
      <c r="AE14" s="12">
        <v>40</v>
      </c>
      <c r="AF14" s="12">
        <v>36</v>
      </c>
    </row>
    <row r="15" spans="1:32" x14ac:dyDescent="0.25">
      <c r="A15" s="19"/>
      <c r="B15" s="13" t="s">
        <v>416</v>
      </c>
      <c r="C15" s="14">
        <v>0.03</v>
      </c>
      <c r="D15" s="14">
        <v>0.03</v>
      </c>
      <c r="E15" s="14">
        <v>0.02</v>
      </c>
      <c r="F15" s="14">
        <v>0.03</v>
      </c>
      <c r="G15" s="14">
        <v>0.03</v>
      </c>
      <c r="H15" s="14">
        <v>0.09</v>
      </c>
      <c r="I15" s="14">
        <v>7.0000000000000007E-2</v>
      </c>
      <c r="J15" s="14">
        <v>0.03</v>
      </c>
      <c r="K15" s="14">
        <v>7.0000000000000007E-2</v>
      </c>
      <c r="L15" s="14">
        <v>0.03</v>
      </c>
      <c r="M15" s="14">
        <v>0.01</v>
      </c>
      <c r="N15" s="14">
        <v>0.01</v>
      </c>
      <c r="O15" s="14">
        <v>0.01</v>
      </c>
      <c r="P15" s="14">
        <v>0.02</v>
      </c>
      <c r="Q15" s="14">
        <v>0.01</v>
      </c>
      <c r="R15" s="15" t="s">
        <v>213</v>
      </c>
      <c r="S15" s="14">
        <v>0.04</v>
      </c>
      <c r="T15" s="14">
        <v>0.03</v>
      </c>
      <c r="U15" s="14">
        <v>0.02</v>
      </c>
      <c r="V15" s="14">
        <v>0.01</v>
      </c>
      <c r="W15" s="14">
        <v>0.01</v>
      </c>
      <c r="X15" s="14">
        <v>0.03</v>
      </c>
      <c r="Y15" s="14">
        <v>0.02</v>
      </c>
      <c r="Z15" s="14">
        <v>0.01</v>
      </c>
      <c r="AA15" s="15" t="s">
        <v>213</v>
      </c>
      <c r="AB15" s="14">
        <v>0.02</v>
      </c>
      <c r="AC15" s="14">
        <v>0.02</v>
      </c>
      <c r="AD15" s="14">
        <v>0.02</v>
      </c>
      <c r="AE15" s="14">
        <v>0.04</v>
      </c>
      <c r="AF15" s="14">
        <v>0.04</v>
      </c>
    </row>
    <row r="16" spans="1:32" x14ac:dyDescent="0.25">
      <c r="A16" s="19"/>
      <c r="B16" s="11" t="s">
        <v>417</v>
      </c>
      <c r="C16" s="12">
        <v>856</v>
      </c>
      <c r="D16" s="12">
        <v>40</v>
      </c>
      <c r="E16" s="12">
        <v>31</v>
      </c>
      <c r="F16" s="12">
        <v>100</v>
      </c>
      <c r="G16" s="12">
        <v>83</v>
      </c>
      <c r="H16" s="12">
        <v>61</v>
      </c>
      <c r="I16" s="12">
        <v>73</v>
      </c>
      <c r="J16" s="12">
        <v>12</v>
      </c>
      <c r="K16" s="12">
        <v>126</v>
      </c>
      <c r="L16" s="12">
        <v>49</v>
      </c>
      <c r="M16" s="12">
        <v>10</v>
      </c>
      <c r="N16" s="12">
        <v>18</v>
      </c>
      <c r="O16" s="12">
        <v>28</v>
      </c>
      <c r="P16" s="12">
        <v>25</v>
      </c>
      <c r="Q16" s="12">
        <v>9</v>
      </c>
      <c r="R16" s="12">
        <v>13</v>
      </c>
      <c r="S16" s="12">
        <v>72</v>
      </c>
      <c r="T16" s="12">
        <v>63</v>
      </c>
      <c r="U16" s="12">
        <v>12</v>
      </c>
      <c r="V16" s="12">
        <v>31</v>
      </c>
      <c r="W16" s="12">
        <v>16</v>
      </c>
      <c r="X16" s="12">
        <v>42</v>
      </c>
      <c r="Y16" s="12">
        <v>35</v>
      </c>
      <c r="Z16" s="12">
        <v>18</v>
      </c>
      <c r="AA16" s="12">
        <v>6</v>
      </c>
      <c r="AB16" s="12">
        <v>39</v>
      </c>
      <c r="AC16" s="12">
        <v>54</v>
      </c>
      <c r="AD16" s="12">
        <v>40</v>
      </c>
      <c r="AE16" s="12">
        <v>49</v>
      </c>
      <c r="AF16" s="12">
        <v>79</v>
      </c>
    </row>
    <row r="17" spans="1:32" x14ac:dyDescent="0.25">
      <c r="A17" s="19"/>
      <c r="B17" s="13" t="s">
        <v>417</v>
      </c>
      <c r="C17" s="14">
        <v>0.03</v>
      </c>
      <c r="D17" s="14">
        <v>0.04</v>
      </c>
      <c r="E17" s="14">
        <v>0.03</v>
      </c>
      <c r="F17" s="14">
        <v>0.09</v>
      </c>
      <c r="G17" s="14">
        <v>0.08</v>
      </c>
      <c r="H17" s="14">
        <v>0.05</v>
      </c>
      <c r="I17" s="14">
        <v>0.05</v>
      </c>
      <c r="J17" s="14">
        <v>0.04</v>
      </c>
      <c r="K17" s="14">
        <v>0.13</v>
      </c>
      <c r="L17" s="14">
        <v>0.05</v>
      </c>
      <c r="M17" s="14">
        <v>0.01</v>
      </c>
      <c r="N17" s="14">
        <v>0.02</v>
      </c>
      <c r="O17" s="14">
        <v>0.03</v>
      </c>
      <c r="P17" s="14">
        <v>0.02</v>
      </c>
      <c r="Q17" s="14">
        <v>0.01</v>
      </c>
      <c r="R17" s="14">
        <v>0.02</v>
      </c>
      <c r="S17" s="14">
        <v>7.0000000000000007E-2</v>
      </c>
      <c r="T17" s="14">
        <v>0.06</v>
      </c>
      <c r="U17" s="14">
        <v>0.02</v>
      </c>
      <c r="V17" s="14">
        <v>0.03</v>
      </c>
      <c r="W17" s="14">
        <v>0.03</v>
      </c>
      <c r="X17" s="14">
        <v>0.04</v>
      </c>
      <c r="Y17" s="14">
        <v>0.03</v>
      </c>
      <c r="Z17" s="14">
        <v>0.02</v>
      </c>
      <c r="AA17" s="14">
        <v>0.01</v>
      </c>
      <c r="AB17" s="14">
        <v>0.04</v>
      </c>
      <c r="AC17" s="14">
        <v>0.06</v>
      </c>
      <c r="AD17" s="14">
        <v>0.04</v>
      </c>
      <c r="AE17" s="14">
        <v>0.05</v>
      </c>
      <c r="AF17" s="14">
        <v>0.08</v>
      </c>
    </row>
    <row r="18" spans="1:32" x14ac:dyDescent="0.25">
      <c r="A18" s="19"/>
      <c r="B18" s="11" t="s">
        <v>418</v>
      </c>
      <c r="C18" s="12">
        <v>1154</v>
      </c>
      <c r="D18" s="12">
        <v>57</v>
      </c>
      <c r="E18" s="12">
        <v>64</v>
      </c>
      <c r="F18" s="12">
        <v>144</v>
      </c>
      <c r="G18" s="12">
        <v>127</v>
      </c>
      <c r="H18" s="12">
        <v>74</v>
      </c>
      <c r="I18" s="12">
        <v>86</v>
      </c>
      <c r="J18" s="12">
        <v>11</v>
      </c>
      <c r="K18" s="12">
        <v>128</v>
      </c>
      <c r="L18" s="12">
        <v>39</v>
      </c>
      <c r="M18" s="12">
        <v>18</v>
      </c>
      <c r="N18" s="12">
        <v>22</v>
      </c>
      <c r="O18" s="12">
        <v>25</v>
      </c>
      <c r="P18" s="12">
        <v>49</v>
      </c>
      <c r="Q18" s="12">
        <v>19</v>
      </c>
      <c r="R18" s="12">
        <v>15</v>
      </c>
      <c r="S18" s="12">
        <v>82</v>
      </c>
      <c r="T18" s="12">
        <v>88</v>
      </c>
      <c r="U18" s="12">
        <v>30</v>
      </c>
      <c r="V18" s="12">
        <v>78</v>
      </c>
      <c r="W18" s="12">
        <v>19</v>
      </c>
      <c r="X18" s="12">
        <v>82</v>
      </c>
      <c r="Y18" s="12">
        <v>60</v>
      </c>
      <c r="Z18" s="12">
        <v>31</v>
      </c>
      <c r="AA18" s="12">
        <v>9</v>
      </c>
      <c r="AB18" s="12">
        <v>46</v>
      </c>
      <c r="AC18" s="12">
        <v>57</v>
      </c>
      <c r="AD18" s="12">
        <v>97</v>
      </c>
      <c r="AE18" s="12">
        <v>55</v>
      </c>
      <c r="AF18" s="12">
        <v>82</v>
      </c>
    </row>
    <row r="19" spans="1:32" x14ac:dyDescent="0.25">
      <c r="A19" s="19"/>
      <c r="B19" s="13" t="s">
        <v>418</v>
      </c>
      <c r="C19" s="14">
        <v>0.04</v>
      </c>
      <c r="D19" s="14">
        <v>0.06</v>
      </c>
      <c r="E19" s="14">
        <v>0.06</v>
      </c>
      <c r="F19" s="14">
        <v>0.14000000000000001</v>
      </c>
      <c r="G19" s="14">
        <v>0.13</v>
      </c>
      <c r="H19" s="14">
        <v>0.06</v>
      </c>
      <c r="I19" s="14">
        <v>0.06</v>
      </c>
      <c r="J19" s="14">
        <v>0.04</v>
      </c>
      <c r="K19" s="14">
        <v>0.13</v>
      </c>
      <c r="L19" s="14">
        <v>0.04</v>
      </c>
      <c r="M19" s="14">
        <v>0.02</v>
      </c>
      <c r="N19" s="14">
        <v>0.02</v>
      </c>
      <c r="O19" s="14">
        <v>0.03</v>
      </c>
      <c r="P19" s="14">
        <v>0.05</v>
      </c>
      <c r="Q19" s="14">
        <v>0.02</v>
      </c>
      <c r="R19" s="14">
        <v>0.03</v>
      </c>
      <c r="S19" s="14">
        <v>0.08</v>
      </c>
      <c r="T19" s="14">
        <v>0.09</v>
      </c>
      <c r="U19" s="14">
        <v>0.06</v>
      </c>
      <c r="V19" s="14">
        <v>0.08</v>
      </c>
      <c r="W19" s="14">
        <v>0.04</v>
      </c>
      <c r="X19" s="14">
        <v>0.08</v>
      </c>
      <c r="Y19" s="14">
        <v>0.06</v>
      </c>
      <c r="Z19" s="14">
        <v>0.03</v>
      </c>
      <c r="AA19" s="14">
        <v>0.01</v>
      </c>
      <c r="AB19" s="14">
        <v>0.04</v>
      </c>
      <c r="AC19" s="14">
        <v>0.06</v>
      </c>
      <c r="AD19" s="14">
        <v>0.1</v>
      </c>
      <c r="AE19" s="14">
        <v>0.05</v>
      </c>
      <c r="AF19" s="14">
        <v>0.08</v>
      </c>
    </row>
    <row r="20" spans="1:32" x14ac:dyDescent="0.25">
      <c r="A20" s="19"/>
      <c r="B20" s="11" t="s">
        <v>419</v>
      </c>
      <c r="C20" s="12">
        <v>2419</v>
      </c>
      <c r="D20" s="12">
        <v>123</v>
      </c>
      <c r="E20" s="12">
        <v>90</v>
      </c>
      <c r="F20" s="12">
        <v>194</v>
      </c>
      <c r="G20" s="12">
        <v>167</v>
      </c>
      <c r="H20" s="12">
        <v>149</v>
      </c>
      <c r="I20" s="12">
        <v>189</v>
      </c>
      <c r="J20" s="12">
        <v>39</v>
      </c>
      <c r="K20" s="12">
        <v>193</v>
      </c>
      <c r="L20" s="12">
        <v>98</v>
      </c>
      <c r="M20" s="12">
        <v>58</v>
      </c>
      <c r="N20" s="12">
        <v>49</v>
      </c>
      <c r="O20" s="12">
        <v>109</v>
      </c>
      <c r="P20" s="12">
        <v>65</v>
      </c>
      <c r="Q20" s="12">
        <v>40</v>
      </c>
      <c r="R20" s="12">
        <v>26</v>
      </c>
      <c r="S20" s="12">
        <v>170</v>
      </c>
      <c r="T20" s="12">
        <v>179</v>
      </c>
      <c r="U20" s="12">
        <v>52</v>
      </c>
      <c r="V20" s="12">
        <v>115</v>
      </c>
      <c r="W20" s="12">
        <v>45</v>
      </c>
      <c r="X20" s="12">
        <v>92</v>
      </c>
      <c r="Y20" s="12">
        <v>95</v>
      </c>
      <c r="Z20" s="12">
        <v>71</v>
      </c>
      <c r="AA20" s="12">
        <v>28</v>
      </c>
      <c r="AB20" s="12">
        <v>112</v>
      </c>
      <c r="AC20" s="12">
        <v>144</v>
      </c>
      <c r="AD20" s="12">
        <v>164</v>
      </c>
      <c r="AE20" s="12">
        <v>89</v>
      </c>
      <c r="AF20" s="12">
        <v>116</v>
      </c>
    </row>
    <row r="21" spans="1:32" x14ac:dyDescent="0.25">
      <c r="A21" s="19"/>
      <c r="B21" s="13" t="s">
        <v>419</v>
      </c>
      <c r="C21" s="14">
        <v>0.09</v>
      </c>
      <c r="D21" s="14">
        <v>0.12</v>
      </c>
      <c r="E21" s="14">
        <v>0.09</v>
      </c>
      <c r="F21" s="14">
        <v>0.18</v>
      </c>
      <c r="G21" s="14">
        <v>0.16</v>
      </c>
      <c r="H21" s="14">
        <v>0.12</v>
      </c>
      <c r="I21" s="14">
        <v>0.12</v>
      </c>
      <c r="J21" s="14">
        <v>0.13</v>
      </c>
      <c r="K21" s="14">
        <v>0.19</v>
      </c>
      <c r="L21" s="14">
        <v>0.1</v>
      </c>
      <c r="M21" s="14">
        <v>0.06</v>
      </c>
      <c r="N21" s="14">
        <v>0.05</v>
      </c>
      <c r="O21" s="14">
        <v>0.11</v>
      </c>
      <c r="P21" s="14">
        <v>0.06</v>
      </c>
      <c r="Q21" s="14">
        <v>0.04</v>
      </c>
      <c r="R21" s="14">
        <v>0.05</v>
      </c>
      <c r="S21" s="14">
        <v>0.17</v>
      </c>
      <c r="T21" s="14">
        <v>0.17</v>
      </c>
      <c r="U21" s="14">
        <v>0.1</v>
      </c>
      <c r="V21" s="14">
        <v>0.11</v>
      </c>
      <c r="W21" s="14">
        <v>0.09</v>
      </c>
      <c r="X21" s="14">
        <v>0.09</v>
      </c>
      <c r="Y21" s="14">
        <v>0.09</v>
      </c>
      <c r="Z21" s="14">
        <v>7.0000000000000007E-2</v>
      </c>
      <c r="AA21" s="14">
        <v>0.03</v>
      </c>
      <c r="AB21" s="14">
        <v>0.11</v>
      </c>
      <c r="AC21" s="14">
        <v>0.14000000000000001</v>
      </c>
      <c r="AD21" s="14">
        <v>0.16</v>
      </c>
      <c r="AE21" s="14">
        <v>0.09</v>
      </c>
      <c r="AF21" s="14">
        <v>0.11</v>
      </c>
    </row>
    <row r="22" spans="1:32" x14ac:dyDescent="0.25">
      <c r="A22" s="19"/>
      <c r="B22" s="11" t="s">
        <v>420</v>
      </c>
      <c r="C22" s="12">
        <v>2881</v>
      </c>
      <c r="D22" s="12">
        <v>146</v>
      </c>
      <c r="E22" s="12">
        <v>133</v>
      </c>
      <c r="F22" s="12">
        <v>111</v>
      </c>
      <c r="G22" s="12">
        <v>107</v>
      </c>
      <c r="H22" s="12">
        <v>131</v>
      </c>
      <c r="I22" s="12">
        <v>176</v>
      </c>
      <c r="J22" s="12">
        <v>45</v>
      </c>
      <c r="K22" s="12">
        <v>113</v>
      </c>
      <c r="L22" s="12">
        <v>89</v>
      </c>
      <c r="M22" s="12">
        <v>63</v>
      </c>
      <c r="N22" s="12">
        <v>91</v>
      </c>
      <c r="O22" s="12">
        <v>101</v>
      </c>
      <c r="P22" s="12">
        <v>99</v>
      </c>
      <c r="Q22" s="12">
        <v>81</v>
      </c>
      <c r="R22" s="12">
        <v>34</v>
      </c>
      <c r="S22" s="12">
        <v>104</v>
      </c>
      <c r="T22" s="12">
        <v>112</v>
      </c>
      <c r="U22" s="12">
        <v>71</v>
      </c>
      <c r="V22" s="12">
        <v>159</v>
      </c>
      <c r="W22" s="12">
        <v>46</v>
      </c>
      <c r="X22" s="12">
        <v>146</v>
      </c>
      <c r="Y22" s="12">
        <v>128</v>
      </c>
      <c r="Z22" s="12">
        <v>153</v>
      </c>
      <c r="AA22" s="12">
        <v>41</v>
      </c>
      <c r="AB22" s="12">
        <v>158</v>
      </c>
      <c r="AC22" s="12">
        <v>110</v>
      </c>
      <c r="AD22" s="12">
        <v>126</v>
      </c>
      <c r="AE22" s="12">
        <v>109</v>
      </c>
      <c r="AF22" s="12">
        <v>126</v>
      </c>
    </row>
    <row r="23" spans="1:32" x14ac:dyDescent="0.25">
      <c r="A23" s="19"/>
      <c r="B23" s="13" t="s">
        <v>420</v>
      </c>
      <c r="C23" s="14">
        <v>0.11</v>
      </c>
      <c r="D23" s="14">
        <v>0.14000000000000001</v>
      </c>
      <c r="E23" s="14">
        <v>0.13</v>
      </c>
      <c r="F23" s="14">
        <v>0.1</v>
      </c>
      <c r="G23" s="14">
        <v>0.11</v>
      </c>
      <c r="H23" s="14">
        <v>0.11</v>
      </c>
      <c r="I23" s="14">
        <v>0.12</v>
      </c>
      <c r="J23" s="14">
        <v>0.15</v>
      </c>
      <c r="K23" s="14">
        <v>0.11</v>
      </c>
      <c r="L23" s="14">
        <v>0.09</v>
      </c>
      <c r="M23" s="14">
        <v>0.06</v>
      </c>
      <c r="N23" s="14">
        <v>0.09</v>
      </c>
      <c r="O23" s="14">
        <v>0.1</v>
      </c>
      <c r="P23" s="14">
        <v>0.1</v>
      </c>
      <c r="Q23" s="14">
        <v>0.08</v>
      </c>
      <c r="R23" s="14">
        <v>7.0000000000000007E-2</v>
      </c>
      <c r="S23" s="14">
        <v>0.1</v>
      </c>
      <c r="T23" s="14">
        <v>0.11</v>
      </c>
      <c r="U23" s="14">
        <v>0.14000000000000001</v>
      </c>
      <c r="V23" s="14">
        <v>0.16</v>
      </c>
      <c r="W23" s="14">
        <v>0.09</v>
      </c>
      <c r="X23" s="14">
        <v>0.15</v>
      </c>
      <c r="Y23" s="14">
        <v>0.13</v>
      </c>
      <c r="Z23" s="14">
        <v>0.15</v>
      </c>
      <c r="AA23" s="14">
        <v>0.04</v>
      </c>
      <c r="AB23" s="14">
        <v>0.15</v>
      </c>
      <c r="AC23" s="14">
        <v>0.11</v>
      </c>
      <c r="AD23" s="14">
        <v>0.13</v>
      </c>
      <c r="AE23" s="14">
        <v>0.11</v>
      </c>
      <c r="AF23" s="14">
        <v>0.12</v>
      </c>
    </row>
    <row r="24" spans="1:32" x14ac:dyDescent="0.25">
      <c r="A24" s="19"/>
      <c r="B24" s="11" t="s">
        <v>421</v>
      </c>
      <c r="C24" s="12">
        <v>4319</v>
      </c>
      <c r="D24" s="12">
        <v>188</v>
      </c>
      <c r="E24" s="12">
        <v>148</v>
      </c>
      <c r="F24" s="12">
        <v>147</v>
      </c>
      <c r="G24" s="12">
        <v>161</v>
      </c>
      <c r="H24" s="12">
        <v>175</v>
      </c>
      <c r="I24" s="12">
        <v>225</v>
      </c>
      <c r="J24" s="12">
        <v>50</v>
      </c>
      <c r="K24" s="12">
        <v>93</v>
      </c>
      <c r="L24" s="12">
        <v>172</v>
      </c>
      <c r="M24" s="12">
        <v>183</v>
      </c>
      <c r="N24" s="12">
        <v>129</v>
      </c>
      <c r="O24" s="12">
        <v>157</v>
      </c>
      <c r="P24" s="12">
        <v>152</v>
      </c>
      <c r="Q24" s="12">
        <v>150</v>
      </c>
      <c r="R24" s="12">
        <v>94</v>
      </c>
      <c r="S24" s="12">
        <v>123</v>
      </c>
      <c r="T24" s="12">
        <v>132</v>
      </c>
      <c r="U24" s="12">
        <v>79</v>
      </c>
      <c r="V24" s="12">
        <v>187</v>
      </c>
      <c r="W24" s="12">
        <v>54</v>
      </c>
      <c r="X24" s="12">
        <v>251</v>
      </c>
      <c r="Y24" s="12">
        <v>156</v>
      </c>
      <c r="Z24" s="12">
        <v>237</v>
      </c>
      <c r="AA24" s="12">
        <v>145</v>
      </c>
      <c r="AB24" s="12">
        <v>213</v>
      </c>
      <c r="AC24" s="12">
        <v>139</v>
      </c>
      <c r="AD24" s="12">
        <v>202</v>
      </c>
      <c r="AE24" s="12">
        <v>167</v>
      </c>
      <c r="AF24" s="12">
        <v>178</v>
      </c>
    </row>
    <row r="25" spans="1:32" x14ac:dyDescent="0.25">
      <c r="A25" s="19"/>
      <c r="B25" s="13" t="s">
        <v>421</v>
      </c>
      <c r="C25" s="14">
        <v>0.16</v>
      </c>
      <c r="D25" s="14">
        <v>0.18</v>
      </c>
      <c r="E25" s="14">
        <v>0.14000000000000001</v>
      </c>
      <c r="F25" s="14">
        <v>0.14000000000000001</v>
      </c>
      <c r="G25" s="14">
        <v>0.16</v>
      </c>
      <c r="H25" s="14">
        <v>0.14000000000000001</v>
      </c>
      <c r="I25" s="14">
        <v>0.15</v>
      </c>
      <c r="J25" s="14">
        <v>0.17</v>
      </c>
      <c r="K25" s="14">
        <v>0.09</v>
      </c>
      <c r="L25" s="14">
        <v>0.17</v>
      </c>
      <c r="M25" s="14">
        <v>0.18</v>
      </c>
      <c r="N25" s="14">
        <v>0.13</v>
      </c>
      <c r="O25" s="14">
        <v>0.16</v>
      </c>
      <c r="P25" s="14">
        <v>0.15</v>
      </c>
      <c r="Q25" s="14">
        <v>0.14000000000000001</v>
      </c>
      <c r="R25" s="14">
        <v>0.19</v>
      </c>
      <c r="S25" s="14">
        <v>0.12</v>
      </c>
      <c r="T25" s="14">
        <v>0.13</v>
      </c>
      <c r="U25" s="14">
        <v>0.16</v>
      </c>
      <c r="V25" s="14">
        <v>0.18</v>
      </c>
      <c r="W25" s="14">
        <v>0.11</v>
      </c>
      <c r="X25" s="14">
        <v>0.25</v>
      </c>
      <c r="Y25" s="14">
        <v>0.16</v>
      </c>
      <c r="Z25" s="14">
        <v>0.23</v>
      </c>
      <c r="AA25" s="14">
        <v>0.14000000000000001</v>
      </c>
      <c r="AB25" s="14">
        <v>0.2</v>
      </c>
      <c r="AC25" s="14">
        <v>0.14000000000000001</v>
      </c>
      <c r="AD25" s="14">
        <v>0.2</v>
      </c>
      <c r="AE25" s="14">
        <v>0.17</v>
      </c>
      <c r="AF25" s="14">
        <v>0.17</v>
      </c>
    </row>
    <row r="26" spans="1:32" x14ac:dyDescent="0.25">
      <c r="A26" s="19"/>
      <c r="B26" s="11" t="s">
        <v>422</v>
      </c>
      <c r="C26" s="12">
        <v>5635</v>
      </c>
      <c r="D26" s="12">
        <v>213</v>
      </c>
      <c r="E26" s="12">
        <v>195</v>
      </c>
      <c r="F26" s="12">
        <v>134</v>
      </c>
      <c r="G26" s="12">
        <v>136</v>
      </c>
      <c r="H26" s="12">
        <v>240</v>
      </c>
      <c r="I26" s="12">
        <v>294</v>
      </c>
      <c r="J26" s="12">
        <v>53</v>
      </c>
      <c r="K26" s="12">
        <v>87</v>
      </c>
      <c r="L26" s="12">
        <v>210</v>
      </c>
      <c r="M26" s="12">
        <v>304</v>
      </c>
      <c r="N26" s="12">
        <v>220</v>
      </c>
      <c r="O26" s="12">
        <v>231</v>
      </c>
      <c r="P26" s="12">
        <v>207</v>
      </c>
      <c r="Q26" s="12">
        <v>266</v>
      </c>
      <c r="R26" s="12">
        <v>98</v>
      </c>
      <c r="S26" s="12">
        <v>149</v>
      </c>
      <c r="T26" s="12">
        <v>166</v>
      </c>
      <c r="U26" s="12">
        <v>68</v>
      </c>
      <c r="V26" s="12">
        <v>217</v>
      </c>
      <c r="W26" s="12">
        <v>116</v>
      </c>
      <c r="X26" s="12">
        <v>206</v>
      </c>
      <c r="Y26" s="12">
        <v>162</v>
      </c>
      <c r="Z26" s="12">
        <v>230</v>
      </c>
      <c r="AA26" s="12">
        <v>275</v>
      </c>
      <c r="AB26" s="12">
        <v>206</v>
      </c>
      <c r="AC26" s="12">
        <v>172</v>
      </c>
      <c r="AD26" s="12">
        <v>167</v>
      </c>
      <c r="AE26" s="12">
        <v>183</v>
      </c>
      <c r="AF26" s="12">
        <v>146</v>
      </c>
    </row>
    <row r="27" spans="1:32" x14ac:dyDescent="0.25">
      <c r="A27" s="19"/>
      <c r="B27" s="13" t="s">
        <v>422</v>
      </c>
      <c r="C27" s="14">
        <v>0.21</v>
      </c>
      <c r="D27" s="14">
        <v>0.21</v>
      </c>
      <c r="E27" s="14">
        <v>0.19</v>
      </c>
      <c r="F27" s="14">
        <v>0.13</v>
      </c>
      <c r="G27" s="14">
        <v>0.13</v>
      </c>
      <c r="H27" s="14">
        <v>0.2</v>
      </c>
      <c r="I27" s="14">
        <v>0.19</v>
      </c>
      <c r="J27" s="14">
        <v>0.18</v>
      </c>
      <c r="K27" s="14">
        <v>0.09</v>
      </c>
      <c r="L27" s="14">
        <v>0.21</v>
      </c>
      <c r="M27" s="14">
        <v>0.3</v>
      </c>
      <c r="N27" s="14">
        <v>0.22</v>
      </c>
      <c r="O27" s="14">
        <v>0.23</v>
      </c>
      <c r="P27" s="14">
        <v>0.21</v>
      </c>
      <c r="Q27" s="14">
        <v>0.26</v>
      </c>
      <c r="R27" s="14">
        <v>0.2</v>
      </c>
      <c r="S27" s="14">
        <v>0.15</v>
      </c>
      <c r="T27" s="14">
        <v>0.16</v>
      </c>
      <c r="U27" s="14">
        <v>0.13</v>
      </c>
      <c r="V27" s="14">
        <v>0.21</v>
      </c>
      <c r="W27" s="14">
        <v>0.23</v>
      </c>
      <c r="X27" s="14">
        <v>0.2</v>
      </c>
      <c r="Y27" s="14">
        <v>0.16</v>
      </c>
      <c r="Z27" s="14">
        <v>0.23</v>
      </c>
      <c r="AA27" s="14">
        <v>0.26</v>
      </c>
      <c r="AB27" s="14">
        <v>0.2</v>
      </c>
      <c r="AC27" s="14">
        <v>0.17</v>
      </c>
      <c r="AD27" s="14">
        <v>0.17</v>
      </c>
      <c r="AE27" s="14">
        <v>0.18</v>
      </c>
      <c r="AF27" s="14">
        <v>0.14000000000000001</v>
      </c>
    </row>
    <row r="28" spans="1:32" x14ac:dyDescent="0.25">
      <c r="A28" s="19"/>
      <c r="B28" s="11" t="s">
        <v>423</v>
      </c>
      <c r="C28" s="12">
        <v>3158</v>
      </c>
      <c r="D28" s="12">
        <v>89</v>
      </c>
      <c r="E28" s="12">
        <v>110</v>
      </c>
      <c r="F28" s="12">
        <v>67</v>
      </c>
      <c r="G28" s="12">
        <v>74</v>
      </c>
      <c r="H28" s="12">
        <v>98</v>
      </c>
      <c r="I28" s="12">
        <v>123</v>
      </c>
      <c r="J28" s="12">
        <v>25</v>
      </c>
      <c r="K28" s="12">
        <v>38</v>
      </c>
      <c r="L28" s="12">
        <v>91</v>
      </c>
      <c r="M28" s="12">
        <v>195</v>
      </c>
      <c r="N28" s="12">
        <v>177</v>
      </c>
      <c r="O28" s="12">
        <v>123</v>
      </c>
      <c r="P28" s="12">
        <v>117</v>
      </c>
      <c r="Q28" s="12">
        <v>182</v>
      </c>
      <c r="R28" s="12">
        <v>79</v>
      </c>
      <c r="S28" s="12">
        <v>57</v>
      </c>
      <c r="T28" s="12">
        <v>54</v>
      </c>
      <c r="U28" s="12">
        <v>57</v>
      </c>
      <c r="V28" s="12">
        <v>75</v>
      </c>
      <c r="W28" s="12">
        <v>93</v>
      </c>
      <c r="X28" s="12">
        <v>64</v>
      </c>
      <c r="Y28" s="12">
        <v>106</v>
      </c>
      <c r="Z28" s="12">
        <v>116</v>
      </c>
      <c r="AA28" s="12">
        <v>167</v>
      </c>
      <c r="AB28" s="12">
        <v>120</v>
      </c>
      <c r="AC28" s="12">
        <v>74</v>
      </c>
      <c r="AD28" s="12">
        <v>86</v>
      </c>
      <c r="AE28" s="12">
        <v>136</v>
      </c>
      <c r="AF28" s="12">
        <v>73</v>
      </c>
    </row>
    <row r="29" spans="1:32" x14ac:dyDescent="0.25">
      <c r="A29" s="19"/>
      <c r="B29" s="13" t="s">
        <v>423</v>
      </c>
      <c r="C29" s="14">
        <v>0.12</v>
      </c>
      <c r="D29" s="14">
        <v>0.09</v>
      </c>
      <c r="E29" s="14">
        <v>0.1</v>
      </c>
      <c r="F29" s="14">
        <v>0.06</v>
      </c>
      <c r="G29" s="14">
        <v>7.0000000000000007E-2</v>
      </c>
      <c r="H29" s="14">
        <v>0.08</v>
      </c>
      <c r="I29" s="14">
        <v>0.08</v>
      </c>
      <c r="J29" s="14">
        <v>0.08</v>
      </c>
      <c r="K29" s="14">
        <v>0.04</v>
      </c>
      <c r="L29" s="14">
        <v>0.09</v>
      </c>
      <c r="M29" s="14">
        <v>0.19</v>
      </c>
      <c r="N29" s="14">
        <v>0.17</v>
      </c>
      <c r="O29" s="14">
        <v>0.12</v>
      </c>
      <c r="P29" s="14">
        <v>0.12</v>
      </c>
      <c r="Q29" s="14">
        <v>0.18</v>
      </c>
      <c r="R29" s="14">
        <v>0.16</v>
      </c>
      <c r="S29" s="14">
        <v>0.06</v>
      </c>
      <c r="T29" s="14">
        <v>0.05</v>
      </c>
      <c r="U29" s="14">
        <v>0.11</v>
      </c>
      <c r="V29" s="14">
        <v>7.0000000000000007E-2</v>
      </c>
      <c r="W29" s="14">
        <v>0.19</v>
      </c>
      <c r="X29" s="14">
        <v>0.06</v>
      </c>
      <c r="Y29" s="14">
        <v>0.11</v>
      </c>
      <c r="Z29" s="14">
        <v>0.11</v>
      </c>
      <c r="AA29" s="14">
        <v>0.16</v>
      </c>
      <c r="AB29" s="14">
        <v>0.12</v>
      </c>
      <c r="AC29" s="14">
        <v>7.0000000000000007E-2</v>
      </c>
      <c r="AD29" s="14">
        <v>0.08</v>
      </c>
      <c r="AE29" s="14">
        <v>0.14000000000000001</v>
      </c>
      <c r="AF29" s="14">
        <v>7.0000000000000007E-2</v>
      </c>
    </row>
    <row r="30" spans="1:32" ht="23.25" x14ac:dyDescent="0.25">
      <c r="A30" s="19"/>
      <c r="B30" s="11" t="s">
        <v>424</v>
      </c>
      <c r="C30" s="12">
        <v>4582</v>
      </c>
      <c r="D30" s="12">
        <v>86</v>
      </c>
      <c r="E30" s="12">
        <v>227</v>
      </c>
      <c r="F30" s="12">
        <v>90</v>
      </c>
      <c r="G30" s="12">
        <v>77</v>
      </c>
      <c r="H30" s="12">
        <v>154</v>
      </c>
      <c r="I30" s="12">
        <v>195</v>
      </c>
      <c r="J30" s="12">
        <v>41</v>
      </c>
      <c r="K30" s="12">
        <v>65</v>
      </c>
      <c r="L30" s="12">
        <v>169</v>
      </c>
      <c r="M30" s="12">
        <v>166</v>
      </c>
      <c r="N30" s="12">
        <v>277</v>
      </c>
      <c r="O30" s="12">
        <v>181</v>
      </c>
      <c r="P30" s="12">
        <v>251</v>
      </c>
      <c r="Q30" s="12">
        <v>256</v>
      </c>
      <c r="R30" s="12">
        <v>125</v>
      </c>
      <c r="S30" s="12">
        <v>132</v>
      </c>
      <c r="T30" s="12">
        <v>117</v>
      </c>
      <c r="U30" s="12">
        <v>122</v>
      </c>
      <c r="V30" s="12">
        <v>143</v>
      </c>
      <c r="W30" s="12">
        <v>90</v>
      </c>
      <c r="X30" s="12">
        <v>60</v>
      </c>
      <c r="Y30" s="12">
        <v>194</v>
      </c>
      <c r="Z30" s="12">
        <v>147</v>
      </c>
      <c r="AA30" s="12">
        <v>361</v>
      </c>
      <c r="AB30" s="12">
        <v>99</v>
      </c>
      <c r="AC30" s="12">
        <v>204</v>
      </c>
      <c r="AD30" s="12">
        <v>71</v>
      </c>
      <c r="AE30" s="12">
        <v>132</v>
      </c>
      <c r="AF30" s="12">
        <v>146</v>
      </c>
    </row>
    <row r="31" spans="1:32" x14ac:dyDescent="0.25">
      <c r="A31" s="19"/>
      <c r="B31" s="13" t="s">
        <v>425</v>
      </c>
      <c r="C31" s="14">
        <v>0.17</v>
      </c>
      <c r="D31" s="14">
        <v>0.08</v>
      </c>
      <c r="E31" s="14">
        <v>0.22</v>
      </c>
      <c r="F31" s="14">
        <v>0.09</v>
      </c>
      <c r="G31" s="14">
        <v>0.08</v>
      </c>
      <c r="H31" s="14">
        <v>0.12</v>
      </c>
      <c r="I31" s="14">
        <v>0.13</v>
      </c>
      <c r="J31" s="14">
        <v>0.14000000000000001</v>
      </c>
      <c r="K31" s="14">
        <v>0.06</v>
      </c>
      <c r="L31" s="14">
        <v>0.17</v>
      </c>
      <c r="M31" s="14">
        <v>0.16</v>
      </c>
      <c r="N31" s="14">
        <v>0.27</v>
      </c>
      <c r="O31" s="14">
        <v>0.18</v>
      </c>
      <c r="P31" s="14">
        <v>0.25</v>
      </c>
      <c r="Q31" s="14">
        <v>0.25</v>
      </c>
      <c r="R31" s="14">
        <v>0.25</v>
      </c>
      <c r="S31" s="14">
        <v>0.13</v>
      </c>
      <c r="T31" s="14">
        <v>0.12</v>
      </c>
      <c r="U31" s="14">
        <v>0.24</v>
      </c>
      <c r="V31" s="14">
        <v>0.14000000000000001</v>
      </c>
      <c r="W31" s="14">
        <v>0.18</v>
      </c>
      <c r="X31" s="14">
        <v>0.06</v>
      </c>
      <c r="Y31" s="14">
        <v>0.19</v>
      </c>
      <c r="Z31" s="14">
        <v>0.14000000000000001</v>
      </c>
      <c r="AA31" s="14">
        <v>0.35</v>
      </c>
      <c r="AB31" s="14">
        <v>0.09</v>
      </c>
      <c r="AC31" s="14">
        <v>0.2</v>
      </c>
      <c r="AD31" s="14">
        <v>7.0000000000000007E-2</v>
      </c>
      <c r="AE31" s="14">
        <v>0.13</v>
      </c>
      <c r="AF31" s="14">
        <v>0.14000000000000001</v>
      </c>
    </row>
    <row r="32" spans="1:32" x14ac:dyDescent="0.25">
      <c r="A32" s="19"/>
      <c r="B32" s="11" t="s">
        <v>224</v>
      </c>
      <c r="C32" s="12">
        <v>111</v>
      </c>
      <c r="D32" s="12">
        <v>1</v>
      </c>
      <c r="E32" s="12">
        <v>5</v>
      </c>
      <c r="F32" s="12">
        <v>1</v>
      </c>
      <c r="G32" s="12">
        <v>13</v>
      </c>
      <c r="H32" s="12">
        <v>4</v>
      </c>
      <c r="I32" s="12">
        <v>5</v>
      </c>
      <c r="J32" s="12">
        <v>0</v>
      </c>
      <c r="K32" s="12">
        <v>5</v>
      </c>
      <c r="L32" s="12">
        <v>4</v>
      </c>
      <c r="M32" s="12">
        <v>1</v>
      </c>
      <c r="N32" s="12">
        <v>1</v>
      </c>
      <c r="O32" s="12">
        <v>12</v>
      </c>
      <c r="P32" s="12">
        <v>9</v>
      </c>
      <c r="Q32" s="12">
        <v>1</v>
      </c>
      <c r="R32" s="12">
        <v>4</v>
      </c>
      <c r="S32" s="12">
        <v>6</v>
      </c>
      <c r="T32" s="12">
        <v>8</v>
      </c>
      <c r="U32" s="12">
        <v>0</v>
      </c>
      <c r="V32" s="12">
        <v>3</v>
      </c>
      <c r="W32" s="12">
        <v>1</v>
      </c>
      <c r="X32" s="12">
        <v>1</v>
      </c>
      <c r="Y32" s="12">
        <v>6</v>
      </c>
      <c r="Z32" s="12">
        <v>3</v>
      </c>
      <c r="AA32" s="12">
        <v>3</v>
      </c>
      <c r="AB32" s="12">
        <v>10</v>
      </c>
      <c r="AC32" s="12">
        <v>0</v>
      </c>
      <c r="AD32" s="12">
        <v>0</v>
      </c>
      <c r="AE32" s="12">
        <v>7</v>
      </c>
      <c r="AF32" s="12">
        <v>0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5" t="s">
        <v>213</v>
      </c>
      <c r="F33" s="15" t="s">
        <v>213</v>
      </c>
      <c r="G33" s="14">
        <v>0.01</v>
      </c>
      <c r="H33" s="15" t="s">
        <v>213</v>
      </c>
      <c r="I33" s="15" t="s">
        <v>213</v>
      </c>
      <c r="J33" s="15" t="s">
        <v>213</v>
      </c>
      <c r="K33" s="15" t="s">
        <v>213</v>
      </c>
      <c r="L33" s="15" t="s">
        <v>213</v>
      </c>
      <c r="M33" s="15" t="s">
        <v>213</v>
      </c>
      <c r="N33" s="15" t="s">
        <v>213</v>
      </c>
      <c r="O33" s="14">
        <v>0.01</v>
      </c>
      <c r="P33" s="14">
        <v>0.01</v>
      </c>
      <c r="Q33" s="15" t="s">
        <v>213</v>
      </c>
      <c r="R33" s="14">
        <v>0.01</v>
      </c>
      <c r="S33" s="14">
        <v>0.01</v>
      </c>
      <c r="T33" s="14">
        <v>0.01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4">
        <v>0.01</v>
      </c>
      <c r="Z33" s="15" t="s">
        <v>213</v>
      </c>
      <c r="AA33" s="15" t="s">
        <v>213</v>
      </c>
      <c r="AB33" s="14">
        <v>0.01</v>
      </c>
      <c r="AC33" s="15" t="s">
        <v>213</v>
      </c>
      <c r="AD33" s="15" t="s">
        <v>213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3348</v>
      </c>
      <c r="D34" s="12">
        <v>176</v>
      </c>
      <c r="E34" s="12">
        <v>137</v>
      </c>
      <c r="F34" s="12">
        <v>320</v>
      </c>
      <c r="G34" s="12">
        <v>281</v>
      </c>
      <c r="H34" s="12">
        <v>278</v>
      </c>
      <c r="I34" s="12">
        <v>322</v>
      </c>
      <c r="J34" s="12">
        <v>42</v>
      </c>
      <c r="K34" s="12">
        <v>413</v>
      </c>
      <c r="L34" s="12">
        <v>174</v>
      </c>
      <c r="M34" s="12">
        <v>38</v>
      </c>
      <c r="N34" s="12">
        <v>67</v>
      </c>
      <c r="O34" s="12">
        <v>90</v>
      </c>
      <c r="P34" s="12">
        <v>101</v>
      </c>
      <c r="Q34" s="12">
        <v>54</v>
      </c>
      <c r="R34" s="12">
        <v>40</v>
      </c>
      <c r="S34" s="12">
        <v>264</v>
      </c>
      <c r="T34" s="12">
        <v>254</v>
      </c>
      <c r="U34" s="12">
        <v>59</v>
      </c>
      <c r="V34" s="12">
        <v>128</v>
      </c>
      <c r="W34" s="12">
        <v>56</v>
      </c>
      <c r="X34" s="12">
        <v>191</v>
      </c>
      <c r="Y34" s="12">
        <v>156</v>
      </c>
      <c r="Z34" s="12">
        <v>60</v>
      </c>
      <c r="AA34" s="12">
        <v>18</v>
      </c>
      <c r="AB34" s="12">
        <v>124</v>
      </c>
      <c r="AC34" s="12">
        <v>162</v>
      </c>
      <c r="AD34" s="12">
        <v>187</v>
      </c>
      <c r="AE34" s="12">
        <v>178</v>
      </c>
      <c r="AF34" s="12">
        <v>247</v>
      </c>
    </row>
    <row r="35" spans="1:32" ht="23.25" x14ac:dyDescent="0.25">
      <c r="A35" s="19"/>
      <c r="B35" s="13" t="s">
        <v>427</v>
      </c>
      <c r="C35" s="14">
        <v>0.13</v>
      </c>
      <c r="D35" s="14">
        <v>0.18</v>
      </c>
      <c r="E35" s="14">
        <v>0.13</v>
      </c>
      <c r="F35" s="14">
        <v>0.3</v>
      </c>
      <c r="G35" s="14">
        <v>0.28000000000000003</v>
      </c>
      <c r="H35" s="14">
        <v>0.23</v>
      </c>
      <c r="I35" s="14">
        <v>0.21</v>
      </c>
      <c r="J35" s="14">
        <v>0.15</v>
      </c>
      <c r="K35" s="14">
        <v>0.42</v>
      </c>
      <c r="L35" s="14">
        <v>0.17</v>
      </c>
      <c r="M35" s="14">
        <v>0.05</v>
      </c>
      <c r="N35" s="14">
        <v>7.0000000000000007E-2</v>
      </c>
      <c r="O35" s="14">
        <v>0.09</v>
      </c>
      <c r="P35" s="14">
        <v>0.1</v>
      </c>
      <c r="Q35" s="14">
        <v>0.05</v>
      </c>
      <c r="R35" s="14">
        <v>7.0000000000000007E-2</v>
      </c>
      <c r="S35" s="14">
        <v>0.26</v>
      </c>
      <c r="T35" s="14">
        <v>0.25</v>
      </c>
      <c r="U35" s="14">
        <v>0.12</v>
      </c>
      <c r="V35" s="14">
        <v>0.13</v>
      </c>
      <c r="W35" s="14">
        <v>0.11</v>
      </c>
      <c r="X35" s="14">
        <v>0.19</v>
      </c>
      <c r="Y35" s="14">
        <v>0.15</v>
      </c>
      <c r="Z35" s="14">
        <v>7.0000000000000007E-2</v>
      </c>
      <c r="AA35" s="14">
        <v>0.02</v>
      </c>
      <c r="AB35" s="14">
        <v>0.12</v>
      </c>
      <c r="AC35" s="14">
        <v>0.17</v>
      </c>
      <c r="AD35" s="14">
        <v>0.19</v>
      </c>
      <c r="AE35" s="14">
        <v>0.17</v>
      </c>
      <c r="AF35" s="14">
        <v>0.25</v>
      </c>
    </row>
    <row r="36" spans="1:32" ht="23.25" x14ac:dyDescent="0.25">
      <c r="A36" s="19"/>
      <c r="B36" s="11" t="s">
        <v>428</v>
      </c>
      <c r="C36" s="12">
        <v>5300</v>
      </c>
      <c r="D36" s="12">
        <v>269</v>
      </c>
      <c r="E36" s="12">
        <v>223</v>
      </c>
      <c r="F36" s="12">
        <v>305</v>
      </c>
      <c r="G36" s="12">
        <v>274</v>
      </c>
      <c r="H36" s="12">
        <v>280</v>
      </c>
      <c r="I36" s="12">
        <v>365</v>
      </c>
      <c r="J36" s="12">
        <v>84</v>
      </c>
      <c r="K36" s="12">
        <v>306</v>
      </c>
      <c r="L36" s="12">
        <v>187</v>
      </c>
      <c r="M36" s="12">
        <v>121</v>
      </c>
      <c r="N36" s="12">
        <v>140</v>
      </c>
      <c r="O36" s="12">
        <v>210</v>
      </c>
      <c r="P36" s="12">
        <v>164</v>
      </c>
      <c r="Q36" s="12">
        <v>121</v>
      </c>
      <c r="R36" s="12">
        <v>60</v>
      </c>
      <c r="S36" s="12">
        <v>274</v>
      </c>
      <c r="T36" s="12">
        <v>291</v>
      </c>
      <c r="U36" s="12">
        <v>123</v>
      </c>
      <c r="V36" s="12">
        <v>274</v>
      </c>
      <c r="W36" s="12">
        <v>91</v>
      </c>
      <c r="X36" s="12">
        <v>238</v>
      </c>
      <c r="Y36" s="12">
        <v>223</v>
      </c>
      <c r="Z36" s="12">
        <v>224</v>
      </c>
      <c r="AA36" s="12">
        <v>69</v>
      </c>
      <c r="AB36" s="12">
        <v>270</v>
      </c>
      <c r="AC36" s="12">
        <v>254</v>
      </c>
      <c r="AD36" s="12">
        <v>290</v>
      </c>
      <c r="AE36" s="12">
        <v>198</v>
      </c>
      <c r="AF36" s="12">
        <v>242</v>
      </c>
    </row>
    <row r="37" spans="1:32" ht="23.25" x14ac:dyDescent="0.25">
      <c r="A37" s="19"/>
      <c r="B37" s="13" t="s">
        <v>429</v>
      </c>
      <c r="C37" s="14">
        <v>0.2</v>
      </c>
      <c r="D37" s="14">
        <v>0.26</v>
      </c>
      <c r="E37" s="14">
        <v>0.22</v>
      </c>
      <c r="F37" s="14">
        <v>0.28000000000000003</v>
      </c>
      <c r="G37" s="14">
        <v>0.27</v>
      </c>
      <c r="H37" s="14">
        <v>0.23</v>
      </c>
      <c r="I37" s="14">
        <v>0.24</v>
      </c>
      <c r="J37" s="14">
        <v>0.28000000000000003</v>
      </c>
      <c r="K37" s="14">
        <v>0.3</v>
      </c>
      <c r="L37" s="14">
        <v>0.19</v>
      </c>
      <c r="M37" s="14">
        <v>0.12</v>
      </c>
      <c r="N37" s="14">
        <v>0.14000000000000001</v>
      </c>
      <c r="O37" s="14">
        <v>0.21</v>
      </c>
      <c r="P37" s="14">
        <v>0.16</v>
      </c>
      <c r="Q37" s="14">
        <v>0.12</v>
      </c>
      <c r="R37" s="14">
        <v>0.12</v>
      </c>
      <c r="S37" s="14">
        <v>0.27</v>
      </c>
      <c r="T37" s="14">
        <v>0.28000000000000003</v>
      </c>
      <c r="U37" s="14">
        <v>0.24</v>
      </c>
      <c r="V37" s="14">
        <v>0.27</v>
      </c>
      <c r="W37" s="14">
        <v>0.18</v>
      </c>
      <c r="X37" s="14">
        <v>0.24</v>
      </c>
      <c r="Y37" s="14">
        <v>0.22</v>
      </c>
      <c r="Z37" s="14">
        <v>0.22</v>
      </c>
      <c r="AA37" s="14">
        <v>7.0000000000000007E-2</v>
      </c>
      <c r="AB37" s="14">
        <v>0.26</v>
      </c>
      <c r="AC37" s="14">
        <v>0.25</v>
      </c>
      <c r="AD37" s="14">
        <v>0.28999999999999998</v>
      </c>
      <c r="AE37" s="14">
        <v>0.2</v>
      </c>
      <c r="AF37" s="14">
        <v>0.23</v>
      </c>
    </row>
    <row r="38" spans="1:32" ht="23.25" x14ac:dyDescent="0.25">
      <c r="A38" s="19"/>
      <c r="B38" s="11" t="s">
        <v>430</v>
      </c>
      <c r="C38" s="12">
        <v>17694</v>
      </c>
      <c r="D38" s="12">
        <v>576</v>
      </c>
      <c r="E38" s="12">
        <v>680</v>
      </c>
      <c r="F38" s="12">
        <v>438</v>
      </c>
      <c r="G38" s="12">
        <v>448</v>
      </c>
      <c r="H38" s="12">
        <v>667</v>
      </c>
      <c r="I38" s="12">
        <v>837</v>
      </c>
      <c r="J38" s="12">
        <v>169</v>
      </c>
      <c r="K38" s="12">
        <v>283</v>
      </c>
      <c r="L38" s="12">
        <v>642</v>
      </c>
      <c r="M38" s="12">
        <v>848</v>
      </c>
      <c r="N38" s="12">
        <v>803</v>
      </c>
      <c r="O38" s="12">
        <v>692</v>
      </c>
      <c r="P38" s="12">
        <v>727</v>
      </c>
      <c r="Q38" s="12">
        <v>854</v>
      </c>
      <c r="R38" s="12">
        <v>396</v>
      </c>
      <c r="S38" s="12">
        <v>461</v>
      </c>
      <c r="T38" s="12">
        <v>469</v>
      </c>
      <c r="U38" s="12">
        <v>326</v>
      </c>
      <c r="V38" s="12">
        <v>622</v>
      </c>
      <c r="W38" s="12">
        <v>353</v>
      </c>
      <c r="X38" s="12">
        <v>581</v>
      </c>
      <c r="Y38" s="12">
        <v>618</v>
      </c>
      <c r="Z38" s="12">
        <v>730</v>
      </c>
      <c r="AA38" s="12">
        <v>948</v>
      </c>
      <c r="AB38" s="12">
        <v>638</v>
      </c>
      <c r="AC38" s="12">
        <v>589</v>
      </c>
      <c r="AD38" s="12">
        <v>526</v>
      </c>
      <c r="AE38" s="12">
        <v>618</v>
      </c>
      <c r="AF38" s="12">
        <v>543</v>
      </c>
    </row>
    <row r="39" spans="1:32" ht="23.25" x14ac:dyDescent="0.25">
      <c r="A39" s="19"/>
      <c r="B39" s="13" t="s">
        <v>431</v>
      </c>
      <c r="C39" s="14">
        <v>0.66</v>
      </c>
      <c r="D39" s="14">
        <v>0.56000000000000005</v>
      </c>
      <c r="E39" s="14">
        <v>0.65</v>
      </c>
      <c r="F39" s="14">
        <v>0.42</v>
      </c>
      <c r="G39" s="14">
        <v>0.44</v>
      </c>
      <c r="H39" s="14">
        <v>0.54</v>
      </c>
      <c r="I39" s="14">
        <v>0.55000000000000004</v>
      </c>
      <c r="J39" s="14">
        <v>0.57000000000000006</v>
      </c>
      <c r="K39" s="14">
        <v>0.28000000000000003</v>
      </c>
      <c r="L39" s="14">
        <v>0.64</v>
      </c>
      <c r="M39" s="14">
        <v>0.83000000000000007</v>
      </c>
      <c r="N39" s="14">
        <v>0.79</v>
      </c>
      <c r="O39" s="14">
        <v>0.69000000000000006</v>
      </c>
      <c r="P39" s="14">
        <v>0.73</v>
      </c>
      <c r="Q39" s="14">
        <v>0.83000000000000007</v>
      </c>
      <c r="R39" s="14">
        <v>0.8</v>
      </c>
      <c r="S39" s="14">
        <v>0.46</v>
      </c>
      <c r="T39" s="14">
        <v>0.46</v>
      </c>
      <c r="U39" s="14">
        <v>0.64</v>
      </c>
      <c r="V39" s="14">
        <v>0.6</v>
      </c>
      <c r="W39" s="14">
        <v>0.71</v>
      </c>
      <c r="X39" s="14">
        <v>0.57000000000000006</v>
      </c>
      <c r="Y39" s="14">
        <v>0.62</v>
      </c>
      <c r="Z39" s="14">
        <v>0.71</v>
      </c>
      <c r="AA39" s="14">
        <v>0.91</v>
      </c>
      <c r="AB39" s="14">
        <v>0.61</v>
      </c>
      <c r="AC39" s="14">
        <v>0.57999999999999996</v>
      </c>
      <c r="AD39" s="14">
        <v>0.52</v>
      </c>
      <c r="AE39" s="14">
        <v>0.62</v>
      </c>
      <c r="AF39" s="14">
        <v>0.52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464</v>
      </c>
      <c r="C3" s="18"/>
      <c r="D3" s="18"/>
      <c r="E3" s="18"/>
      <c r="F3" s="18"/>
      <c r="H3" s="18" t="s">
        <v>465</v>
      </c>
      <c r="I3" s="18"/>
      <c r="J3" s="18"/>
      <c r="K3" s="18"/>
      <c r="L3" s="18"/>
    </row>
    <row r="4" spans="1:32" ht="27" customHeight="1" x14ac:dyDescent="0.25">
      <c r="B4" s="18" t="s">
        <v>466</v>
      </c>
      <c r="C4" s="18"/>
      <c r="D4" s="18"/>
      <c r="E4" s="18"/>
      <c r="F4" s="18"/>
      <c r="H4" s="18" t="s">
        <v>467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719</v>
      </c>
      <c r="D12" s="12">
        <v>24</v>
      </c>
      <c r="E12" s="12">
        <v>81</v>
      </c>
      <c r="F12" s="12">
        <v>75</v>
      </c>
      <c r="G12" s="12">
        <v>42</v>
      </c>
      <c r="H12" s="12">
        <v>38</v>
      </c>
      <c r="I12" s="12">
        <v>47</v>
      </c>
      <c r="J12" s="12">
        <v>9</v>
      </c>
      <c r="K12" s="12">
        <v>95</v>
      </c>
      <c r="L12" s="12">
        <v>61</v>
      </c>
      <c r="M12" s="12">
        <v>8</v>
      </c>
      <c r="N12" s="12">
        <v>21</v>
      </c>
      <c r="O12" s="12">
        <v>24</v>
      </c>
      <c r="P12" s="12">
        <v>33</v>
      </c>
      <c r="Q12" s="12">
        <v>22</v>
      </c>
      <c r="R12" s="12">
        <v>5</v>
      </c>
      <c r="S12" s="12">
        <v>76</v>
      </c>
      <c r="T12" s="12">
        <v>78</v>
      </c>
      <c r="U12" s="12">
        <v>13</v>
      </c>
      <c r="V12" s="12">
        <v>13</v>
      </c>
      <c r="W12" s="12">
        <v>14</v>
      </c>
      <c r="X12" s="12">
        <v>7</v>
      </c>
      <c r="Y12" s="12">
        <v>39</v>
      </c>
      <c r="Z12" s="12">
        <v>6</v>
      </c>
      <c r="AA12" s="12">
        <v>13</v>
      </c>
      <c r="AB12" s="12">
        <v>54</v>
      </c>
      <c r="AC12" s="12">
        <v>73</v>
      </c>
      <c r="AD12" s="12">
        <v>47</v>
      </c>
      <c r="AE12" s="12">
        <v>27</v>
      </c>
      <c r="AF12" s="12">
        <v>36</v>
      </c>
    </row>
    <row r="13" spans="1:32" x14ac:dyDescent="0.25">
      <c r="A13" s="19"/>
      <c r="B13" s="13" t="s">
        <v>415</v>
      </c>
      <c r="C13" s="14">
        <v>0.03</v>
      </c>
      <c r="D13" s="14">
        <v>0.02</v>
      </c>
      <c r="E13" s="14">
        <v>0.08</v>
      </c>
      <c r="F13" s="14">
        <v>7.0000000000000007E-2</v>
      </c>
      <c r="G13" s="14">
        <v>0.04</v>
      </c>
      <c r="H13" s="14">
        <v>0.03</v>
      </c>
      <c r="I13" s="14">
        <v>0.03</v>
      </c>
      <c r="J13" s="14">
        <v>0.03</v>
      </c>
      <c r="K13" s="14">
        <v>0.09</v>
      </c>
      <c r="L13" s="14">
        <v>0.06</v>
      </c>
      <c r="M13" s="14">
        <v>0.01</v>
      </c>
      <c r="N13" s="14">
        <v>0.02</v>
      </c>
      <c r="O13" s="14">
        <v>0.02</v>
      </c>
      <c r="P13" s="14">
        <v>0.03</v>
      </c>
      <c r="Q13" s="14">
        <v>0.02</v>
      </c>
      <c r="R13" s="14">
        <v>0.01</v>
      </c>
      <c r="S13" s="14">
        <v>0.08</v>
      </c>
      <c r="T13" s="14">
        <v>0.08</v>
      </c>
      <c r="U13" s="14">
        <v>0.02</v>
      </c>
      <c r="V13" s="14">
        <v>0.01</v>
      </c>
      <c r="W13" s="14">
        <v>0.03</v>
      </c>
      <c r="X13" s="14">
        <v>0.01</v>
      </c>
      <c r="Y13" s="14">
        <v>0.04</v>
      </c>
      <c r="Z13" s="14">
        <v>0.01</v>
      </c>
      <c r="AA13" s="14">
        <v>0.01</v>
      </c>
      <c r="AB13" s="14">
        <v>0.05</v>
      </c>
      <c r="AC13" s="14">
        <v>7.0000000000000007E-2</v>
      </c>
      <c r="AD13" s="14">
        <v>0.05</v>
      </c>
      <c r="AE13" s="14">
        <v>0.03</v>
      </c>
      <c r="AF13" s="14">
        <v>0.04</v>
      </c>
    </row>
    <row r="14" spans="1:32" x14ac:dyDescent="0.25">
      <c r="A14" s="19"/>
      <c r="B14" s="11" t="s">
        <v>416</v>
      </c>
      <c r="C14" s="12">
        <v>812</v>
      </c>
      <c r="D14" s="12">
        <v>17</v>
      </c>
      <c r="E14" s="12">
        <v>46</v>
      </c>
      <c r="F14" s="12">
        <v>55</v>
      </c>
      <c r="G14" s="12">
        <v>54</v>
      </c>
      <c r="H14" s="12">
        <v>100</v>
      </c>
      <c r="I14" s="12">
        <v>114</v>
      </c>
      <c r="J14" s="12">
        <v>14</v>
      </c>
      <c r="K14" s="12">
        <v>63</v>
      </c>
      <c r="L14" s="12">
        <v>8</v>
      </c>
      <c r="M14" s="12">
        <v>24</v>
      </c>
      <c r="N14" s="12">
        <v>9</v>
      </c>
      <c r="O14" s="12">
        <v>26</v>
      </c>
      <c r="P14" s="12">
        <v>23</v>
      </c>
      <c r="Q14" s="12">
        <v>8</v>
      </c>
      <c r="R14" s="12">
        <v>10</v>
      </c>
      <c r="S14" s="12">
        <v>40</v>
      </c>
      <c r="T14" s="12">
        <v>38</v>
      </c>
      <c r="U14" s="12">
        <v>8</v>
      </c>
      <c r="V14" s="12">
        <v>24</v>
      </c>
      <c r="W14" s="12">
        <v>4</v>
      </c>
      <c r="X14" s="12">
        <v>11</v>
      </c>
      <c r="Y14" s="12">
        <v>32</v>
      </c>
      <c r="Z14" s="12">
        <v>5</v>
      </c>
      <c r="AA14" s="12">
        <v>48</v>
      </c>
      <c r="AB14" s="12">
        <v>24</v>
      </c>
      <c r="AC14" s="12">
        <v>34</v>
      </c>
      <c r="AD14" s="12">
        <v>26</v>
      </c>
      <c r="AE14" s="12">
        <v>48</v>
      </c>
      <c r="AF14" s="12">
        <v>58</v>
      </c>
    </row>
    <row r="15" spans="1:32" x14ac:dyDescent="0.25">
      <c r="A15" s="19"/>
      <c r="B15" s="13" t="s">
        <v>416</v>
      </c>
      <c r="C15" s="14">
        <v>0.03</v>
      </c>
      <c r="D15" s="14">
        <v>0.02</v>
      </c>
      <c r="E15" s="14">
        <v>0.04</v>
      </c>
      <c r="F15" s="14">
        <v>0.05</v>
      </c>
      <c r="G15" s="14">
        <v>0.05</v>
      </c>
      <c r="H15" s="14">
        <v>0.08</v>
      </c>
      <c r="I15" s="14">
        <v>7.0000000000000007E-2</v>
      </c>
      <c r="J15" s="14">
        <v>0.05</v>
      </c>
      <c r="K15" s="14">
        <v>0.06</v>
      </c>
      <c r="L15" s="14">
        <v>0.01</v>
      </c>
      <c r="M15" s="14">
        <v>0.02</v>
      </c>
      <c r="N15" s="14">
        <v>0.01</v>
      </c>
      <c r="O15" s="14">
        <v>0.03</v>
      </c>
      <c r="P15" s="14">
        <v>0.02</v>
      </c>
      <c r="Q15" s="14">
        <v>0.01</v>
      </c>
      <c r="R15" s="14">
        <v>0.02</v>
      </c>
      <c r="S15" s="14">
        <v>0.04</v>
      </c>
      <c r="T15" s="14">
        <v>0.04</v>
      </c>
      <c r="U15" s="14">
        <v>0.02</v>
      </c>
      <c r="V15" s="14">
        <v>0.02</v>
      </c>
      <c r="W15" s="14">
        <v>0.01</v>
      </c>
      <c r="X15" s="14">
        <v>0.01</v>
      </c>
      <c r="Y15" s="14">
        <v>0.03</v>
      </c>
      <c r="Z15" s="14">
        <v>0.01</v>
      </c>
      <c r="AA15" s="14">
        <v>0.05</v>
      </c>
      <c r="AB15" s="14">
        <v>0.02</v>
      </c>
      <c r="AC15" s="14">
        <v>0.03</v>
      </c>
      <c r="AD15" s="14">
        <v>0.02</v>
      </c>
      <c r="AE15" s="14">
        <v>0.05</v>
      </c>
      <c r="AF15" s="14">
        <v>0.06</v>
      </c>
    </row>
    <row r="16" spans="1:32" x14ac:dyDescent="0.25">
      <c r="A16" s="19"/>
      <c r="B16" s="11" t="s">
        <v>417</v>
      </c>
      <c r="C16" s="12">
        <v>1173</v>
      </c>
      <c r="D16" s="12">
        <v>46</v>
      </c>
      <c r="E16" s="12">
        <v>64</v>
      </c>
      <c r="F16" s="12">
        <v>99</v>
      </c>
      <c r="G16" s="12">
        <v>99</v>
      </c>
      <c r="H16" s="12">
        <v>73</v>
      </c>
      <c r="I16" s="12">
        <v>86</v>
      </c>
      <c r="J16" s="12">
        <v>13</v>
      </c>
      <c r="K16" s="12">
        <v>90</v>
      </c>
      <c r="L16" s="12">
        <v>24</v>
      </c>
      <c r="M16" s="12">
        <v>44</v>
      </c>
      <c r="N16" s="12">
        <v>13</v>
      </c>
      <c r="O16" s="12">
        <v>45</v>
      </c>
      <c r="P16" s="12">
        <v>55</v>
      </c>
      <c r="Q16" s="12">
        <v>31</v>
      </c>
      <c r="R16" s="12">
        <v>18</v>
      </c>
      <c r="S16" s="12">
        <v>70</v>
      </c>
      <c r="T16" s="12">
        <v>59</v>
      </c>
      <c r="U16" s="12">
        <v>11</v>
      </c>
      <c r="V16" s="12">
        <v>77</v>
      </c>
      <c r="W16" s="12">
        <v>10</v>
      </c>
      <c r="X16" s="12">
        <v>38</v>
      </c>
      <c r="Y16" s="12">
        <v>47</v>
      </c>
      <c r="Z16" s="12">
        <v>25</v>
      </c>
      <c r="AA16" s="12">
        <v>90</v>
      </c>
      <c r="AB16" s="12">
        <v>24</v>
      </c>
      <c r="AC16" s="12">
        <v>88</v>
      </c>
      <c r="AD16" s="12">
        <v>76</v>
      </c>
      <c r="AE16" s="12">
        <v>78</v>
      </c>
      <c r="AF16" s="12">
        <v>86</v>
      </c>
    </row>
    <row r="17" spans="1:32" x14ac:dyDescent="0.25">
      <c r="A17" s="19"/>
      <c r="B17" s="13" t="s">
        <v>417</v>
      </c>
      <c r="C17" s="14">
        <v>0.04</v>
      </c>
      <c r="D17" s="14">
        <v>0.05</v>
      </c>
      <c r="E17" s="14">
        <v>0.06</v>
      </c>
      <c r="F17" s="14">
        <v>0.09</v>
      </c>
      <c r="G17" s="14">
        <v>0.1</v>
      </c>
      <c r="H17" s="14">
        <v>0.06</v>
      </c>
      <c r="I17" s="14">
        <v>0.06</v>
      </c>
      <c r="J17" s="14">
        <v>0.04</v>
      </c>
      <c r="K17" s="14">
        <v>0.09</v>
      </c>
      <c r="L17" s="14">
        <v>0.02</v>
      </c>
      <c r="M17" s="14">
        <v>0.04</v>
      </c>
      <c r="N17" s="14">
        <v>0.01</v>
      </c>
      <c r="O17" s="14">
        <v>0.04</v>
      </c>
      <c r="P17" s="14">
        <v>0.05</v>
      </c>
      <c r="Q17" s="14">
        <v>0.03</v>
      </c>
      <c r="R17" s="14">
        <v>0.04</v>
      </c>
      <c r="S17" s="14">
        <v>7.0000000000000007E-2</v>
      </c>
      <c r="T17" s="14">
        <v>0.06</v>
      </c>
      <c r="U17" s="14">
        <v>0.02</v>
      </c>
      <c r="V17" s="14">
        <v>0.08</v>
      </c>
      <c r="W17" s="14">
        <v>0.02</v>
      </c>
      <c r="X17" s="14">
        <v>0.04</v>
      </c>
      <c r="Y17" s="14">
        <v>0.05</v>
      </c>
      <c r="Z17" s="14">
        <v>0.02</v>
      </c>
      <c r="AA17" s="14">
        <v>0.09</v>
      </c>
      <c r="AB17" s="14">
        <v>0.02</v>
      </c>
      <c r="AC17" s="14">
        <v>0.09</v>
      </c>
      <c r="AD17" s="14">
        <v>0.08</v>
      </c>
      <c r="AE17" s="14">
        <v>0.08</v>
      </c>
      <c r="AF17" s="14">
        <v>0.08</v>
      </c>
    </row>
    <row r="18" spans="1:32" x14ac:dyDescent="0.25">
      <c r="A18" s="19"/>
      <c r="B18" s="11" t="s">
        <v>418</v>
      </c>
      <c r="C18" s="12">
        <v>1645</v>
      </c>
      <c r="D18" s="12">
        <v>78</v>
      </c>
      <c r="E18" s="12">
        <v>105</v>
      </c>
      <c r="F18" s="12">
        <v>113</v>
      </c>
      <c r="G18" s="12">
        <v>90</v>
      </c>
      <c r="H18" s="12">
        <v>128</v>
      </c>
      <c r="I18" s="12">
        <v>152</v>
      </c>
      <c r="J18" s="12">
        <v>24</v>
      </c>
      <c r="K18" s="12">
        <v>88</v>
      </c>
      <c r="L18" s="12">
        <v>40</v>
      </c>
      <c r="M18" s="12">
        <v>55</v>
      </c>
      <c r="N18" s="12">
        <v>28</v>
      </c>
      <c r="O18" s="12">
        <v>51</v>
      </c>
      <c r="P18" s="12">
        <v>73</v>
      </c>
      <c r="Q18" s="12">
        <v>31</v>
      </c>
      <c r="R18" s="12">
        <v>23</v>
      </c>
      <c r="S18" s="12">
        <v>75</v>
      </c>
      <c r="T18" s="12">
        <v>77</v>
      </c>
      <c r="U18" s="12">
        <v>28</v>
      </c>
      <c r="V18" s="12">
        <v>107</v>
      </c>
      <c r="W18" s="12">
        <v>25</v>
      </c>
      <c r="X18" s="12">
        <v>71</v>
      </c>
      <c r="Y18" s="12">
        <v>74</v>
      </c>
      <c r="Z18" s="12">
        <v>54</v>
      </c>
      <c r="AA18" s="12">
        <v>46</v>
      </c>
      <c r="AB18" s="12">
        <v>61</v>
      </c>
      <c r="AC18" s="12">
        <v>91</v>
      </c>
      <c r="AD18" s="12">
        <v>58</v>
      </c>
      <c r="AE18" s="12">
        <v>75</v>
      </c>
      <c r="AF18" s="12">
        <v>83</v>
      </c>
    </row>
    <row r="19" spans="1:32" x14ac:dyDescent="0.25">
      <c r="A19" s="19"/>
      <c r="B19" s="13" t="s">
        <v>418</v>
      </c>
      <c r="C19" s="14">
        <v>0.06</v>
      </c>
      <c r="D19" s="14">
        <v>0.08</v>
      </c>
      <c r="E19" s="14">
        <v>0.1</v>
      </c>
      <c r="F19" s="14">
        <v>0.11</v>
      </c>
      <c r="G19" s="14">
        <v>0.09</v>
      </c>
      <c r="H19" s="14">
        <v>0.1</v>
      </c>
      <c r="I19" s="14">
        <v>0.1</v>
      </c>
      <c r="J19" s="14">
        <v>0.08</v>
      </c>
      <c r="K19" s="14">
        <v>0.09</v>
      </c>
      <c r="L19" s="14">
        <v>0.04</v>
      </c>
      <c r="M19" s="14">
        <v>0.06</v>
      </c>
      <c r="N19" s="14">
        <v>0.03</v>
      </c>
      <c r="O19" s="14">
        <v>0.05</v>
      </c>
      <c r="P19" s="14">
        <v>7.0000000000000007E-2</v>
      </c>
      <c r="Q19" s="14">
        <v>0.03</v>
      </c>
      <c r="R19" s="14">
        <v>0.05</v>
      </c>
      <c r="S19" s="14">
        <v>7.0000000000000007E-2</v>
      </c>
      <c r="T19" s="14">
        <v>0.08</v>
      </c>
      <c r="U19" s="14">
        <v>0.05</v>
      </c>
      <c r="V19" s="14">
        <v>0.1</v>
      </c>
      <c r="W19" s="14">
        <v>0.05</v>
      </c>
      <c r="X19" s="14">
        <v>7.0000000000000007E-2</v>
      </c>
      <c r="Y19" s="14">
        <v>7.0000000000000007E-2</v>
      </c>
      <c r="Z19" s="14">
        <v>0.05</v>
      </c>
      <c r="AA19" s="14">
        <v>0.04</v>
      </c>
      <c r="AB19" s="14">
        <v>0.06</v>
      </c>
      <c r="AC19" s="14">
        <v>0.09</v>
      </c>
      <c r="AD19" s="14">
        <v>0.06</v>
      </c>
      <c r="AE19" s="14">
        <v>7.0000000000000007E-2</v>
      </c>
      <c r="AF19" s="14">
        <v>0.08</v>
      </c>
    </row>
    <row r="20" spans="1:32" x14ac:dyDescent="0.25">
      <c r="A20" s="19"/>
      <c r="B20" s="11" t="s">
        <v>419</v>
      </c>
      <c r="C20" s="12">
        <v>3341</v>
      </c>
      <c r="D20" s="12">
        <v>130</v>
      </c>
      <c r="E20" s="12">
        <v>151</v>
      </c>
      <c r="F20" s="12">
        <v>223</v>
      </c>
      <c r="G20" s="12">
        <v>153</v>
      </c>
      <c r="H20" s="12">
        <v>212</v>
      </c>
      <c r="I20" s="12">
        <v>268</v>
      </c>
      <c r="J20" s="12">
        <v>56</v>
      </c>
      <c r="K20" s="12">
        <v>143</v>
      </c>
      <c r="L20" s="12">
        <v>102</v>
      </c>
      <c r="M20" s="12">
        <v>103</v>
      </c>
      <c r="N20" s="12">
        <v>93</v>
      </c>
      <c r="O20" s="12">
        <v>130</v>
      </c>
      <c r="P20" s="12">
        <v>126</v>
      </c>
      <c r="Q20" s="12">
        <v>77</v>
      </c>
      <c r="R20" s="12">
        <v>31</v>
      </c>
      <c r="S20" s="12">
        <v>175</v>
      </c>
      <c r="T20" s="12">
        <v>165</v>
      </c>
      <c r="U20" s="12">
        <v>54</v>
      </c>
      <c r="V20" s="12">
        <v>145</v>
      </c>
      <c r="W20" s="12">
        <v>46</v>
      </c>
      <c r="X20" s="12">
        <v>105</v>
      </c>
      <c r="Y20" s="12">
        <v>167</v>
      </c>
      <c r="Z20" s="12">
        <v>117</v>
      </c>
      <c r="AA20" s="12">
        <v>95</v>
      </c>
      <c r="AB20" s="12">
        <v>108</v>
      </c>
      <c r="AC20" s="12">
        <v>138</v>
      </c>
      <c r="AD20" s="12">
        <v>195</v>
      </c>
      <c r="AE20" s="12">
        <v>152</v>
      </c>
      <c r="AF20" s="12">
        <v>142</v>
      </c>
    </row>
    <row r="21" spans="1:32" x14ac:dyDescent="0.25">
      <c r="A21" s="19"/>
      <c r="B21" s="13" t="s">
        <v>419</v>
      </c>
      <c r="C21" s="14">
        <v>0.13</v>
      </c>
      <c r="D21" s="14">
        <v>0.13</v>
      </c>
      <c r="E21" s="14">
        <v>0.14000000000000001</v>
      </c>
      <c r="F21" s="14">
        <v>0.21</v>
      </c>
      <c r="G21" s="14">
        <v>0.15</v>
      </c>
      <c r="H21" s="14">
        <v>0.17</v>
      </c>
      <c r="I21" s="14">
        <v>0.18</v>
      </c>
      <c r="J21" s="14">
        <v>0.19</v>
      </c>
      <c r="K21" s="14">
        <v>0.14000000000000001</v>
      </c>
      <c r="L21" s="14">
        <v>0.1</v>
      </c>
      <c r="M21" s="14">
        <v>0.1</v>
      </c>
      <c r="N21" s="14">
        <v>0.09</v>
      </c>
      <c r="O21" s="14">
        <v>0.13</v>
      </c>
      <c r="P21" s="14">
        <v>0.13</v>
      </c>
      <c r="Q21" s="14">
        <v>7.0000000000000007E-2</v>
      </c>
      <c r="R21" s="14">
        <v>0.06</v>
      </c>
      <c r="S21" s="14">
        <v>0.17</v>
      </c>
      <c r="T21" s="14">
        <v>0.16</v>
      </c>
      <c r="U21" s="14">
        <v>0.11</v>
      </c>
      <c r="V21" s="14">
        <v>0.14000000000000001</v>
      </c>
      <c r="W21" s="14">
        <v>0.09</v>
      </c>
      <c r="X21" s="14">
        <v>0.1</v>
      </c>
      <c r="Y21" s="14">
        <v>0.17</v>
      </c>
      <c r="Z21" s="14">
        <v>0.12</v>
      </c>
      <c r="AA21" s="14">
        <v>0.09</v>
      </c>
      <c r="AB21" s="14">
        <v>0.11</v>
      </c>
      <c r="AC21" s="14">
        <v>0.14000000000000001</v>
      </c>
      <c r="AD21" s="14">
        <v>0.19</v>
      </c>
      <c r="AE21" s="14">
        <v>0.15</v>
      </c>
      <c r="AF21" s="14">
        <v>0.14000000000000001</v>
      </c>
    </row>
    <row r="22" spans="1:32" x14ac:dyDescent="0.25">
      <c r="A22" s="19"/>
      <c r="B22" s="11" t="s">
        <v>420</v>
      </c>
      <c r="C22" s="12">
        <v>3440</v>
      </c>
      <c r="D22" s="12">
        <v>148</v>
      </c>
      <c r="E22" s="12">
        <v>117</v>
      </c>
      <c r="F22" s="12">
        <v>162</v>
      </c>
      <c r="G22" s="12">
        <v>116</v>
      </c>
      <c r="H22" s="12">
        <v>170</v>
      </c>
      <c r="I22" s="12">
        <v>205</v>
      </c>
      <c r="J22" s="12">
        <v>36</v>
      </c>
      <c r="K22" s="12">
        <v>120</v>
      </c>
      <c r="L22" s="12">
        <v>86</v>
      </c>
      <c r="M22" s="12">
        <v>92</v>
      </c>
      <c r="N22" s="12">
        <v>107</v>
      </c>
      <c r="O22" s="12">
        <v>144</v>
      </c>
      <c r="P22" s="12">
        <v>124</v>
      </c>
      <c r="Q22" s="12">
        <v>113</v>
      </c>
      <c r="R22" s="12">
        <v>41</v>
      </c>
      <c r="S22" s="12">
        <v>91</v>
      </c>
      <c r="T22" s="12">
        <v>138</v>
      </c>
      <c r="U22" s="12">
        <v>82</v>
      </c>
      <c r="V22" s="12">
        <v>179</v>
      </c>
      <c r="W22" s="12">
        <v>52</v>
      </c>
      <c r="X22" s="12">
        <v>156</v>
      </c>
      <c r="Y22" s="12">
        <v>137</v>
      </c>
      <c r="Z22" s="12">
        <v>142</v>
      </c>
      <c r="AA22" s="12">
        <v>93</v>
      </c>
      <c r="AB22" s="12">
        <v>168</v>
      </c>
      <c r="AC22" s="12">
        <v>101</v>
      </c>
      <c r="AD22" s="12">
        <v>189</v>
      </c>
      <c r="AE22" s="12">
        <v>132</v>
      </c>
      <c r="AF22" s="12">
        <v>139</v>
      </c>
    </row>
    <row r="23" spans="1:32" x14ac:dyDescent="0.25">
      <c r="A23" s="19"/>
      <c r="B23" s="13" t="s">
        <v>420</v>
      </c>
      <c r="C23" s="14">
        <v>0.13</v>
      </c>
      <c r="D23" s="14">
        <v>0.14000000000000001</v>
      </c>
      <c r="E23" s="14">
        <v>0.11</v>
      </c>
      <c r="F23" s="14">
        <v>0.15</v>
      </c>
      <c r="G23" s="14">
        <v>0.11</v>
      </c>
      <c r="H23" s="14">
        <v>0.14000000000000001</v>
      </c>
      <c r="I23" s="14">
        <v>0.13</v>
      </c>
      <c r="J23" s="14">
        <v>0.12</v>
      </c>
      <c r="K23" s="14">
        <v>0.12</v>
      </c>
      <c r="L23" s="14">
        <v>0.09</v>
      </c>
      <c r="M23" s="14">
        <v>0.09</v>
      </c>
      <c r="N23" s="14">
        <v>0.11</v>
      </c>
      <c r="O23" s="14">
        <v>0.14000000000000001</v>
      </c>
      <c r="P23" s="14">
        <v>0.12</v>
      </c>
      <c r="Q23" s="14">
        <v>0.11</v>
      </c>
      <c r="R23" s="14">
        <v>0.08</v>
      </c>
      <c r="S23" s="14">
        <v>0.09</v>
      </c>
      <c r="T23" s="14">
        <v>0.13</v>
      </c>
      <c r="U23" s="14">
        <v>0.16</v>
      </c>
      <c r="V23" s="14">
        <v>0.17</v>
      </c>
      <c r="W23" s="14">
        <v>0.1</v>
      </c>
      <c r="X23" s="14">
        <v>0.15</v>
      </c>
      <c r="Y23" s="14">
        <v>0.14000000000000001</v>
      </c>
      <c r="Z23" s="14">
        <v>0.14000000000000001</v>
      </c>
      <c r="AA23" s="14">
        <v>0.09</v>
      </c>
      <c r="AB23" s="14">
        <v>0.16</v>
      </c>
      <c r="AC23" s="14">
        <v>0.1</v>
      </c>
      <c r="AD23" s="14">
        <v>0.19</v>
      </c>
      <c r="AE23" s="14">
        <v>0.13</v>
      </c>
      <c r="AF23" s="14">
        <v>0.13</v>
      </c>
    </row>
    <row r="24" spans="1:32" x14ac:dyDescent="0.25">
      <c r="A24" s="19"/>
      <c r="B24" s="11" t="s">
        <v>421</v>
      </c>
      <c r="C24" s="12">
        <v>4540</v>
      </c>
      <c r="D24" s="12">
        <v>200</v>
      </c>
      <c r="E24" s="12">
        <v>133</v>
      </c>
      <c r="F24" s="12">
        <v>115</v>
      </c>
      <c r="G24" s="12">
        <v>138</v>
      </c>
      <c r="H24" s="12">
        <v>153</v>
      </c>
      <c r="I24" s="12">
        <v>201</v>
      </c>
      <c r="J24" s="12">
        <v>48</v>
      </c>
      <c r="K24" s="12">
        <v>107</v>
      </c>
      <c r="L24" s="12">
        <v>185</v>
      </c>
      <c r="M24" s="12">
        <v>184</v>
      </c>
      <c r="N24" s="12">
        <v>170</v>
      </c>
      <c r="O24" s="12">
        <v>181</v>
      </c>
      <c r="P24" s="12">
        <v>156</v>
      </c>
      <c r="Q24" s="12">
        <v>212</v>
      </c>
      <c r="R24" s="12">
        <v>100</v>
      </c>
      <c r="S24" s="12">
        <v>117</v>
      </c>
      <c r="T24" s="12">
        <v>150</v>
      </c>
      <c r="U24" s="12">
        <v>86</v>
      </c>
      <c r="V24" s="12">
        <v>187</v>
      </c>
      <c r="W24" s="12">
        <v>80</v>
      </c>
      <c r="X24" s="12">
        <v>203</v>
      </c>
      <c r="Y24" s="12">
        <v>145</v>
      </c>
      <c r="Z24" s="12">
        <v>218</v>
      </c>
      <c r="AA24" s="12">
        <v>148</v>
      </c>
      <c r="AB24" s="12">
        <v>203</v>
      </c>
      <c r="AC24" s="12">
        <v>111</v>
      </c>
      <c r="AD24" s="12">
        <v>158</v>
      </c>
      <c r="AE24" s="12">
        <v>167</v>
      </c>
      <c r="AF24" s="12">
        <v>184</v>
      </c>
    </row>
    <row r="25" spans="1:32" x14ac:dyDescent="0.25">
      <c r="A25" s="19"/>
      <c r="B25" s="13" t="s">
        <v>421</v>
      </c>
      <c r="C25" s="14">
        <v>0.17</v>
      </c>
      <c r="D25" s="14">
        <v>0.2</v>
      </c>
      <c r="E25" s="14">
        <v>0.13</v>
      </c>
      <c r="F25" s="14">
        <v>0.11</v>
      </c>
      <c r="G25" s="14">
        <v>0.14000000000000001</v>
      </c>
      <c r="H25" s="14">
        <v>0.13</v>
      </c>
      <c r="I25" s="14">
        <v>0.13</v>
      </c>
      <c r="J25" s="14">
        <v>0.16</v>
      </c>
      <c r="K25" s="14">
        <v>0.11</v>
      </c>
      <c r="L25" s="14">
        <v>0.18</v>
      </c>
      <c r="M25" s="14">
        <v>0.18</v>
      </c>
      <c r="N25" s="14">
        <v>0.17</v>
      </c>
      <c r="O25" s="14">
        <v>0.18</v>
      </c>
      <c r="P25" s="14">
        <v>0.16</v>
      </c>
      <c r="Q25" s="14">
        <v>0.21</v>
      </c>
      <c r="R25" s="14">
        <v>0.2</v>
      </c>
      <c r="S25" s="14">
        <v>0.12</v>
      </c>
      <c r="T25" s="14">
        <v>0.15</v>
      </c>
      <c r="U25" s="14">
        <v>0.17</v>
      </c>
      <c r="V25" s="14">
        <v>0.18</v>
      </c>
      <c r="W25" s="14">
        <v>0.16</v>
      </c>
      <c r="X25" s="14">
        <v>0.2</v>
      </c>
      <c r="Y25" s="14">
        <v>0.15</v>
      </c>
      <c r="Z25" s="14">
        <v>0.21</v>
      </c>
      <c r="AA25" s="14">
        <v>0.14000000000000001</v>
      </c>
      <c r="AB25" s="14">
        <v>0.2</v>
      </c>
      <c r="AC25" s="14">
        <v>0.11</v>
      </c>
      <c r="AD25" s="14">
        <v>0.16</v>
      </c>
      <c r="AE25" s="14">
        <v>0.17</v>
      </c>
      <c r="AF25" s="14">
        <v>0.18</v>
      </c>
    </row>
    <row r="26" spans="1:32" x14ac:dyDescent="0.25">
      <c r="A26" s="19"/>
      <c r="B26" s="11" t="s">
        <v>422</v>
      </c>
      <c r="C26" s="12">
        <v>4920</v>
      </c>
      <c r="D26" s="12">
        <v>213</v>
      </c>
      <c r="E26" s="12">
        <v>127</v>
      </c>
      <c r="F26" s="12">
        <v>80</v>
      </c>
      <c r="G26" s="12">
        <v>141</v>
      </c>
      <c r="H26" s="12">
        <v>159</v>
      </c>
      <c r="I26" s="12">
        <v>210</v>
      </c>
      <c r="J26" s="12">
        <v>51</v>
      </c>
      <c r="K26" s="12">
        <v>109</v>
      </c>
      <c r="L26" s="12">
        <v>221</v>
      </c>
      <c r="M26" s="12">
        <v>200</v>
      </c>
      <c r="N26" s="12">
        <v>220</v>
      </c>
      <c r="O26" s="12">
        <v>177</v>
      </c>
      <c r="P26" s="12">
        <v>166</v>
      </c>
      <c r="Q26" s="12">
        <v>287</v>
      </c>
      <c r="R26" s="12">
        <v>104</v>
      </c>
      <c r="S26" s="12">
        <v>126</v>
      </c>
      <c r="T26" s="12">
        <v>82</v>
      </c>
      <c r="U26" s="12">
        <v>81</v>
      </c>
      <c r="V26" s="12">
        <v>131</v>
      </c>
      <c r="W26" s="12">
        <v>109</v>
      </c>
      <c r="X26" s="12">
        <v>230</v>
      </c>
      <c r="Y26" s="12">
        <v>135</v>
      </c>
      <c r="Z26" s="12">
        <v>216</v>
      </c>
      <c r="AA26" s="12">
        <v>172</v>
      </c>
      <c r="AB26" s="12">
        <v>197</v>
      </c>
      <c r="AC26" s="12">
        <v>123</v>
      </c>
      <c r="AD26" s="12">
        <v>129</v>
      </c>
      <c r="AE26" s="12">
        <v>149</v>
      </c>
      <c r="AF26" s="12">
        <v>144</v>
      </c>
    </row>
    <row r="27" spans="1:32" x14ac:dyDescent="0.25">
      <c r="A27" s="19"/>
      <c r="B27" s="13" t="s">
        <v>422</v>
      </c>
      <c r="C27" s="14">
        <v>0.19</v>
      </c>
      <c r="D27" s="14">
        <v>0.21</v>
      </c>
      <c r="E27" s="14">
        <v>0.12</v>
      </c>
      <c r="F27" s="14">
        <v>0.08</v>
      </c>
      <c r="G27" s="14">
        <v>0.14000000000000001</v>
      </c>
      <c r="H27" s="14">
        <v>0.13</v>
      </c>
      <c r="I27" s="14">
        <v>0.14000000000000001</v>
      </c>
      <c r="J27" s="14">
        <v>0.17</v>
      </c>
      <c r="K27" s="14">
        <v>0.11</v>
      </c>
      <c r="L27" s="14">
        <v>0.22</v>
      </c>
      <c r="M27" s="14">
        <v>0.2</v>
      </c>
      <c r="N27" s="14">
        <v>0.22</v>
      </c>
      <c r="O27" s="14">
        <v>0.18</v>
      </c>
      <c r="P27" s="14">
        <v>0.17</v>
      </c>
      <c r="Q27" s="14">
        <v>0.28000000000000003</v>
      </c>
      <c r="R27" s="14">
        <v>0.21</v>
      </c>
      <c r="S27" s="14">
        <v>0.13</v>
      </c>
      <c r="T27" s="14">
        <v>0.08</v>
      </c>
      <c r="U27" s="14">
        <v>0.16</v>
      </c>
      <c r="V27" s="14">
        <v>0.13</v>
      </c>
      <c r="W27" s="14">
        <v>0.22</v>
      </c>
      <c r="X27" s="14">
        <v>0.23</v>
      </c>
      <c r="Y27" s="14">
        <v>0.13</v>
      </c>
      <c r="Z27" s="14">
        <v>0.21</v>
      </c>
      <c r="AA27" s="14">
        <v>0.17</v>
      </c>
      <c r="AB27" s="14">
        <v>0.19</v>
      </c>
      <c r="AC27" s="14">
        <v>0.12</v>
      </c>
      <c r="AD27" s="14">
        <v>0.13</v>
      </c>
      <c r="AE27" s="14">
        <v>0.15</v>
      </c>
      <c r="AF27" s="14">
        <v>0.14000000000000001</v>
      </c>
    </row>
    <row r="28" spans="1:32" x14ac:dyDescent="0.25">
      <c r="A28" s="19"/>
      <c r="B28" s="11" t="s">
        <v>423</v>
      </c>
      <c r="C28" s="12">
        <v>2164</v>
      </c>
      <c r="D28" s="12">
        <v>83</v>
      </c>
      <c r="E28" s="12">
        <v>52</v>
      </c>
      <c r="F28" s="12">
        <v>38</v>
      </c>
      <c r="G28" s="12">
        <v>73</v>
      </c>
      <c r="H28" s="12">
        <v>63</v>
      </c>
      <c r="I28" s="12">
        <v>74</v>
      </c>
      <c r="J28" s="12">
        <v>11</v>
      </c>
      <c r="K28" s="12">
        <v>57</v>
      </c>
      <c r="L28" s="12">
        <v>94</v>
      </c>
      <c r="M28" s="12">
        <v>113</v>
      </c>
      <c r="N28" s="12">
        <v>137</v>
      </c>
      <c r="O28" s="12">
        <v>67</v>
      </c>
      <c r="P28" s="12">
        <v>86</v>
      </c>
      <c r="Q28" s="12">
        <v>109</v>
      </c>
      <c r="R28" s="12">
        <v>57</v>
      </c>
      <c r="S28" s="12">
        <v>75</v>
      </c>
      <c r="T28" s="12">
        <v>55</v>
      </c>
      <c r="U28" s="12">
        <v>49</v>
      </c>
      <c r="V28" s="12">
        <v>56</v>
      </c>
      <c r="W28" s="12">
        <v>61</v>
      </c>
      <c r="X28" s="12">
        <v>95</v>
      </c>
      <c r="Y28" s="12">
        <v>83</v>
      </c>
      <c r="Z28" s="12">
        <v>95</v>
      </c>
      <c r="AA28" s="12">
        <v>105</v>
      </c>
      <c r="AB28" s="12">
        <v>83</v>
      </c>
      <c r="AC28" s="12">
        <v>65</v>
      </c>
      <c r="AD28" s="12">
        <v>46</v>
      </c>
      <c r="AE28" s="12">
        <v>81</v>
      </c>
      <c r="AF28" s="12">
        <v>66</v>
      </c>
    </row>
    <row r="29" spans="1:32" x14ac:dyDescent="0.25">
      <c r="A29" s="19"/>
      <c r="B29" s="13" t="s">
        <v>423</v>
      </c>
      <c r="C29" s="14">
        <v>0.08</v>
      </c>
      <c r="D29" s="14">
        <v>0.08</v>
      </c>
      <c r="E29" s="14">
        <v>0.05</v>
      </c>
      <c r="F29" s="14">
        <v>0.04</v>
      </c>
      <c r="G29" s="14">
        <v>7.0000000000000007E-2</v>
      </c>
      <c r="H29" s="14">
        <v>0.05</v>
      </c>
      <c r="I29" s="14">
        <v>0.05</v>
      </c>
      <c r="J29" s="14">
        <v>0.04</v>
      </c>
      <c r="K29" s="14">
        <v>0.06</v>
      </c>
      <c r="L29" s="14">
        <v>0.09</v>
      </c>
      <c r="M29" s="14">
        <v>0.11</v>
      </c>
      <c r="N29" s="14">
        <v>0.13</v>
      </c>
      <c r="O29" s="14">
        <v>7.0000000000000007E-2</v>
      </c>
      <c r="P29" s="14">
        <v>0.09</v>
      </c>
      <c r="Q29" s="14">
        <v>0.11</v>
      </c>
      <c r="R29" s="14">
        <v>0.11</v>
      </c>
      <c r="S29" s="14">
        <v>7.0000000000000007E-2</v>
      </c>
      <c r="T29" s="14">
        <v>0.05</v>
      </c>
      <c r="U29" s="14">
        <v>0.1</v>
      </c>
      <c r="V29" s="14">
        <v>0.06</v>
      </c>
      <c r="W29" s="14">
        <v>0.12</v>
      </c>
      <c r="X29" s="14">
        <v>0.1</v>
      </c>
      <c r="Y29" s="14">
        <v>0.08</v>
      </c>
      <c r="Z29" s="14">
        <v>0.09</v>
      </c>
      <c r="AA29" s="14">
        <v>0.1</v>
      </c>
      <c r="AB29" s="14">
        <v>0.08</v>
      </c>
      <c r="AC29" s="14">
        <v>0.06</v>
      </c>
      <c r="AD29" s="14">
        <v>0.04</v>
      </c>
      <c r="AE29" s="14">
        <v>0.08</v>
      </c>
      <c r="AF29" s="14">
        <v>0.06</v>
      </c>
    </row>
    <row r="30" spans="1:32" ht="23.25" x14ac:dyDescent="0.25">
      <c r="A30" s="19"/>
      <c r="B30" s="11" t="s">
        <v>424</v>
      </c>
      <c r="C30" s="12">
        <v>2844</v>
      </c>
      <c r="D30" s="12">
        <v>76</v>
      </c>
      <c r="E30" s="12">
        <v>111</v>
      </c>
      <c r="F30" s="12">
        <v>79</v>
      </c>
      <c r="G30" s="12">
        <v>86</v>
      </c>
      <c r="H30" s="12">
        <v>93</v>
      </c>
      <c r="I30" s="12">
        <v>114</v>
      </c>
      <c r="J30" s="12">
        <v>21</v>
      </c>
      <c r="K30" s="12">
        <v>86</v>
      </c>
      <c r="L30" s="12">
        <v>167</v>
      </c>
      <c r="M30" s="12">
        <v>129</v>
      </c>
      <c r="N30" s="12">
        <v>173</v>
      </c>
      <c r="O30" s="12">
        <v>120</v>
      </c>
      <c r="P30" s="12">
        <v>138</v>
      </c>
      <c r="Q30" s="12">
        <v>129</v>
      </c>
      <c r="R30" s="12">
        <v>97</v>
      </c>
      <c r="S30" s="12">
        <v>107</v>
      </c>
      <c r="T30" s="12">
        <v>94</v>
      </c>
      <c r="U30" s="12">
        <v>86</v>
      </c>
      <c r="V30" s="12">
        <v>80</v>
      </c>
      <c r="W30" s="12">
        <v>84</v>
      </c>
      <c r="X30" s="12">
        <v>85</v>
      </c>
      <c r="Y30" s="12">
        <v>95</v>
      </c>
      <c r="Z30" s="12">
        <v>109</v>
      </c>
      <c r="AA30" s="12">
        <v>127</v>
      </c>
      <c r="AB30" s="12">
        <v>76</v>
      </c>
      <c r="AC30" s="12">
        <v>157</v>
      </c>
      <c r="AD30" s="12">
        <v>50</v>
      </c>
      <c r="AE30" s="12">
        <v>56</v>
      </c>
      <c r="AF30" s="12">
        <v>86</v>
      </c>
    </row>
    <row r="31" spans="1:32" x14ac:dyDescent="0.25">
      <c r="A31" s="19"/>
      <c r="B31" s="13" t="s">
        <v>425</v>
      </c>
      <c r="C31" s="14">
        <v>0.11</v>
      </c>
      <c r="D31" s="14">
        <v>7.0000000000000007E-2</v>
      </c>
      <c r="E31" s="14">
        <v>0.11</v>
      </c>
      <c r="F31" s="14">
        <v>7.0000000000000007E-2</v>
      </c>
      <c r="G31" s="14">
        <v>0.08</v>
      </c>
      <c r="H31" s="14">
        <v>0.08</v>
      </c>
      <c r="I31" s="14">
        <v>7.0000000000000007E-2</v>
      </c>
      <c r="J31" s="14">
        <v>7.0000000000000007E-2</v>
      </c>
      <c r="K31" s="14">
        <v>0.08</v>
      </c>
      <c r="L31" s="14">
        <v>0.17</v>
      </c>
      <c r="M31" s="14">
        <v>0.13</v>
      </c>
      <c r="N31" s="14">
        <v>0.17</v>
      </c>
      <c r="O31" s="14">
        <v>0.12</v>
      </c>
      <c r="P31" s="14">
        <v>0.14000000000000001</v>
      </c>
      <c r="Q31" s="14">
        <v>0.12</v>
      </c>
      <c r="R31" s="14">
        <v>0.19</v>
      </c>
      <c r="S31" s="14">
        <v>0.11</v>
      </c>
      <c r="T31" s="14">
        <v>0.09</v>
      </c>
      <c r="U31" s="14">
        <v>0.17</v>
      </c>
      <c r="V31" s="14">
        <v>0.08</v>
      </c>
      <c r="W31" s="14">
        <v>0.17</v>
      </c>
      <c r="X31" s="14">
        <v>0.08</v>
      </c>
      <c r="Y31" s="14">
        <v>0.09</v>
      </c>
      <c r="Z31" s="14">
        <v>0.11</v>
      </c>
      <c r="AA31" s="14">
        <v>0.12</v>
      </c>
      <c r="AB31" s="14">
        <v>7.0000000000000007E-2</v>
      </c>
      <c r="AC31" s="14">
        <v>0.16</v>
      </c>
      <c r="AD31" s="14">
        <v>0.05</v>
      </c>
      <c r="AE31" s="14">
        <v>0.05</v>
      </c>
      <c r="AF31" s="14">
        <v>0.08</v>
      </c>
    </row>
    <row r="32" spans="1:32" x14ac:dyDescent="0.25">
      <c r="A32" s="19"/>
      <c r="B32" s="11" t="s">
        <v>224</v>
      </c>
      <c r="C32" s="12">
        <v>856</v>
      </c>
      <c r="D32" s="12">
        <v>4</v>
      </c>
      <c r="E32" s="12">
        <v>59</v>
      </c>
      <c r="F32" s="12">
        <v>25</v>
      </c>
      <c r="G32" s="12">
        <v>25</v>
      </c>
      <c r="H32" s="12">
        <v>41</v>
      </c>
      <c r="I32" s="12">
        <v>56</v>
      </c>
      <c r="J32" s="12">
        <v>15</v>
      </c>
      <c r="K32" s="12">
        <v>47</v>
      </c>
      <c r="L32" s="12">
        <v>20</v>
      </c>
      <c r="M32" s="12">
        <v>56</v>
      </c>
      <c r="N32" s="12">
        <v>39</v>
      </c>
      <c r="O32" s="12">
        <v>38</v>
      </c>
      <c r="P32" s="12">
        <v>25</v>
      </c>
      <c r="Q32" s="12">
        <v>12</v>
      </c>
      <c r="R32" s="12">
        <v>14</v>
      </c>
      <c r="S32" s="12">
        <v>51</v>
      </c>
      <c r="T32" s="12">
        <v>86</v>
      </c>
      <c r="U32" s="12">
        <v>11</v>
      </c>
      <c r="V32" s="12">
        <v>27</v>
      </c>
      <c r="W32" s="12">
        <v>16</v>
      </c>
      <c r="X32" s="12">
        <v>9</v>
      </c>
      <c r="Y32" s="12">
        <v>49</v>
      </c>
      <c r="Z32" s="12">
        <v>28</v>
      </c>
      <c r="AA32" s="12">
        <v>100</v>
      </c>
      <c r="AB32" s="12">
        <v>44</v>
      </c>
      <c r="AC32" s="12">
        <v>25</v>
      </c>
      <c r="AD32" s="12">
        <v>29</v>
      </c>
      <c r="AE32" s="12">
        <v>36</v>
      </c>
      <c r="AF32" s="12">
        <v>8</v>
      </c>
    </row>
    <row r="33" spans="1:32" x14ac:dyDescent="0.25">
      <c r="A33" s="19"/>
      <c r="B33" s="13" t="s">
        <v>237</v>
      </c>
      <c r="C33" s="14">
        <v>0.03</v>
      </c>
      <c r="D33" s="15" t="s">
        <v>213</v>
      </c>
      <c r="E33" s="14">
        <v>0.06</v>
      </c>
      <c r="F33" s="14">
        <v>0.02</v>
      </c>
      <c r="G33" s="14">
        <v>0.03</v>
      </c>
      <c r="H33" s="14">
        <v>0.03</v>
      </c>
      <c r="I33" s="14">
        <v>0.04</v>
      </c>
      <c r="J33" s="14">
        <v>0.05</v>
      </c>
      <c r="K33" s="14">
        <v>0.05</v>
      </c>
      <c r="L33" s="14">
        <v>0.02</v>
      </c>
      <c r="M33" s="14">
        <v>0.06</v>
      </c>
      <c r="N33" s="14">
        <v>0.04</v>
      </c>
      <c r="O33" s="14">
        <v>0.04</v>
      </c>
      <c r="P33" s="14">
        <v>0.02</v>
      </c>
      <c r="Q33" s="14">
        <v>0.01</v>
      </c>
      <c r="R33" s="14">
        <v>0.03</v>
      </c>
      <c r="S33" s="14">
        <v>0.05</v>
      </c>
      <c r="T33" s="14">
        <v>0.08</v>
      </c>
      <c r="U33" s="14">
        <v>0.02</v>
      </c>
      <c r="V33" s="14">
        <v>0.03</v>
      </c>
      <c r="W33" s="14">
        <v>0.03</v>
      </c>
      <c r="X33" s="14">
        <v>0.01</v>
      </c>
      <c r="Y33" s="14">
        <v>0.05</v>
      </c>
      <c r="Z33" s="14">
        <v>0.03</v>
      </c>
      <c r="AA33" s="14">
        <v>0.1</v>
      </c>
      <c r="AB33" s="14">
        <v>0.04</v>
      </c>
      <c r="AC33" s="14">
        <v>0.03</v>
      </c>
      <c r="AD33" s="14">
        <v>0.03</v>
      </c>
      <c r="AE33" s="14">
        <v>0.04</v>
      </c>
      <c r="AF33" s="14">
        <v>0.01</v>
      </c>
    </row>
    <row r="34" spans="1:32" ht="23.25" x14ac:dyDescent="0.25">
      <c r="A34" s="19"/>
      <c r="B34" s="11" t="s">
        <v>426</v>
      </c>
      <c r="C34" s="12">
        <v>4349</v>
      </c>
      <c r="D34" s="12">
        <v>165</v>
      </c>
      <c r="E34" s="12">
        <v>296</v>
      </c>
      <c r="F34" s="12">
        <v>342</v>
      </c>
      <c r="G34" s="12">
        <v>285</v>
      </c>
      <c r="H34" s="12">
        <v>339</v>
      </c>
      <c r="I34" s="12">
        <v>399</v>
      </c>
      <c r="J34" s="12">
        <v>60</v>
      </c>
      <c r="K34" s="12">
        <v>336</v>
      </c>
      <c r="L34" s="12">
        <v>133</v>
      </c>
      <c r="M34" s="12">
        <v>131</v>
      </c>
      <c r="N34" s="12">
        <v>71</v>
      </c>
      <c r="O34" s="12">
        <v>146</v>
      </c>
      <c r="P34" s="12">
        <v>184</v>
      </c>
      <c r="Q34" s="12">
        <v>92</v>
      </c>
      <c r="R34" s="12">
        <v>56</v>
      </c>
      <c r="S34" s="12">
        <v>261</v>
      </c>
      <c r="T34" s="12">
        <v>252</v>
      </c>
      <c r="U34" s="12">
        <v>60</v>
      </c>
      <c r="V34" s="12">
        <v>221</v>
      </c>
      <c r="W34" s="12">
        <v>53</v>
      </c>
      <c r="X34" s="12">
        <v>127</v>
      </c>
      <c r="Y34" s="12">
        <v>192</v>
      </c>
      <c r="Z34" s="12">
        <v>90</v>
      </c>
      <c r="AA34" s="12">
        <v>197</v>
      </c>
      <c r="AB34" s="12">
        <v>163</v>
      </c>
      <c r="AC34" s="12">
        <v>286</v>
      </c>
      <c r="AD34" s="12">
        <v>207</v>
      </c>
      <c r="AE34" s="12">
        <v>228</v>
      </c>
      <c r="AF34" s="12">
        <v>263</v>
      </c>
    </row>
    <row r="35" spans="1:32" ht="23.25" x14ac:dyDescent="0.25">
      <c r="A35" s="19"/>
      <c r="B35" s="13" t="s">
        <v>427</v>
      </c>
      <c r="C35" s="14">
        <v>0.16</v>
      </c>
      <c r="D35" s="14">
        <v>0.17</v>
      </c>
      <c r="E35" s="14">
        <v>0.28000000000000003</v>
      </c>
      <c r="F35" s="14">
        <v>0.32</v>
      </c>
      <c r="G35" s="14">
        <v>0.28000000000000003</v>
      </c>
      <c r="H35" s="14">
        <v>0.27</v>
      </c>
      <c r="I35" s="14">
        <v>0.26</v>
      </c>
      <c r="J35" s="14">
        <v>0.2</v>
      </c>
      <c r="K35" s="14">
        <v>0.33</v>
      </c>
      <c r="L35" s="14">
        <v>0.13</v>
      </c>
      <c r="M35" s="14">
        <v>0.13</v>
      </c>
      <c r="N35" s="14">
        <v>7.0000000000000007E-2</v>
      </c>
      <c r="O35" s="14">
        <v>0.14000000000000001</v>
      </c>
      <c r="P35" s="14">
        <v>0.17</v>
      </c>
      <c r="Q35" s="14">
        <v>0.09</v>
      </c>
      <c r="R35" s="14">
        <v>0.12</v>
      </c>
      <c r="S35" s="14">
        <v>0.26</v>
      </c>
      <c r="T35" s="14">
        <v>0.26</v>
      </c>
      <c r="U35" s="14">
        <v>0.11</v>
      </c>
      <c r="V35" s="14">
        <v>0.21</v>
      </c>
      <c r="W35" s="14">
        <v>0.11</v>
      </c>
      <c r="X35" s="14">
        <v>0.13</v>
      </c>
      <c r="Y35" s="14">
        <v>0.19</v>
      </c>
      <c r="Z35" s="14">
        <v>0.09</v>
      </c>
      <c r="AA35" s="14">
        <v>0.19</v>
      </c>
      <c r="AB35" s="14">
        <v>0.15</v>
      </c>
      <c r="AC35" s="14">
        <v>0.28000000000000003</v>
      </c>
      <c r="AD35" s="14">
        <v>0.21</v>
      </c>
      <c r="AE35" s="14">
        <v>0.23</v>
      </c>
      <c r="AF35" s="14">
        <v>0.26</v>
      </c>
    </row>
    <row r="36" spans="1:32" ht="23.25" x14ac:dyDescent="0.25">
      <c r="A36" s="19"/>
      <c r="B36" s="11" t="s">
        <v>428</v>
      </c>
      <c r="C36" s="12">
        <v>6781</v>
      </c>
      <c r="D36" s="12">
        <v>278</v>
      </c>
      <c r="E36" s="12">
        <v>268</v>
      </c>
      <c r="F36" s="12">
        <v>385</v>
      </c>
      <c r="G36" s="12">
        <v>269</v>
      </c>
      <c r="H36" s="12">
        <v>382</v>
      </c>
      <c r="I36" s="12">
        <v>473</v>
      </c>
      <c r="J36" s="12">
        <v>92</v>
      </c>
      <c r="K36" s="12">
        <v>263</v>
      </c>
      <c r="L36" s="12">
        <v>188</v>
      </c>
      <c r="M36" s="12">
        <v>195</v>
      </c>
      <c r="N36" s="12">
        <v>200</v>
      </c>
      <c r="O36" s="12">
        <v>274</v>
      </c>
      <c r="P36" s="12">
        <v>250</v>
      </c>
      <c r="Q36" s="12">
        <v>190</v>
      </c>
      <c r="R36" s="12">
        <v>72</v>
      </c>
      <c r="S36" s="12">
        <v>266</v>
      </c>
      <c r="T36" s="12">
        <v>303</v>
      </c>
      <c r="U36" s="12">
        <v>136</v>
      </c>
      <c r="V36" s="12">
        <v>324</v>
      </c>
      <c r="W36" s="12">
        <v>98</v>
      </c>
      <c r="X36" s="12">
        <v>261</v>
      </c>
      <c r="Y36" s="12">
        <v>304</v>
      </c>
      <c r="Z36" s="12">
        <v>259</v>
      </c>
      <c r="AA36" s="12">
        <v>188</v>
      </c>
      <c r="AB36" s="12">
        <v>276</v>
      </c>
      <c r="AC36" s="12">
        <v>239</v>
      </c>
      <c r="AD36" s="12">
        <v>384</v>
      </c>
      <c r="AE36" s="12">
        <v>284</v>
      </c>
      <c r="AF36" s="12">
        <v>281</v>
      </c>
    </row>
    <row r="37" spans="1:32" ht="23.25" x14ac:dyDescent="0.25">
      <c r="A37" s="19"/>
      <c r="B37" s="13" t="s">
        <v>429</v>
      </c>
      <c r="C37" s="14">
        <v>0.26</v>
      </c>
      <c r="D37" s="14">
        <v>0.27</v>
      </c>
      <c r="E37" s="14">
        <v>0.25</v>
      </c>
      <c r="F37" s="14">
        <v>0.36</v>
      </c>
      <c r="G37" s="14">
        <v>0.26</v>
      </c>
      <c r="H37" s="14">
        <v>0.31</v>
      </c>
      <c r="I37" s="14">
        <v>0.31</v>
      </c>
      <c r="J37" s="14">
        <v>0.31</v>
      </c>
      <c r="K37" s="14">
        <v>0.26</v>
      </c>
      <c r="L37" s="14">
        <v>0.19</v>
      </c>
      <c r="M37" s="14">
        <v>0.19</v>
      </c>
      <c r="N37" s="14">
        <v>0.2</v>
      </c>
      <c r="O37" s="14">
        <v>0.27</v>
      </c>
      <c r="P37" s="14">
        <v>0.25</v>
      </c>
      <c r="Q37" s="14">
        <v>0.18</v>
      </c>
      <c r="R37" s="14">
        <v>0.14000000000000001</v>
      </c>
      <c r="S37" s="14">
        <v>0.26</v>
      </c>
      <c r="T37" s="14">
        <v>0.28999999999999998</v>
      </c>
      <c r="U37" s="14">
        <v>0.27</v>
      </c>
      <c r="V37" s="14">
        <v>0.31</v>
      </c>
      <c r="W37" s="14">
        <v>0.19</v>
      </c>
      <c r="X37" s="14">
        <v>0.25</v>
      </c>
      <c r="Y37" s="14">
        <v>0.31</v>
      </c>
      <c r="Z37" s="14">
        <v>0.26</v>
      </c>
      <c r="AA37" s="14">
        <v>0.18</v>
      </c>
      <c r="AB37" s="14">
        <v>0.27</v>
      </c>
      <c r="AC37" s="14">
        <v>0.24</v>
      </c>
      <c r="AD37" s="14">
        <v>0.38</v>
      </c>
      <c r="AE37" s="14">
        <v>0.28000000000000003</v>
      </c>
      <c r="AF37" s="14">
        <v>0.27</v>
      </c>
    </row>
    <row r="38" spans="1:32" ht="23.25" x14ac:dyDescent="0.25">
      <c r="A38" s="19"/>
      <c r="B38" s="11" t="s">
        <v>430</v>
      </c>
      <c r="C38" s="12">
        <v>14468</v>
      </c>
      <c r="D38" s="12">
        <v>572</v>
      </c>
      <c r="E38" s="12">
        <v>423</v>
      </c>
      <c r="F38" s="12">
        <v>312</v>
      </c>
      <c r="G38" s="12">
        <v>438</v>
      </c>
      <c r="H38" s="12">
        <v>468</v>
      </c>
      <c r="I38" s="12">
        <v>599</v>
      </c>
      <c r="J38" s="12">
        <v>131</v>
      </c>
      <c r="K38" s="12">
        <v>359</v>
      </c>
      <c r="L38" s="12">
        <v>667</v>
      </c>
      <c r="M38" s="12">
        <v>626</v>
      </c>
      <c r="N38" s="12">
        <v>700</v>
      </c>
      <c r="O38" s="12">
        <v>545</v>
      </c>
      <c r="P38" s="12">
        <v>546</v>
      </c>
      <c r="Q38" s="12">
        <v>737</v>
      </c>
      <c r="R38" s="12">
        <v>358</v>
      </c>
      <c r="S38" s="12">
        <v>425</v>
      </c>
      <c r="T38" s="12">
        <v>381</v>
      </c>
      <c r="U38" s="12">
        <v>302</v>
      </c>
      <c r="V38" s="12">
        <v>454</v>
      </c>
      <c r="W38" s="12">
        <v>334</v>
      </c>
      <c r="X38" s="12">
        <v>613</v>
      </c>
      <c r="Y38" s="12">
        <v>458</v>
      </c>
      <c r="Z38" s="12">
        <v>638</v>
      </c>
      <c r="AA38" s="12">
        <v>552</v>
      </c>
      <c r="AB38" s="12">
        <v>559</v>
      </c>
      <c r="AC38" s="12">
        <v>456</v>
      </c>
      <c r="AD38" s="12">
        <v>383</v>
      </c>
      <c r="AE38" s="12">
        <v>453</v>
      </c>
      <c r="AF38" s="12">
        <v>480</v>
      </c>
    </row>
    <row r="39" spans="1:32" ht="23.25" x14ac:dyDescent="0.25">
      <c r="A39" s="19"/>
      <c r="B39" s="13" t="s">
        <v>431</v>
      </c>
      <c r="C39" s="14">
        <v>0.55000000000000004</v>
      </c>
      <c r="D39" s="14">
        <v>0.56000000000000005</v>
      </c>
      <c r="E39" s="14">
        <v>0.41</v>
      </c>
      <c r="F39" s="14">
        <v>0.3</v>
      </c>
      <c r="G39" s="14">
        <v>0.43</v>
      </c>
      <c r="H39" s="14">
        <v>0.39</v>
      </c>
      <c r="I39" s="14">
        <v>0.39</v>
      </c>
      <c r="J39" s="14">
        <v>0.44</v>
      </c>
      <c r="K39" s="14">
        <v>0.36</v>
      </c>
      <c r="L39" s="14">
        <v>0.66</v>
      </c>
      <c r="M39" s="14">
        <v>0.62</v>
      </c>
      <c r="N39" s="14">
        <v>0.69000000000000006</v>
      </c>
      <c r="O39" s="14">
        <v>0.55000000000000004</v>
      </c>
      <c r="P39" s="14">
        <v>0.56000000000000005</v>
      </c>
      <c r="Q39" s="14">
        <v>0.72</v>
      </c>
      <c r="R39" s="14">
        <v>0.71</v>
      </c>
      <c r="S39" s="14">
        <v>0.43</v>
      </c>
      <c r="T39" s="14">
        <v>0.37</v>
      </c>
      <c r="U39" s="14">
        <v>0.6</v>
      </c>
      <c r="V39" s="14">
        <v>0.45</v>
      </c>
      <c r="W39" s="14">
        <v>0.67</v>
      </c>
      <c r="X39" s="14">
        <v>0.61</v>
      </c>
      <c r="Y39" s="14">
        <v>0.45</v>
      </c>
      <c r="Z39" s="14">
        <v>0.62</v>
      </c>
      <c r="AA39" s="14">
        <v>0.53</v>
      </c>
      <c r="AB39" s="14">
        <v>0.54</v>
      </c>
      <c r="AC39" s="14">
        <v>0.45</v>
      </c>
      <c r="AD39" s="14">
        <v>0.38</v>
      </c>
      <c r="AE39" s="14">
        <v>0.45</v>
      </c>
      <c r="AF39" s="14">
        <v>0.46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468</v>
      </c>
      <c r="C3" s="18"/>
      <c r="D3" s="18"/>
      <c r="E3" s="18"/>
      <c r="F3" s="18"/>
      <c r="H3" s="18" t="s">
        <v>469</v>
      </c>
      <c r="I3" s="18"/>
      <c r="J3" s="18"/>
      <c r="K3" s="18"/>
      <c r="L3" s="18"/>
    </row>
    <row r="4" spans="1:32" ht="27" customHeight="1" x14ac:dyDescent="0.25">
      <c r="B4" s="18" t="s">
        <v>470</v>
      </c>
      <c r="C4" s="18"/>
      <c r="D4" s="18"/>
      <c r="E4" s="18"/>
      <c r="F4" s="18"/>
      <c r="H4" s="18" t="s">
        <v>471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HYPERLINK("#Content!A39","&lt;&lt;Back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427</v>
      </c>
      <c r="D12" s="12">
        <v>17</v>
      </c>
      <c r="E12" s="12">
        <v>34</v>
      </c>
      <c r="F12" s="12">
        <v>63</v>
      </c>
      <c r="G12" s="12">
        <v>28</v>
      </c>
      <c r="H12" s="12">
        <v>27</v>
      </c>
      <c r="I12" s="12">
        <v>30</v>
      </c>
      <c r="J12" s="12">
        <v>3</v>
      </c>
      <c r="K12" s="12">
        <v>51</v>
      </c>
      <c r="L12" s="12">
        <v>32</v>
      </c>
      <c r="M12" s="12">
        <v>6</v>
      </c>
      <c r="N12" s="12">
        <v>11</v>
      </c>
      <c r="O12" s="12">
        <v>16</v>
      </c>
      <c r="P12" s="12">
        <v>8</v>
      </c>
      <c r="Q12" s="12">
        <v>14</v>
      </c>
      <c r="R12" s="12">
        <v>2</v>
      </c>
      <c r="S12" s="12">
        <v>45</v>
      </c>
      <c r="T12" s="12">
        <v>40</v>
      </c>
      <c r="U12" s="12">
        <v>13</v>
      </c>
      <c r="V12" s="12">
        <v>4</v>
      </c>
      <c r="W12" s="12">
        <v>13</v>
      </c>
      <c r="X12" s="12">
        <v>6</v>
      </c>
      <c r="Y12" s="12">
        <v>12</v>
      </c>
      <c r="Z12" s="12">
        <v>3</v>
      </c>
      <c r="AA12" s="12">
        <v>9</v>
      </c>
      <c r="AB12" s="12">
        <v>38</v>
      </c>
      <c r="AC12" s="12">
        <v>31</v>
      </c>
      <c r="AD12" s="12">
        <v>25</v>
      </c>
      <c r="AE12" s="12">
        <v>7</v>
      </c>
      <c r="AF12" s="12">
        <v>7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0.03</v>
      </c>
      <c r="F13" s="14">
        <v>0.06</v>
      </c>
      <c r="G13" s="14">
        <v>0.03</v>
      </c>
      <c r="H13" s="14">
        <v>0.02</v>
      </c>
      <c r="I13" s="14">
        <v>0.02</v>
      </c>
      <c r="J13" s="14">
        <v>0.01</v>
      </c>
      <c r="K13" s="14">
        <v>0.05</v>
      </c>
      <c r="L13" s="14">
        <v>0.03</v>
      </c>
      <c r="M13" s="14">
        <v>0.01</v>
      </c>
      <c r="N13" s="14">
        <v>0.01</v>
      </c>
      <c r="O13" s="14">
        <v>0.02</v>
      </c>
      <c r="P13" s="14">
        <v>0.01</v>
      </c>
      <c r="Q13" s="14">
        <v>0.01</v>
      </c>
      <c r="R13" s="15" t="s">
        <v>213</v>
      </c>
      <c r="S13" s="14">
        <v>0.05</v>
      </c>
      <c r="T13" s="14">
        <v>0.04</v>
      </c>
      <c r="U13" s="14">
        <v>0.03</v>
      </c>
      <c r="V13" s="15" t="s">
        <v>213</v>
      </c>
      <c r="W13" s="14">
        <v>0.02</v>
      </c>
      <c r="X13" s="14">
        <v>0.01</v>
      </c>
      <c r="Y13" s="14">
        <v>0.01</v>
      </c>
      <c r="Z13" s="15" t="s">
        <v>213</v>
      </c>
      <c r="AA13" s="14">
        <v>0.01</v>
      </c>
      <c r="AB13" s="14">
        <v>0.04</v>
      </c>
      <c r="AC13" s="14">
        <v>0.03</v>
      </c>
      <c r="AD13" s="14">
        <v>0.03</v>
      </c>
      <c r="AE13" s="14">
        <v>0.01</v>
      </c>
      <c r="AF13" s="14">
        <v>0.01</v>
      </c>
    </row>
    <row r="14" spans="1:32" x14ac:dyDescent="0.25">
      <c r="A14" s="19"/>
      <c r="B14" s="11" t="s">
        <v>416</v>
      </c>
      <c r="C14" s="12">
        <v>472</v>
      </c>
      <c r="D14" s="12">
        <v>13</v>
      </c>
      <c r="E14" s="12">
        <v>22</v>
      </c>
      <c r="F14" s="12">
        <v>25</v>
      </c>
      <c r="G14" s="12">
        <v>29</v>
      </c>
      <c r="H14" s="12">
        <v>80</v>
      </c>
      <c r="I14" s="12">
        <v>85</v>
      </c>
      <c r="J14" s="12">
        <v>5</v>
      </c>
      <c r="K14" s="12">
        <v>37</v>
      </c>
      <c r="L14" s="12">
        <v>14</v>
      </c>
      <c r="M14" s="12">
        <v>8</v>
      </c>
      <c r="N14" s="12">
        <v>3</v>
      </c>
      <c r="O14" s="12">
        <v>11</v>
      </c>
      <c r="P14" s="12">
        <v>11</v>
      </c>
      <c r="Q14" s="12">
        <v>5</v>
      </c>
      <c r="R14" s="12">
        <v>0</v>
      </c>
      <c r="S14" s="12">
        <v>13</v>
      </c>
      <c r="T14" s="12">
        <v>21</v>
      </c>
      <c r="U14" s="12">
        <v>1</v>
      </c>
      <c r="V14" s="12">
        <v>4</v>
      </c>
      <c r="W14" s="12">
        <v>4</v>
      </c>
      <c r="X14" s="12">
        <v>8</v>
      </c>
      <c r="Y14" s="12">
        <v>8</v>
      </c>
      <c r="Z14" s="12">
        <v>1</v>
      </c>
      <c r="AA14" s="12">
        <v>21</v>
      </c>
      <c r="AB14" s="12">
        <v>9</v>
      </c>
      <c r="AC14" s="12">
        <v>30</v>
      </c>
      <c r="AD14" s="12">
        <v>9</v>
      </c>
      <c r="AE14" s="12">
        <v>16</v>
      </c>
      <c r="AF14" s="12">
        <v>23</v>
      </c>
    </row>
    <row r="15" spans="1:32" x14ac:dyDescent="0.25">
      <c r="A15" s="19"/>
      <c r="B15" s="13" t="s">
        <v>416</v>
      </c>
      <c r="C15" s="14">
        <v>0.02</v>
      </c>
      <c r="D15" s="14">
        <v>0.01</v>
      </c>
      <c r="E15" s="14">
        <v>0.02</v>
      </c>
      <c r="F15" s="14">
        <v>0.02</v>
      </c>
      <c r="G15" s="14">
        <v>0.03</v>
      </c>
      <c r="H15" s="14">
        <v>0.06</v>
      </c>
      <c r="I15" s="14">
        <v>0.06</v>
      </c>
      <c r="J15" s="14">
        <v>0.02</v>
      </c>
      <c r="K15" s="14">
        <v>0.04</v>
      </c>
      <c r="L15" s="14">
        <v>0.01</v>
      </c>
      <c r="M15" s="14">
        <v>0.01</v>
      </c>
      <c r="N15" s="15" t="s">
        <v>213</v>
      </c>
      <c r="O15" s="14">
        <v>0.01</v>
      </c>
      <c r="P15" s="14">
        <v>0.01</v>
      </c>
      <c r="Q15" s="14">
        <v>0.01</v>
      </c>
      <c r="R15" s="15" t="s">
        <v>213</v>
      </c>
      <c r="S15" s="14">
        <v>0.01</v>
      </c>
      <c r="T15" s="14">
        <v>0.02</v>
      </c>
      <c r="U15" s="15" t="s">
        <v>213</v>
      </c>
      <c r="V15" s="15" t="s">
        <v>213</v>
      </c>
      <c r="W15" s="14">
        <v>0.01</v>
      </c>
      <c r="X15" s="14">
        <v>0.01</v>
      </c>
      <c r="Y15" s="14">
        <v>0.01</v>
      </c>
      <c r="Z15" s="15" t="s">
        <v>213</v>
      </c>
      <c r="AA15" s="14">
        <v>0.02</v>
      </c>
      <c r="AB15" s="14">
        <v>0.01</v>
      </c>
      <c r="AC15" s="14">
        <v>0.03</v>
      </c>
      <c r="AD15" s="14">
        <v>0.01</v>
      </c>
      <c r="AE15" s="14">
        <v>0.02</v>
      </c>
      <c r="AF15" s="14">
        <v>0.02</v>
      </c>
    </row>
    <row r="16" spans="1:32" x14ac:dyDescent="0.25">
      <c r="A16" s="19"/>
      <c r="B16" s="11" t="s">
        <v>417</v>
      </c>
      <c r="C16" s="12">
        <v>807</v>
      </c>
      <c r="D16" s="12">
        <v>23</v>
      </c>
      <c r="E16" s="12">
        <v>50</v>
      </c>
      <c r="F16" s="12">
        <v>62</v>
      </c>
      <c r="G16" s="12">
        <v>83</v>
      </c>
      <c r="H16" s="12">
        <v>64</v>
      </c>
      <c r="I16" s="12">
        <v>72</v>
      </c>
      <c r="J16" s="12">
        <v>8</v>
      </c>
      <c r="K16" s="12">
        <v>52</v>
      </c>
      <c r="L16" s="12">
        <v>19</v>
      </c>
      <c r="M16" s="12">
        <v>9</v>
      </c>
      <c r="N16" s="12">
        <v>12</v>
      </c>
      <c r="O16" s="12">
        <v>30</v>
      </c>
      <c r="P16" s="12">
        <v>29</v>
      </c>
      <c r="Q16" s="12">
        <v>18</v>
      </c>
      <c r="R16" s="12">
        <v>10</v>
      </c>
      <c r="S16" s="12">
        <v>30</v>
      </c>
      <c r="T16" s="12">
        <v>40</v>
      </c>
      <c r="U16" s="12">
        <v>12</v>
      </c>
      <c r="V16" s="12">
        <v>33</v>
      </c>
      <c r="W16" s="12">
        <v>5</v>
      </c>
      <c r="X16" s="12">
        <v>24</v>
      </c>
      <c r="Y16" s="12">
        <v>30</v>
      </c>
      <c r="Z16" s="12">
        <v>20</v>
      </c>
      <c r="AA16" s="12">
        <v>71</v>
      </c>
      <c r="AB16" s="12">
        <v>15</v>
      </c>
      <c r="AC16" s="12">
        <v>55</v>
      </c>
      <c r="AD16" s="12">
        <v>58</v>
      </c>
      <c r="AE16" s="12">
        <v>46</v>
      </c>
      <c r="AF16" s="12">
        <v>48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0.05</v>
      </c>
      <c r="F17" s="14">
        <v>0.06</v>
      </c>
      <c r="G17" s="14">
        <v>0.08</v>
      </c>
      <c r="H17" s="14">
        <v>0.05</v>
      </c>
      <c r="I17" s="14">
        <v>0.05</v>
      </c>
      <c r="J17" s="14">
        <v>0.03</v>
      </c>
      <c r="K17" s="14">
        <v>0.05</v>
      </c>
      <c r="L17" s="14">
        <v>0.02</v>
      </c>
      <c r="M17" s="14">
        <v>0.01</v>
      </c>
      <c r="N17" s="14">
        <v>0.01</v>
      </c>
      <c r="O17" s="14">
        <v>0.03</v>
      </c>
      <c r="P17" s="14">
        <v>0.03</v>
      </c>
      <c r="Q17" s="14">
        <v>0.02</v>
      </c>
      <c r="R17" s="14">
        <v>0.02</v>
      </c>
      <c r="S17" s="14">
        <v>0.03</v>
      </c>
      <c r="T17" s="14">
        <v>0.04</v>
      </c>
      <c r="U17" s="14">
        <v>0.02</v>
      </c>
      <c r="V17" s="14">
        <v>0.03</v>
      </c>
      <c r="W17" s="14">
        <v>0.01</v>
      </c>
      <c r="X17" s="14">
        <v>0.02</v>
      </c>
      <c r="Y17" s="14">
        <v>0.03</v>
      </c>
      <c r="Z17" s="14">
        <v>0.02</v>
      </c>
      <c r="AA17" s="14">
        <v>7.0000000000000007E-2</v>
      </c>
      <c r="AB17" s="14">
        <v>0.01</v>
      </c>
      <c r="AC17" s="14">
        <v>0.06</v>
      </c>
      <c r="AD17" s="14">
        <v>0.06</v>
      </c>
      <c r="AE17" s="14">
        <v>0.05</v>
      </c>
      <c r="AF17" s="14">
        <v>0.05</v>
      </c>
    </row>
    <row r="18" spans="1:32" x14ac:dyDescent="0.25">
      <c r="A18" s="19"/>
      <c r="B18" s="11" t="s">
        <v>418</v>
      </c>
      <c r="C18" s="12">
        <v>1148</v>
      </c>
      <c r="D18" s="12">
        <v>40</v>
      </c>
      <c r="E18" s="12">
        <v>84</v>
      </c>
      <c r="F18" s="12">
        <v>90</v>
      </c>
      <c r="G18" s="12">
        <v>81</v>
      </c>
      <c r="H18" s="12">
        <v>93</v>
      </c>
      <c r="I18" s="12">
        <v>106</v>
      </c>
      <c r="J18" s="12">
        <v>13</v>
      </c>
      <c r="K18" s="12">
        <v>68</v>
      </c>
      <c r="L18" s="12">
        <v>31</v>
      </c>
      <c r="M18" s="12">
        <v>20</v>
      </c>
      <c r="N18" s="12">
        <v>17</v>
      </c>
      <c r="O18" s="12">
        <v>24</v>
      </c>
      <c r="P18" s="12">
        <v>58</v>
      </c>
      <c r="Q18" s="12">
        <v>37</v>
      </c>
      <c r="R18" s="12">
        <v>11</v>
      </c>
      <c r="S18" s="12">
        <v>61</v>
      </c>
      <c r="T18" s="12">
        <v>36</v>
      </c>
      <c r="U18" s="12">
        <v>11</v>
      </c>
      <c r="V18" s="12">
        <v>60</v>
      </c>
      <c r="W18" s="12">
        <v>19</v>
      </c>
      <c r="X18" s="12">
        <v>39</v>
      </c>
      <c r="Y18" s="12">
        <v>54</v>
      </c>
      <c r="Z18" s="12">
        <v>41</v>
      </c>
      <c r="AA18" s="12">
        <v>65</v>
      </c>
      <c r="AB18" s="12">
        <v>32</v>
      </c>
      <c r="AC18" s="12">
        <v>64</v>
      </c>
      <c r="AD18" s="12">
        <v>44</v>
      </c>
      <c r="AE18" s="12">
        <v>57</v>
      </c>
      <c r="AF18" s="12">
        <v>52</v>
      </c>
    </row>
    <row r="19" spans="1:32" x14ac:dyDescent="0.25">
      <c r="A19" s="19"/>
      <c r="B19" s="13" t="s">
        <v>418</v>
      </c>
      <c r="C19" s="14">
        <v>0.04</v>
      </c>
      <c r="D19" s="14">
        <v>0.04</v>
      </c>
      <c r="E19" s="14">
        <v>0.08</v>
      </c>
      <c r="F19" s="14">
        <v>0.08</v>
      </c>
      <c r="G19" s="14">
        <v>0.08</v>
      </c>
      <c r="H19" s="14">
        <v>0.08</v>
      </c>
      <c r="I19" s="14">
        <v>7.0000000000000007E-2</v>
      </c>
      <c r="J19" s="14">
        <v>0.04</v>
      </c>
      <c r="K19" s="14">
        <v>7.0000000000000007E-2</v>
      </c>
      <c r="L19" s="14">
        <v>0.03</v>
      </c>
      <c r="M19" s="14">
        <v>0.02</v>
      </c>
      <c r="N19" s="14">
        <v>0.02</v>
      </c>
      <c r="O19" s="14">
        <v>0.02</v>
      </c>
      <c r="P19" s="14">
        <v>0.06</v>
      </c>
      <c r="Q19" s="14">
        <v>0.04</v>
      </c>
      <c r="R19" s="14">
        <v>0.02</v>
      </c>
      <c r="S19" s="14">
        <v>0.06</v>
      </c>
      <c r="T19" s="14">
        <v>0.04</v>
      </c>
      <c r="U19" s="14">
        <v>0.02</v>
      </c>
      <c r="V19" s="14">
        <v>0.06</v>
      </c>
      <c r="W19" s="14">
        <v>0.04</v>
      </c>
      <c r="X19" s="14">
        <v>0.04</v>
      </c>
      <c r="Y19" s="14">
        <v>0.05</v>
      </c>
      <c r="Z19" s="14">
        <v>0.04</v>
      </c>
      <c r="AA19" s="14">
        <v>0.06</v>
      </c>
      <c r="AB19" s="14">
        <v>0.03</v>
      </c>
      <c r="AC19" s="14">
        <v>0.06</v>
      </c>
      <c r="AD19" s="14">
        <v>0.04</v>
      </c>
      <c r="AE19" s="14">
        <v>0.06</v>
      </c>
      <c r="AF19" s="14">
        <v>0.05</v>
      </c>
    </row>
    <row r="20" spans="1:32" x14ac:dyDescent="0.25">
      <c r="A20" s="19"/>
      <c r="B20" s="11" t="s">
        <v>419</v>
      </c>
      <c r="C20" s="12">
        <v>2224</v>
      </c>
      <c r="D20" s="12">
        <v>87</v>
      </c>
      <c r="E20" s="12">
        <v>129</v>
      </c>
      <c r="F20" s="12">
        <v>191</v>
      </c>
      <c r="G20" s="12">
        <v>105</v>
      </c>
      <c r="H20" s="12">
        <v>142</v>
      </c>
      <c r="I20" s="12">
        <v>187</v>
      </c>
      <c r="J20" s="12">
        <v>45</v>
      </c>
      <c r="K20" s="12">
        <v>132</v>
      </c>
      <c r="L20" s="12">
        <v>68</v>
      </c>
      <c r="M20" s="12">
        <v>73</v>
      </c>
      <c r="N20" s="12">
        <v>31</v>
      </c>
      <c r="O20" s="12">
        <v>90</v>
      </c>
      <c r="P20" s="12">
        <v>102</v>
      </c>
      <c r="Q20" s="12">
        <v>43</v>
      </c>
      <c r="R20" s="12">
        <v>26</v>
      </c>
      <c r="S20" s="12">
        <v>114</v>
      </c>
      <c r="T20" s="12">
        <v>149</v>
      </c>
      <c r="U20" s="12">
        <v>34</v>
      </c>
      <c r="V20" s="12">
        <v>115</v>
      </c>
      <c r="W20" s="12">
        <v>26</v>
      </c>
      <c r="X20" s="12">
        <v>73</v>
      </c>
      <c r="Y20" s="12">
        <v>111</v>
      </c>
      <c r="Z20" s="12">
        <v>83</v>
      </c>
      <c r="AA20" s="12">
        <v>80</v>
      </c>
      <c r="AB20" s="12">
        <v>70</v>
      </c>
      <c r="AC20" s="12">
        <v>114</v>
      </c>
      <c r="AD20" s="12">
        <v>112</v>
      </c>
      <c r="AE20" s="12">
        <v>80</v>
      </c>
      <c r="AF20" s="12">
        <v>92</v>
      </c>
    </row>
    <row r="21" spans="1:32" x14ac:dyDescent="0.25">
      <c r="A21" s="19"/>
      <c r="B21" s="13" t="s">
        <v>419</v>
      </c>
      <c r="C21" s="14">
        <v>0.08</v>
      </c>
      <c r="D21" s="14">
        <v>0.09</v>
      </c>
      <c r="E21" s="14">
        <v>0.12</v>
      </c>
      <c r="F21" s="14">
        <v>0.18</v>
      </c>
      <c r="G21" s="14">
        <v>0.1</v>
      </c>
      <c r="H21" s="14">
        <v>0.12</v>
      </c>
      <c r="I21" s="14">
        <v>0.12</v>
      </c>
      <c r="J21" s="14">
        <v>0.15</v>
      </c>
      <c r="K21" s="14">
        <v>0.13</v>
      </c>
      <c r="L21" s="14">
        <v>7.0000000000000007E-2</v>
      </c>
      <c r="M21" s="14">
        <v>7.0000000000000007E-2</v>
      </c>
      <c r="N21" s="14">
        <v>0.03</v>
      </c>
      <c r="O21" s="14">
        <v>0.09</v>
      </c>
      <c r="P21" s="14">
        <v>0.1</v>
      </c>
      <c r="Q21" s="14">
        <v>0.04</v>
      </c>
      <c r="R21" s="14">
        <v>0.05</v>
      </c>
      <c r="S21" s="14">
        <v>0.11</v>
      </c>
      <c r="T21" s="14">
        <v>0.15</v>
      </c>
      <c r="U21" s="14">
        <v>7.0000000000000007E-2</v>
      </c>
      <c r="V21" s="14">
        <v>0.11</v>
      </c>
      <c r="W21" s="14">
        <v>0.05</v>
      </c>
      <c r="X21" s="14">
        <v>7.0000000000000007E-2</v>
      </c>
      <c r="Y21" s="14">
        <v>0.11</v>
      </c>
      <c r="Z21" s="14">
        <v>0.08</v>
      </c>
      <c r="AA21" s="14">
        <v>0.08</v>
      </c>
      <c r="AB21" s="14">
        <v>7.0000000000000007E-2</v>
      </c>
      <c r="AC21" s="14">
        <v>0.11</v>
      </c>
      <c r="AD21" s="14">
        <v>0.11</v>
      </c>
      <c r="AE21" s="14">
        <v>0.08</v>
      </c>
      <c r="AF21" s="14">
        <v>0.09</v>
      </c>
    </row>
    <row r="22" spans="1:32" x14ac:dyDescent="0.25">
      <c r="A22" s="19"/>
      <c r="B22" s="11" t="s">
        <v>420</v>
      </c>
      <c r="C22" s="12">
        <v>2782</v>
      </c>
      <c r="D22" s="12">
        <v>138</v>
      </c>
      <c r="E22" s="12">
        <v>132</v>
      </c>
      <c r="F22" s="12">
        <v>146</v>
      </c>
      <c r="G22" s="12">
        <v>117</v>
      </c>
      <c r="H22" s="12">
        <v>124</v>
      </c>
      <c r="I22" s="12">
        <v>169</v>
      </c>
      <c r="J22" s="12">
        <v>45</v>
      </c>
      <c r="K22" s="12">
        <v>145</v>
      </c>
      <c r="L22" s="12">
        <v>70</v>
      </c>
      <c r="M22" s="12">
        <v>101</v>
      </c>
      <c r="N22" s="12">
        <v>70</v>
      </c>
      <c r="O22" s="12">
        <v>113</v>
      </c>
      <c r="P22" s="12">
        <v>115</v>
      </c>
      <c r="Q22" s="12">
        <v>75</v>
      </c>
      <c r="R22" s="12">
        <v>39</v>
      </c>
      <c r="S22" s="12">
        <v>93</v>
      </c>
      <c r="T22" s="12">
        <v>116</v>
      </c>
      <c r="U22" s="12">
        <v>42</v>
      </c>
      <c r="V22" s="12">
        <v>176</v>
      </c>
      <c r="W22" s="12">
        <v>45</v>
      </c>
      <c r="X22" s="12">
        <v>121</v>
      </c>
      <c r="Y22" s="12">
        <v>122</v>
      </c>
      <c r="Z22" s="12">
        <v>134</v>
      </c>
      <c r="AA22" s="12">
        <v>62</v>
      </c>
      <c r="AB22" s="12">
        <v>130</v>
      </c>
      <c r="AC22" s="12">
        <v>80</v>
      </c>
      <c r="AD22" s="12">
        <v>128</v>
      </c>
      <c r="AE22" s="12">
        <v>113</v>
      </c>
      <c r="AF22" s="12">
        <v>120</v>
      </c>
    </row>
    <row r="23" spans="1:32" x14ac:dyDescent="0.25">
      <c r="A23" s="19"/>
      <c r="B23" s="13" t="s">
        <v>420</v>
      </c>
      <c r="C23" s="14">
        <v>0.11</v>
      </c>
      <c r="D23" s="14">
        <v>0.14000000000000001</v>
      </c>
      <c r="E23" s="14">
        <v>0.13</v>
      </c>
      <c r="F23" s="14">
        <v>0.14000000000000001</v>
      </c>
      <c r="G23" s="14">
        <v>0.11</v>
      </c>
      <c r="H23" s="14">
        <v>0.1</v>
      </c>
      <c r="I23" s="14">
        <v>0.11</v>
      </c>
      <c r="J23" s="14">
        <v>0.15</v>
      </c>
      <c r="K23" s="14">
        <v>0.14000000000000001</v>
      </c>
      <c r="L23" s="14">
        <v>7.0000000000000007E-2</v>
      </c>
      <c r="M23" s="14">
        <v>0.1</v>
      </c>
      <c r="N23" s="14">
        <v>7.0000000000000007E-2</v>
      </c>
      <c r="O23" s="14">
        <v>0.11</v>
      </c>
      <c r="P23" s="14">
        <v>0.11</v>
      </c>
      <c r="Q23" s="14">
        <v>7.0000000000000007E-2</v>
      </c>
      <c r="R23" s="14">
        <v>0.08</v>
      </c>
      <c r="S23" s="14">
        <v>0.09</v>
      </c>
      <c r="T23" s="14">
        <v>0.11</v>
      </c>
      <c r="U23" s="14">
        <v>0.08</v>
      </c>
      <c r="V23" s="14">
        <v>0.17</v>
      </c>
      <c r="W23" s="14">
        <v>0.09</v>
      </c>
      <c r="X23" s="14">
        <v>0.12</v>
      </c>
      <c r="Y23" s="14">
        <v>0.12</v>
      </c>
      <c r="Z23" s="14">
        <v>0.13</v>
      </c>
      <c r="AA23" s="14">
        <v>0.06</v>
      </c>
      <c r="AB23" s="14">
        <v>0.13</v>
      </c>
      <c r="AC23" s="14">
        <v>0.08</v>
      </c>
      <c r="AD23" s="14">
        <v>0.13</v>
      </c>
      <c r="AE23" s="14">
        <v>0.11</v>
      </c>
      <c r="AF23" s="14">
        <v>0.12</v>
      </c>
    </row>
    <row r="24" spans="1:32" x14ac:dyDescent="0.25">
      <c r="A24" s="19"/>
      <c r="B24" s="11" t="s">
        <v>421</v>
      </c>
      <c r="C24" s="12">
        <v>4571</v>
      </c>
      <c r="D24" s="12">
        <v>214</v>
      </c>
      <c r="E24" s="12">
        <v>166</v>
      </c>
      <c r="F24" s="12">
        <v>127</v>
      </c>
      <c r="G24" s="12">
        <v>170</v>
      </c>
      <c r="H24" s="12">
        <v>199</v>
      </c>
      <c r="I24" s="12">
        <v>249</v>
      </c>
      <c r="J24" s="12">
        <v>50</v>
      </c>
      <c r="K24" s="12">
        <v>162</v>
      </c>
      <c r="L24" s="12">
        <v>153</v>
      </c>
      <c r="M24" s="12">
        <v>206</v>
      </c>
      <c r="N24" s="12">
        <v>143</v>
      </c>
      <c r="O24" s="12">
        <v>210</v>
      </c>
      <c r="P24" s="12">
        <v>167</v>
      </c>
      <c r="Q24" s="12">
        <v>165</v>
      </c>
      <c r="R24" s="12">
        <v>88</v>
      </c>
      <c r="S24" s="12">
        <v>126</v>
      </c>
      <c r="T24" s="12">
        <v>165</v>
      </c>
      <c r="U24" s="12">
        <v>96</v>
      </c>
      <c r="V24" s="12">
        <v>210</v>
      </c>
      <c r="W24" s="12">
        <v>49</v>
      </c>
      <c r="X24" s="12">
        <v>237</v>
      </c>
      <c r="Y24" s="12">
        <v>165</v>
      </c>
      <c r="Z24" s="12">
        <v>171</v>
      </c>
      <c r="AA24" s="12">
        <v>134</v>
      </c>
      <c r="AB24" s="12">
        <v>170</v>
      </c>
      <c r="AC24" s="12">
        <v>111</v>
      </c>
      <c r="AD24" s="12">
        <v>212</v>
      </c>
      <c r="AE24" s="12">
        <v>179</v>
      </c>
      <c r="AF24" s="12">
        <v>209</v>
      </c>
    </row>
    <row r="25" spans="1:32" x14ac:dyDescent="0.25">
      <c r="A25" s="19"/>
      <c r="B25" s="13" t="s">
        <v>421</v>
      </c>
      <c r="C25" s="14">
        <v>0.17</v>
      </c>
      <c r="D25" s="14">
        <v>0.21</v>
      </c>
      <c r="E25" s="14">
        <v>0.16</v>
      </c>
      <c r="F25" s="14">
        <v>0.12</v>
      </c>
      <c r="G25" s="14">
        <v>0.17</v>
      </c>
      <c r="H25" s="14">
        <v>0.16</v>
      </c>
      <c r="I25" s="14">
        <v>0.16</v>
      </c>
      <c r="J25" s="14">
        <v>0.17</v>
      </c>
      <c r="K25" s="14">
        <v>0.16</v>
      </c>
      <c r="L25" s="14">
        <v>0.15</v>
      </c>
      <c r="M25" s="14">
        <v>0.2</v>
      </c>
      <c r="N25" s="14">
        <v>0.14000000000000001</v>
      </c>
      <c r="O25" s="14">
        <v>0.21</v>
      </c>
      <c r="P25" s="14">
        <v>0.17</v>
      </c>
      <c r="Q25" s="14">
        <v>0.16</v>
      </c>
      <c r="R25" s="14">
        <v>0.18</v>
      </c>
      <c r="S25" s="14">
        <v>0.13</v>
      </c>
      <c r="T25" s="14">
        <v>0.16</v>
      </c>
      <c r="U25" s="14">
        <v>0.19</v>
      </c>
      <c r="V25" s="14">
        <v>0.21</v>
      </c>
      <c r="W25" s="14">
        <v>0.1</v>
      </c>
      <c r="X25" s="14">
        <v>0.24</v>
      </c>
      <c r="Y25" s="14">
        <v>0.16</v>
      </c>
      <c r="Z25" s="14">
        <v>0.17</v>
      </c>
      <c r="AA25" s="14">
        <v>0.13</v>
      </c>
      <c r="AB25" s="14">
        <v>0.16</v>
      </c>
      <c r="AC25" s="14">
        <v>0.11</v>
      </c>
      <c r="AD25" s="14">
        <v>0.21</v>
      </c>
      <c r="AE25" s="14">
        <v>0.18</v>
      </c>
      <c r="AF25" s="14">
        <v>0.2</v>
      </c>
    </row>
    <row r="26" spans="1:32" x14ac:dyDescent="0.25">
      <c r="A26" s="19"/>
      <c r="B26" s="11" t="s">
        <v>422</v>
      </c>
      <c r="C26" s="12">
        <v>5957</v>
      </c>
      <c r="D26" s="12">
        <v>239</v>
      </c>
      <c r="E26" s="12">
        <v>156</v>
      </c>
      <c r="F26" s="12">
        <v>141</v>
      </c>
      <c r="G26" s="12">
        <v>197</v>
      </c>
      <c r="H26" s="12">
        <v>228</v>
      </c>
      <c r="I26" s="12">
        <v>298</v>
      </c>
      <c r="J26" s="12">
        <v>70</v>
      </c>
      <c r="K26" s="12">
        <v>138</v>
      </c>
      <c r="L26" s="12">
        <v>224</v>
      </c>
      <c r="M26" s="12">
        <v>265</v>
      </c>
      <c r="N26" s="12">
        <v>263</v>
      </c>
      <c r="O26" s="12">
        <v>210</v>
      </c>
      <c r="P26" s="12">
        <v>209</v>
      </c>
      <c r="Q26" s="12">
        <v>275</v>
      </c>
      <c r="R26" s="12">
        <v>123</v>
      </c>
      <c r="S26" s="12">
        <v>154</v>
      </c>
      <c r="T26" s="12">
        <v>183</v>
      </c>
      <c r="U26" s="12">
        <v>108</v>
      </c>
      <c r="V26" s="12">
        <v>204</v>
      </c>
      <c r="W26" s="12">
        <v>103</v>
      </c>
      <c r="X26" s="12">
        <v>277</v>
      </c>
      <c r="Y26" s="12">
        <v>188</v>
      </c>
      <c r="Z26" s="12">
        <v>265</v>
      </c>
      <c r="AA26" s="12">
        <v>192</v>
      </c>
      <c r="AB26" s="12">
        <v>262</v>
      </c>
      <c r="AC26" s="12">
        <v>150</v>
      </c>
      <c r="AD26" s="12">
        <v>199</v>
      </c>
      <c r="AE26" s="12">
        <v>223</v>
      </c>
      <c r="AF26" s="12">
        <v>199</v>
      </c>
    </row>
    <row r="27" spans="1:32" x14ac:dyDescent="0.25">
      <c r="A27" s="19"/>
      <c r="B27" s="13" t="s">
        <v>422</v>
      </c>
      <c r="C27" s="14">
        <v>0.23</v>
      </c>
      <c r="D27" s="14">
        <v>0.23</v>
      </c>
      <c r="E27" s="14">
        <v>0.15</v>
      </c>
      <c r="F27" s="14">
        <v>0.13</v>
      </c>
      <c r="G27" s="14">
        <v>0.19</v>
      </c>
      <c r="H27" s="14">
        <v>0.19</v>
      </c>
      <c r="I27" s="14">
        <v>0.2</v>
      </c>
      <c r="J27" s="14">
        <v>0.23</v>
      </c>
      <c r="K27" s="14">
        <v>0.14000000000000001</v>
      </c>
      <c r="L27" s="14">
        <v>0.22</v>
      </c>
      <c r="M27" s="14">
        <v>0.26</v>
      </c>
      <c r="N27" s="14">
        <v>0.26</v>
      </c>
      <c r="O27" s="14">
        <v>0.21</v>
      </c>
      <c r="P27" s="14">
        <v>0.21</v>
      </c>
      <c r="Q27" s="14">
        <v>0.27</v>
      </c>
      <c r="R27" s="14">
        <v>0.25</v>
      </c>
      <c r="S27" s="14">
        <v>0.15</v>
      </c>
      <c r="T27" s="14">
        <v>0.18</v>
      </c>
      <c r="U27" s="14">
        <v>0.21</v>
      </c>
      <c r="V27" s="14">
        <v>0.2</v>
      </c>
      <c r="W27" s="14">
        <v>0.21</v>
      </c>
      <c r="X27" s="14">
        <v>0.27</v>
      </c>
      <c r="Y27" s="14">
        <v>0.19</v>
      </c>
      <c r="Z27" s="14">
        <v>0.26</v>
      </c>
      <c r="AA27" s="14">
        <v>0.19</v>
      </c>
      <c r="AB27" s="14">
        <v>0.25</v>
      </c>
      <c r="AC27" s="14">
        <v>0.15</v>
      </c>
      <c r="AD27" s="14">
        <v>0.2</v>
      </c>
      <c r="AE27" s="14">
        <v>0.22</v>
      </c>
      <c r="AF27" s="14">
        <v>0.19</v>
      </c>
    </row>
    <row r="28" spans="1:32" x14ac:dyDescent="0.25">
      <c r="A28" s="19"/>
      <c r="B28" s="11" t="s">
        <v>423</v>
      </c>
      <c r="C28" s="12">
        <v>3545</v>
      </c>
      <c r="D28" s="12">
        <v>128</v>
      </c>
      <c r="E28" s="12">
        <v>96</v>
      </c>
      <c r="F28" s="12">
        <v>75</v>
      </c>
      <c r="G28" s="12">
        <v>86</v>
      </c>
      <c r="H28" s="12">
        <v>115</v>
      </c>
      <c r="I28" s="12">
        <v>145</v>
      </c>
      <c r="J28" s="12">
        <v>30</v>
      </c>
      <c r="K28" s="12">
        <v>82</v>
      </c>
      <c r="L28" s="12">
        <v>145</v>
      </c>
      <c r="M28" s="12">
        <v>172</v>
      </c>
      <c r="N28" s="12">
        <v>196</v>
      </c>
      <c r="O28" s="12">
        <v>114</v>
      </c>
      <c r="P28" s="12">
        <v>105</v>
      </c>
      <c r="Q28" s="12">
        <v>200</v>
      </c>
      <c r="R28" s="12">
        <v>82</v>
      </c>
      <c r="S28" s="12">
        <v>147</v>
      </c>
      <c r="T28" s="12">
        <v>105</v>
      </c>
      <c r="U28" s="12">
        <v>72</v>
      </c>
      <c r="V28" s="12">
        <v>77</v>
      </c>
      <c r="W28" s="12">
        <v>119</v>
      </c>
      <c r="X28" s="12">
        <v>122</v>
      </c>
      <c r="Y28" s="12">
        <v>137</v>
      </c>
      <c r="Z28" s="12">
        <v>136</v>
      </c>
      <c r="AA28" s="12">
        <v>159</v>
      </c>
      <c r="AB28" s="12">
        <v>139</v>
      </c>
      <c r="AC28" s="12">
        <v>87</v>
      </c>
      <c r="AD28" s="12">
        <v>111</v>
      </c>
      <c r="AE28" s="12">
        <v>153</v>
      </c>
      <c r="AF28" s="12">
        <v>125</v>
      </c>
    </row>
    <row r="29" spans="1:32" x14ac:dyDescent="0.25">
      <c r="A29" s="19"/>
      <c r="B29" s="13" t="s">
        <v>423</v>
      </c>
      <c r="C29" s="14">
        <v>0.13</v>
      </c>
      <c r="D29" s="14">
        <v>0.12</v>
      </c>
      <c r="E29" s="14">
        <v>0.09</v>
      </c>
      <c r="F29" s="14">
        <v>7.0000000000000007E-2</v>
      </c>
      <c r="G29" s="14">
        <v>0.09</v>
      </c>
      <c r="H29" s="14">
        <v>0.09</v>
      </c>
      <c r="I29" s="14">
        <v>0.09</v>
      </c>
      <c r="J29" s="14">
        <v>0.1</v>
      </c>
      <c r="K29" s="14">
        <v>0.08</v>
      </c>
      <c r="L29" s="14">
        <v>0.15</v>
      </c>
      <c r="M29" s="14">
        <v>0.17</v>
      </c>
      <c r="N29" s="14">
        <v>0.19</v>
      </c>
      <c r="O29" s="14">
        <v>0.11</v>
      </c>
      <c r="P29" s="14">
        <v>0.11</v>
      </c>
      <c r="Q29" s="14">
        <v>0.19</v>
      </c>
      <c r="R29" s="14">
        <v>0.16</v>
      </c>
      <c r="S29" s="14">
        <v>0.15</v>
      </c>
      <c r="T29" s="14">
        <v>0.1</v>
      </c>
      <c r="U29" s="14">
        <v>0.14000000000000001</v>
      </c>
      <c r="V29" s="14">
        <v>0.08</v>
      </c>
      <c r="W29" s="14">
        <v>0.24</v>
      </c>
      <c r="X29" s="14">
        <v>0.12</v>
      </c>
      <c r="Y29" s="14">
        <v>0.14000000000000001</v>
      </c>
      <c r="Z29" s="14">
        <v>0.14000000000000001</v>
      </c>
      <c r="AA29" s="14">
        <v>0.15</v>
      </c>
      <c r="AB29" s="14">
        <v>0.13</v>
      </c>
      <c r="AC29" s="14">
        <v>0.09</v>
      </c>
      <c r="AD29" s="14">
        <v>0.11</v>
      </c>
      <c r="AE29" s="14">
        <v>0.15</v>
      </c>
      <c r="AF29" s="14">
        <v>0.12</v>
      </c>
    </row>
    <row r="30" spans="1:32" ht="23.25" x14ac:dyDescent="0.25">
      <c r="A30" s="19"/>
      <c r="B30" s="11" t="s">
        <v>424</v>
      </c>
      <c r="C30" s="12">
        <v>4259</v>
      </c>
      <c r="D30" s="12">
        <v>121</v>
      </c>
      <c r="E30" s="12">
        <v>171</v>
      </c>
      <c r="F30" s="12">
        <v>139</v>
      </c>
      <c r="G30" s="12">
        <v>104</v>
      </c>
      <c r="H30" s="12">
        <v>146</v>
      </c>
      <c r="I30" s="12">
        <v>173</v>
      </c>
      <c r="J30" s="12">
        <v>26</v>
      </c>
      <c r="K30" s="12">
        <v>131</v>
      </c>
      <c r="L30" s="12">
        <v>241</v>
      </c>
      <c r="M30" s="12">
        <v>140</v>
      </c>
      <c r="N30" s="12">
        <v>261</v>
      </c>
      <c r="O30" s="12">
        <v>178</v>
      </c>
      <c r="P30" s="12">
        <v>185</v>
      </c>
      <c r="Q30" s="12">
        <v>188</v>
      </c>
      <c r="R30" s="12">
        <v>117</v>
      </c>
      <c r="S30" s="12">
        <v>208</v>
      </c>
      <c r="T30" s="12">
        <v>153</v>
      </c>
      <c r="U30" s="12">
        <v>117</v>
      </c>
      <c r="V30" s="12">
        <v>137</v>
      </c>
      <c r="W30" s="12">
        <v>117</v>
      </c>
      <c r="X30" s="12">
        <v>85</v>
      </c>
      <c r="Y30" s="12">
        <v>156</v>
      </c>
      <c r="Z30" s="12">
        <v>155</v>
      </c>
      <c r="AA30" s="12">
        <v>209</v>
      </c>
      <c r="AB30" s="12">
        <v>143</v>
      </c>
      <c r="AC30" s="12">
        <v>281</v>
      </c>
      <c r="AD30" s="12">
        <v>103</v>
      </c>
      <c r="AE30" s="12">
        <v>120</v>
      </c>
      <c r="AF30" s="12">
        <v>153</v>
      </c>
    </row>
    <row r="31" spans="1:32" x14ac:dyDescent="0.25">
      <c r="A31" s="19"/>
      <c r="B31" s="13" t="s">
        <v>425</v>
      </c>
      <c r="C31" s="14">
        <v>0.16</v>
      </c>
      <c r="D31" s="14">
        <v>0.12</v>
      </c>
      <c r="E31" s="14">
        <v>0.16</v>
      </c>
      <c r="F31" s="14">
        <v>0.13</v>
      </c>
      <c r="G31" s="14">
        <v>0.1</v>
      </c>
      <c r="H31" s="14">
        <v>0.12</v>
      </c>
      <c r="I31" s="14">
        <v>0.11</v>
      </c>
      <c r="J31" s="14">
        <v>0.09</v>
      </c>
      <c r="K31" s="14">
        <v>0.13</v>
      </c>
      <c r="L31" s="14">
        <v>0.24</v>
      </c>
      <c r="M31" s="14">
        <v>0.14000000000000001</v>
      </c>
      <c r="N31" s="14">
        <v>0.26</v>
      </c>
      <c r="O31" s="14">
        <v>0.18</v>
      </c>
      <c r="P31" s="14">
        <v>0.18</v>
      </c>
      <c r="Q31" s="14">
        <v>0.18</v>
      </c>
      <c r="R31" s="14">
        <v>0.23</v>
      </c>
      <c r="S31" s="14">
        <v>0.21</v>
      </c>
      <c r="T31" s="14">
        <v>0.15</v>
      </c>
      <c r="U31" s="14">
        <v>0.23</v>
      </c>
      <c r="V31" s="14">
        <v>0.13</v>
      </c>
      <c r="W31" s="14">
        <v>0.23</v>
      </c>
      <c r="X31" s="14">
        <v>0.08</v>
      </c>
      <c r="Y31" s="14">
        <v>0.16</v>
      </c>
      <c r="Z31" s="14">
        <v>0.15</v>
      </c>
      <c r="AA31" s="14">
        <v>0.2</v>
      </c>
      <c r="AB31" s="14">
        <v>0.14000000000000001</v>
      </c>
      <c r="AC31" s="14">
        <v>0.28000000000000003</v>
      </c>
      <c r="AD31" s="14">
        <v>0.1</v>
      </c>
      <c r="AE31" s="14">
        <v>0.12</v>
      </c>
      <c r="AF31" s="14">
        <v>0.15</v>
      </c>
    </row>
    <row r="32" spans="1:32" x14ac:dyDescent="0.25">
      <c r="A32" s="19"/>
      <c r="B32" s="11" t="s">
        <v>224</v>
      </c>
      <c r="C32" s="12">
        <v>262</v>
      </c>
      <c r="D32" s="12">
        <v>1</v>
      </c>
      <c r="E32" s="12">
        <v>8</v>
      </c>
      <c r="F32" s="12">
        <v>6</v>
      </c>
      <c r="G32" s="12">
        <v>16</v>
      </c>
      <c r="H32" s="12">
        <v>12</v>
      </c>
      <c r="I32" s="12">
        <v>14</v>
      </c>
      <c r="J32" s="12">
        <v>2</v>
      </c>
      <c r="K32" s="12">
        <v>7</v>
      </c>
      <c r="L32" s="12">
        <v>8</v>
      </c>
      <c r="M32" s="12">
        <v>6</v>
      </c>
      <c r="N32" s="12">
        <v>4</v>
      </c>
      <c r="O32" s="12">
        <v>9</v>
      </c>
      <c r="P32" s="12">
        <v>13</v>
      </c>
      <c r="Q32" s="12">
        <v>10</v>
      </c>
      <c r="R32" s="12">
        <v>3</v>
      </c>
      <c r="S32" s="12">
        <v>13</v>
      </c>
      <c r="T32" s="12">
        <v>15</v>
      </c>
      <c r="U32" s="12">
        <v>3</v>
      </c>
      <c r="V32" s="12">
        <v>7</v>
      </c>
      <c r="W32" s="12">
        <v>2</v>
      </c>
      <c r="X32" s="12">
        <v>18</v>
      </c>
      <c r="Y32" s="12">
        <v>20</v>
      </c>
      <c r="Z32" s="12">
        <v>7</v>
      </c>
      <c r="AA32" s="12">
        <v>36</v>
      </c>
      <c r="AB32" s="12">
        <v>33</v>
      </c>
      <c r="AC32" s="12">
        <v>1</v>
      </c>
      <c r="AD32" s="12">
        <v>2</v>
      </c>
      <c r="AE32" s="12">
        <v>5</v>
      </c>
      <c r="AF32" s="12">
        <v>2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0.01</v>
      </c>
      <c r="F33" s="14">
        <v>0.01</v>
      </c>
      <c r="G33" s="14">
        <v>0.02</v>
      </c>
      <c r="H33" s="14">
        <v>0.01</v>
      </c>
      <c r="I33" s="14">
        <v>0.01</v>
      </c>
      <c r="J33" s="14">
        <v>0.01</v>
      </c>
      <c r="K33" s="14">
        <v>0.01</v>
      </c>
      <c r="L33" s="14">
        <v>0.01</v>
      </c>
      <c r="M33" s="14">
        <v>0.01</v>
      </c>
      <c r="N33" s="14">
        <v>0.01</v>
      </c>
      <c r="O33" s="14">
        <v>0.01</v>
      </c>
      <c r="P33" s="14">
        <v>0.01</v>
      </c>
      <c r="Q33" s="14">
        <v>0.01</v>
      </c>
      <c r="R33" s="14">
        <v>0.01</v>
      </c>
      <c r="S33" s="14">
        <v>0.01</v>
      </c>
      <c r="T33" s="14">
        <v>0.01</v>
      </c>
      <c r="U33" s="14">
        <v>0.01</v>
      </c>
      <c r="V33" s="14">
        <v>0.01</v>
      </c>
      <c r="W33" s="15" t="s">
        <v>213</v>
      </c>
      <c r="X33" s="14">
        <v>0.02</v>
      </c>
      <c r="Y33" s="14">
        <v>0.02</v>
      </c>
      <c r="Z33" s="14">
        <v>0.01</v>
      </c>
      <c r="AA33" s="14">
        <v>0.03</v>
      </c>
      <c r="AB33" s="14">
        <v>0.03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ht="23.25" x14ac:dyDescent="0.25">
      <c r="A34" s="19"/>
      <c r="B34" s="11" t="s">
        <v>426</v>
      </c>
      <c r="C34" s="12">
        <v>2854</v>
      </c>
      <c r="D34" s="12">
        <v>93</v>
      </c>
      <c r="E34" s="12">
        <v>190</v>
      </c>
      <c r="F34" s="12">
        <v>240</v>
      </c>
      <c r="G34" s="12">
        <v>221</v>
      </c>
      <c r="H34" s="12">
        <v>264</v>
      </c>
      <c r="I34" s="12">
        <v>293</v>
      </c>
      <c r="J34" s="12">
        <v>29</v>
      </c>
      <c r="K34" s="12">
        <v>208</v>
      </c>
      <c r="L34" s="12">
        <v>96</v>
      </c>
      <c r="M34" s="12">
        <v>43</v>
      </c>
      <c r="N34" s="12">
        <v>43</v>
      </c>
      <c r="O34" s="12">
        <v>81</v>
      </c>
      <c r="P34" s="12">
        <v>106</v>
      </c>
      <c r="Q34" s="12">
        <v>74</v>
      </c>
      <c r="R34" s="12">
        <v>23</v>
      </c>
      <c r="S34" s="12">
        <v>149</v>
      </c>
      <c r="T34" s="12">
        <v>137</v>
      </c>
      <c r="U34" s="12">
        <v>37</v>
      </c>
      <c r="V34" s="12">
        <v>101</v>
      </c>
      <c r="W34" s="12">
        <v>41</v>
      </c>
      <c r="X34" s="12">
        <v>77</v>
      </c>
      <c r="Y34" s="12">
        <v>104</v>
      </c>
      <c r="Z34" s="12">
        <v>65</v>
      </c>
      <c r="AA34" s="12">
        <v>166</v>
      </c>
      <c r="AB34" s="12">
        <v>94</v>
      </c>
      <c r="AC34" s="12">
        <v>180</v>
      </c>
      <c r="AD34" s="12">
        <v>136</v>
      </c>
      <c r="AE34" s="12">
        <v>126</v>
      </c>
      <c r="AF34" s="12">
        <v>130</v>
      </c>
    </row>
    <row r="35" spans="1:32" ht="23.25" x14ac:dyDescent="0.25">
      <c r="A35" s="19"/>
      <c r="B35" s="13" t="s">
        <v>427</v>
      </c>
      <c r="C35" s="14">
        <v>0.11</v>
      </c>
      <c r="D35" s="14">
        <v>0.09</v>
      </c>
      <c r="E35" s="14">
        <v>0.18</v>
      </c>
      <c r="F35" s="14">
        <v>0.22</v>
      </c>
      <c r="G35" s="14">
        <v>0.22</v>
      </c>
      <c r="H35" s="14">
        <v>0.21</v>
      </c>
      <c r="I35" s="14">
        <v>0.2</v>
      </c>
      <c r="J35" s="14">
        <v>0.1</v>
      </c>
      <c r="K35" s="14">
        <v>0.21</v>
      </c>
      <c r="L35" s="14">
        <v>0.09</v>
      </c>
      <c r="M35" s="14">
        <v>0.05</v>
      </c>
      <c r="N35" s="14">
        <v>0.04</v>
      </c>
      <c r="O35" s="14">
        <v>0.08</v>
      </c>
      <c r="P35" s="14">
        <v>0.11</v>
      </c>
      <c r="Q35" s="14">
        <v>0.08</v>
      </c>
      <c r="R35" s="14">
        <v>0.04</v>
      </c>
      <c r="S35" s="14">
        <v>0.15</v>
      </c>
      <c r="T35" s="14">
        <v>0.14000000000000001</v>
      </c>
      <c r="U35" s="14">
        <v>7.0000000000000007E-2</v>
      </c>
      <c r="V35" s="14">
        <v>0.09</v>
      </c>
      <c r="W35" s="14">
        <v>0.08</v>
      </c>
      <c r="X35" s="14">
        <v>0.08</v>
      </c>
      <c r="Y35" s="14">
        <v>0.1</v>
      </c>
      <c r="Z35" s="14">
        <v>0.06</v>
      </c>
      <c r="AA35" s="14">
        <v>0.16</v>
      </c>
      <c r="AB35" s="14">
        <v>0.09</v>
      </c>
      <c r="AC35" s="14">
        <v>0.18</v>
      </c>
      <c r="AD35" s="14">
        <v>0.14000000000000001</v>
      </c>
      <c r="AE35" s="14">
        <v>0.14000000000000001</v>
      </c>
      <c r="AF35" s="14">
        <v>0.13</v>
      </c>
    </row>
    <row r="36" spans="1:32" ht="23.25" x14ac:dyDescent="0.25">
      <c r="A36" s="19"/>
      <c r="B36" s="11" t="s">
        <v>428</v>
      </c>
      <c r="C36" s="12">
        <v>5006</v>
      </c>
      <c r="D36" s="12">
        <v>225</v>
      </c>
      <c r="E36" s="12">
        <v>261</v>
      </c>
      <c r="F36" s="12">
        <v>337</v>
      </c>
      <c r="G36" s="12">
        <v>222</v>
      </c>
      <c r="H36" s="12">
        <v>266</v>
      </c>
      <c r="I36" s="12">
        <v>356</v>
      </c>
      <c r="J36" s="12">
        <v>90</v>
      </c>
      <c r="K36" s="12">
        <v>277</v>
      </c>
      <c r="L36" s="12">
        <v>138</v>
      </c>
      <c r="M36" s="12">
        <v>174</v>
      </c>
      <c r="N36" s="12">
        <v>101</v>
      </c>
      <c r="O36" s="12">
        <v>203</v>
      </c>
      <c r="P36" s="12">
        <v>217</v>
      </c>
      <c r="Q36" s="12">
        <v>118</v>
      </c>
      <c r="R36" s="12">
        <v>65</v>
      </c>
      <c r="S36" s="12">
        <v>207</v>
      </c>
      <c r="T36" s="12">
        <v>265</v>
      </c>
      <c r="U36" s="12">
        <v>76</v>
      </c>
      <c r="V36" s="12">
        <v>291</v>
      </c>
      <c r="W36" s="12">
        <v>71</v>
      </c>
      <c r="X36" s="12">
        <v>194</v>
      </c>
      <c r="Y36" s="12">
        <v>233</v>
      </c>
      <c r="Z36" s="12">
        <v>217</v>
      </c>
      <c r="AA36" s="12">
        <v>142</v>
      </c>
      <c r="AB36" s="12">
        <v>200</v>
      </c>
      <c r="AC36" s="12">
        <v>194</v>
      </c>
      <c r="AD36" s="12">
        <v>240</v>
      </c>
      <c r="AE36" s="12">
        <v>193</v>
      </c>
      <c r="AF36" s="12">
        <v>212</v>
      </c>
    </row>
    <row r="37" spans="1:32" ht="23.25" x14ac:dyDescent="0.25">
      <c r="A37" s="19"/>
      <c r="B37" s="13" t="s">
        <v>429</v>
      </c>
      <c r="C37" s="14">
        <v>0.19</v>
      </c>
      <c r="D37" s="14">
        <v>0.23</v>
      </c>
      <c r="E37" s="14">
        <v>0.25</v>
      </c>
      <c r="F37" s="14">
        <v>0.32</v>
      </c>
      <c r="G37" s="14">
        <v>0.21</v>
      </c>
      <c r="H37" s="14">
        <v>0.22</v>
      </c>
      <c r="I37" s="14">
        <v>0.23</v>
      </c>
      <c r="J37" s="14">
        <v>0.3</v>
      </c>
      <c r="K37" s="14">
        <v>0.27</v>
      </c>
      <c r="L37" s="14">
        <v>0.14000000000000001</v>
      </c>
      <c r="M37" s="14">
        <v>0.17</v>
      </c>
      <c r="N37" s="14">
        <v>0.1</v>
      </c>
      <c r="O37" s="14">
        <v>0.2</v>
      </c>
      <c r="P37" s="14">
        <v>0.21</v>
      </c>
      <c r="Q37" s="14">
        <v>0.11</v>
      </c>
      <c r="R37" s="14">
        <v>0.13</v>
      </c>
      <c r="S37" s="14">
        <v>0.2</v>
      </c>
      <c r="T37" s="14">
        <v>0.26</v>
      </c>
      <c r="U37" s="14">
        <v>0.15</v>
      </c>
      <c r="V37" s="14">
        <v>0.28000000000000003</v>
      </c>
      <c r="W37" s="14">
        <v>0.14000000000000001</v>
      </c>
      <c r="X37" s="14">
        <v>0.19</v>
      </c>
      <c r="Y37" s="14">
        <v>0.23</v>
      </c>
      <c r="Z37" s="14">
        <v>0.21</v>
      </c>
      <c r="AA37" s="14">
        <v>0.14000000000000001</v>
      </c>
      <c r="AB37" s="14">
        <v>0.2</v>
      </c>
      <c r="AC37" s="14">
        <v>0.19</v>
      </c>
      <c r="AD37" s="14">
        <v>0.24</v>
      </c>
      <c r="AE37" s="14">
        <v>0.19</v>
      </c>
      <c r="AF37" s="14">
        <v>0.21</v>
      </c>
    </row>
    <row r="38" spans="1:32" ht="23.25" x14ac:dyDescent="0.25">
      <c r="A38" s="19"/>
      <c r="B38" s="11" t="s">
        <v>430</v>
      </c>
      <c r="C38" s="12">
        <v>18332</v>
      </c>
      <c r="D38" s="12">
        <v>702</v>
      </c>
      <c r="E38" s="12">
        <v>589</v>
      </c>
      <c r="F38" s="12">
        <v>482</v>
      </c>
      <c r="G38" s="12">
        <v>557</v>
      </c>
      <c r="H38" s="12">
        <v>688</v>
      </c>
      <c r="I38" s="12">
        <v>865</v>
      </c>
      <c r="J38" s="12">
        <v>176</v>
      </c>
      <c r="K38" s="12">
        <v>513</v>
      </c>
      <c r="L38" s="12">
        <v>763</v>
      </c>
      <c r="M38" s="12">
        <v>783</v>
      </c>
      <c r="N38" s="12">
        <v>863</v>
      </c>
      <c r="O38" s="12">
        <v>712</v>
      </c>
      <c r="P38" s="12">
        <v>666</v>
      </c>
      <c r="Q38" s="12">
        <v>828</v>
      </c>
      <c r="R38" s="12">
        <v>410</v>
      </c>
      <c r="S38" s="12">
        <v>635</v>
      </c>
      <c r="T38" s="12">
        <v>606</v>
      </c>
      <c r="U38" s="12">
        <v>393</v>
      </c>
      <c r="V38" s="12">
        <v>628</v>
      </c>
      <c r="W38" s="12">
        <v>388</v>
      </c>
      <c r="X38" s="12">
        <v>721</v>
      </c>
      <c r="Y38" s="12">
        <v>646</v>
      </c>
      <c r="Z38" s="12">
        <v>727</v>
      </c>
      <c r="AA38" s="12">
        <v>694</v>
      </c>
      <c r="AB38" s="12">
        <v>714</v>
      </c>
      <c r="AC38" s="12">
        <v>629</v>
      </c>
      <c r="AD38" s="12">
        <v>625</v>
      </c>
      <c r="AE38" s="12">
        <v>675</v>
      </c>
      <c r="AF38" s="12">
        <v>686</v>
      </c>
    </row>
    <row r="39" spans="1:32" ht="23.25" x14ac:dyDescent="0.25">
      <c r="A39" s="19"/>
      <c r="B39" s="13" t="s">
        <v>431</v>
      </c>
      <c r="C39" s="14">
        <v>0.69000000000000006</v>
      </c>
      <c r="D39" s="14">
        <v>0.68</v>
      </c>
      <c r="E39" s="14">
        <v>0.56000000000000005</v>
      </c>
      <c r="F39" s="14">
        <v>0.45</v>
      </c>
      <c r="G39" s="14">
        <v>0.55000000000000004</v>
      </c>
      <c r="H39" s="14">
        <v>0.56000000000000005</v>
      </c>
      <c r="I39" s="14">
        <v>0.56000000000000005</v>
      </c>
      <c r="J39" s="14">
        <v>0.59</v>
      </c>
      <c r="K39" s="14">
        <v>0.51</v>
      </c>
      <c r="L39" s="14">
        <v>0.76</v>
      </c>
      <c r="M39" s="14">
        <v>0.77</v>
      </c>
      <c r="N39" s="14">
        <v>0.85</v>
      </c>
      <c r="O39" s="14">
        <v>0.71</v>
      </c>
      <c r="P39" s="14">
        <v>0.67</v>
      </c>
      <c r="Q39" s="14">
        <v>0.8</v>
      </c>
      <c r="R39" s="14">
        <v>0.82000000000000006</v>
      </c>
      <c r="S39" s="14">
        <v>0.64</v>
      </c>
      <c r="T39" s="14">
        <v>0.59</v>
      </c>
      <c r="U39" s="14">
        <v>0.77</v>
      </c>
      <c r="V39" s="14">
        <v>0.62</v>
      </c>
      <c r="W39" s="14">
        <v>0.78</v>
      </c>
      <c r="X39" s="14">
        <v>0.71</v>
      </c>
      <c r="Y39" s="14">
        <v>0.65</v>
      </c>
      <c r="Z39" s="14">
        <v>0.72</v>
      </c>
      <c r="AA39" s="14">
        <v>0.67</v>
      </c>
      <c r="AB39" s="14">
        <v>0.68</v>
      </c>
      <c r="AC39" s="14">
        <v>0.63</v>
      </c>
      <c r="AD39" s="14">
        <v>0.62</v>
      </c>
      <c r="AE39" s="14">
        <v>0.67</v>
      </c>
      <c r="AF39" s="14">
        <v>0.66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472</v>
      </c>
      <c r="C3" s="18"/>
      <c r="D3" s="18"/>
      <c r="E3" s="18"/>
      <c r="F3" s="18"/>
      <c r="H3" s="18" t="s">
        <v>473</v>
      </c>
      <c r="I3" s="18"/>
      <c r="J3" s="18"/>
      <c r="K3" s="18"/>
      <c r="L3" s="18"/>
    </row>
    <row r="4" spans="1:32" ht="27" customHeight="1" x14ac:dyDescent="0.25">
      <c r="B4" s="18" t="s">
        <v>474</v>
      </c>
      <c r="C4" s="18"/>
      <c r="D4" s="18"/>
      <c r="E4" s="18"/>
      <c r="F4" s="18"/>
      <c r="H4" s="18" t="s">
        <v>475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845</v>
      </c>
      <c r="D12" s="12">
        <v>38</v>
      </c>
      <c r="E12" s="12">
        <v>70</v>
      </c>
      <c r="F12" s="12">
        <v>54</v>
      </c>
      <c r="G12" s="12">
        <v>136</v>
      </c>
      <c r="H12" s="12">
        <v>33</v>
      </c>
      <c r="I12" s="12">
        <v>41</v>
      </c>
      <c r="J12" s="12">
        <v>8</v>
      </c>
      <c r="K12" s="12">
        <v>102</v>
      </c>
      <c r="L12" s="12">
        <v>56</v>
      </c>
      <c r="M12" s="12">
        <v>26</v>
      </c>
      <c r="N12" s="12">
        <v>16</v>
      </c>
      <c r="O12" s="12">
        <v>43</v>
      </c>
      <c r="P12" s="12">
        <v>22</v>
      </c>
      <c r="Q12" s="12">
        <v>23</v>
      </c>
      <c r="R12" s="12">
        <v>9</v>
      </c>
      <c r="S12" s="12">
        <v>59</v>
      </c>
      <c r="T12" s="12">
        <v>65</v>
      </c>
      <c r="U12" s="12">
        <v>31</v>
      </c>
      <c r="V12" s="12">
        <v>17</v>
      </c>
      <c r="W12" s="12">
        <v>16</v>
      </c>
      <c r="X12" s="12">
        <v>24</v>
      </c>
      <c r="Y12" s="12">
        <v>47</v>
      </c>
      <c r="Z12" s="12">
        <v>7</v>
      </c>
      <c r="AA12" s="12">
        <v>53</v>
      </c>
      <c r="AB12" s="12">
        <v>42</v>
      </c>
      <c r="AC12" s="12">
        <v>56</v>
      </c>
      <c r="AD12" s="12">
        <v>39</v>
      </c>
      <c r="AE12" s="12">
        <v>38</v>
      </c>
      <c r="AF12" s="12">
        <v>63</v>
      </c>
    </row>
    <row r="13" spans="1:32" x14ac:dyDescent="0.25">
      <c r="A13" s="19"/>
      <c r="B13" s="13" t="s">
        <v>415</v>
      </c>
      <c r="C13" s="14">
        <v>0.03</v>
      </c>
      <c r="D13" s="14">
        <v>0.04</v>
      </c>
      <c r="E13" s="14">
        <v>7.0000000000000007E-2</v>
      </c>
      <c r="F13" s="14">
        <v>0.05</v>
      </c>
      <c r="G13" s="14">
        <v>0.13</v>
      </c>
      <c r="H13" s="14">
        <v>0.03</v>
      </c>
      <c r="I13" s="14">
        <v>0.03</v>
      </c>
      <c r="J13" s="14">
        <v>0.03</v>
      </c>
      <c r="K13" s="14">
        <v>0.1</v>
      </c>
      <c r="L13" s="14">
        <v>0.06</v>
      </c>
      <c r="M13" s="14">
        <v>0.03</v>
      </c>
      <c r="N13" s="14">
        <v>0.02</v>
      </c>
      <c r="O13" s="14">
        <v>0.04</v>
      </c>
      <c r="P13" s="14">
        <v>0.02</v>
      </c>
      <c r="Q13" s="14">
        <v>0.02</v>
      </c>
      <c r="R13" s="14">
        <v>0.02</v>
      </c>
      <c r="S13" s="14">
        <v>0.06</v>
      </c>
      <c r="T13" s="14">
        <v>0.06</v>
      </c>
      <c r="U13" s="14">
        <v>0.06</v>
      </c>
      <c r="V13" s="14">
        <v>0.02</v>
      </c>
      <c r="W13" s="14">
        <v>0.03</v>
      </c>
      <c r="X13" s="14">
        <v>0.02</v>
      </c>
      <c r="Y13" s="14">
        <v>0.05</v>
      </c>
      <c r="Z13" s="14">
        <v>0.01</v>
      </c>
      <c r="AA13" s="14">
        <v>0.05</v>
      </c>
      <c r="AB13" s="14">
        <v>0.04</v>
      </c>
      <c r="AC13" s="14">
        <v>0.05</v>
      </c>
      <c r="AD13" s="14">
        <v>0.04</v>
      </c>
      <c r="AE13" s="14">
        <v>0.04</v>
      </c>
      <c r="AF13" s="14">
        <v>0.06</v>
      </c>
    </row>
    <row r="14" spans="1:32" x14ac:dyDescent="0.25">
      <c r="A14" s="19"/>
      <c r="B14" s="11" t="s">
        <v>416</v>
      </c>
      <c r="C14" s="12">
        <v>1005</v>
      </c>
      <c r="D14" s="12">
        <v>27</v>
      </c>
      <c r="E14" s="12">
        <v>29</v>
      </c>
      <c r="F14" s="12">
        <v>46</v>
      </c>
      <c r="G14" s="12">
        <v>118</v>
      </c>
      <c r="H14" s="12">
        <v>119</v>
      </c>
      <c r="I14" s="12">
        <v>133</v>
      </c>
      <c r="J14" s="12">
        <v>14</v>
      </c>
      <c r="K14" s="12">
        <v>75</v>
      </c>
      <c r="L14" s="12">
        <v>17</v>
      </c>
      <c r="M14" s="12">
        <v>15</v>
      </c>
      <c r="N14" s="12">
        <v>14</v>
      </c>
      <c r="O14" s="12">
        <v>26</v>
      </c>
      <c r="P14" s="12">
        <v>17</v>
      </c>
      <c r="Q14" s="12">
        <v>10</v>
      </c>
      <c r="R14" s="12">
        <v>7</v>
      </c>
      <c r="S14" s="12">
        <v>32</v>
      </c>
      <c r="T14" s="12">
        <v>48</v>
      </c>
      <c r="U14" s="12">
        <v>21</v>
      </c>
      <c r="V14" s="12">
        <v>22</v>
      </c>
      <c r="W14" s="12">
        <v>10</v>
      </c>
      <c r="X14" s="12">
        <v>50</v>
      </c>
      <c r="Y14" s="12">
        <v>37</v>
      </c>
      <c r="Z14" s="12">
        <v>6</v>
      </c>
      <c r="AA14" s="12">
        <v>85</v>
      </c>
      <c r="AB14" s="12">
        <v>14</v>
      </c>
      <c r="AC14" s="12">
        <v>45</v>
      </c>
      <c r="AD14" s="12">
        <v>21</v>
      </c>
      <c r="AE14" s="12">
        <v>91</v>
      </c>
      <c r="AF14" s="12">
        <v>93</v>
      </c>
    </row>
    <row r="15" spans="1:32" x14ac:dyDescent="0.25">
      <c r="A15" s="19"/>
      <c r="B15" s="13" t="s">
        <v>416</v>
      </c>
      <c r="C15" s="14">
        <v>0.04</v>
      </c>
      <c r="D15" s="14">
        <v>0.03</v>
      </c>
      <c r="E15" s="14">
        <v>0.03</v>
      </c>
      <c r="F15" s="14">
        <v>0.04</v>
      </c>
      <c r="G15" s="14">
        <v>0.11</v>
      </c>
      <c r="H15" s="14">
        <v>0.1</v>
      </c>
      <c r="I15" s="14">
        <v>0.09</v>
      </c>
      <c r="J15" s="14">
        <v>0.05</v>
      </c>
      <c r="K15" s="14">
        <v>0.08</v>
      </c>
      <c r="L15" s="14">
        <v>0.02</v>
      </c>
      <c r="M15" s="14">
        <v>0.01</v>
      </c>
      <c r="N15" s="14">
        <v>0.01</v>
      </c>
      <c r="O15" s="14">
        <v>0.03</v>
      </c>
      <c r="P15" s="14">
        <v>0.02</v>
      </c>
      <c r="Q15" s="14">
        <v>0.01</v>
      </c>
      <c r="R15" s="14">
        <v>0.01</v>
      </c>
      <c r="S15" s="14">
        <v>0.03</v>
      </c>
      <c r="T15" s="14">
        <v>0.05</v>
      </c>
      <c r="U15" s="14">
        <v>0.04</v>
      </c>
      <c r="V15" s="14">
        <v>0.02</v>
      </c>
      <c r="W15" s="14">
        <v>0.02</v>
      </c>
      <c r="X15" s="14">
        <v>0.05</v>
      </c>
      <c r="Y15" s="14">
        <v>0.04</v>
      </c>
      <c r="Z15" s="14">
        <v>0.01</v>
      </c>
      <c r="AA15" s="14">
        <v>0.08</v>
      </c>
      <c r="AB15" s="14">
        <v>0.01</v>
      </c>
      <c r="AC15" s="14">
        <v>0.04</v>
      </c>
      <c r="AD15" s="14">
        <v>0.02</v>
      </c>
      <c r="AE15" s="14">
        <v>0.09</v>
      </c>
      <c r="AF15" s="14">
        <v>0.09</v>
      </c>
    </row>
    <row r="16" spans="1:32" x14ac:dyDescent="0.25">
      <c r="A16" s="19"/>
      <c r="B16" s="11" t="s">
        <v>417</v>
      </c>
      <c r="C16" s="12">
        <v>1298</v>
      </c>
      <c r="D16" s="12">
        <v>55</v>
      </c>
      <c r="E16" s="12">
        <v>59</v>
      </c>
      <c r="F16" s="12">
        <v>95</v>
      </c>
      <c r="G16" s="12">
        <v>150</v>
      </c>
      <c r="H16" s="12">
        <v>94</v>
      </c>
      <c r="I16" s="12">
        <v>111</v>
      </c>
      <c r="J16" s="12">
        <v>17</v>
      </c>
      <c r="K16" s="12">
        <v>94</v>
      </c>
      <c r="L16" s="12">
        <v>51</v>
      </c>
      <c r="M16" s="12">
        <v>27</v>
      </c>
      <c r="N16" s="12">
        <v>12</v>
      </c>
      <c r="O16" s="12">
        <v>34</v>
      </c>
      <c r="P16" s="12">
        <v>42</v>
      </c>
      <c r="Q16" s="12">
        <v>18</v>
      </c>
      <c r="R16" s="12">
        <v>9</v>
      </c>
      <c r="S16" s="12">
        <v>52</v>
      </c>
      <c r="T16" s="12">
        <v>71</v>
      </c>
      <c r="U16" s="12">
        <v>44</v>
      </c>
      <c r="V16" s="12">
        <v>55</v>
      </c>
      <c r="W16" s="12">
        <v>30</v>
      </c>
      <c r="X16" s="12">
        <v>109</v>
      </c>
      <c r="Y16" s="12">
        <v>62</v>
      </c>
      <c r="Z16" s="12">
        <v>33</v>
      </c>
      <c r="AA16" s="12">
        <v>59</v>
      </c>
      <c r="AB16" s="12">
        <v>26</v>
      </c>
      <c r="AC16" s="12">
        <v>81</v>
      </c>
      <c r="AD16" s="12">
        <v>76</v>
      </c>
      <c r="AE16" s="12">
        <v>134</v>
      </c>
      <c r="AF16" s="12">
        <v>131</v>
      </c>
    </row>
    <row r="17" spans="1:32" x14ac:dyDescent="0.25">
      <c r="A17" s="19"/>
      <c r="B17" s="13" t="s">
        <v>417</v>
      </c>
      <c r="C17" s="14">
        <v>0.05</v>
      </c>
      <c r="D17" s="14">
        <v>0.06</v>
      </c>
      <c r="E17" s="14">
        <v>0.06</v>
      </c>
      <c r="F17" s="14">
        <v>0.09</v>
      </c>
      <c r="G17" s="14">
        <v>0.15</v>
      </c>
      <c r="H17" s="14">
        <v>7.0000000000000007E-2</v>
      </c>
      <c r="I17" s="14">
        <v>7.0000000000000007E-2</v>
      </c>
      <c r="J17" s="14">
        <v>0.06</v>
      </c>
      <c r="K17" s="14">
        <v>0.09</v>
      </c>
      <c r="L17" s="14">
        <v>0.05</v>
      </c>
      <c r="M17" s="14">
        <v>0.03</v>
      </c>
      <c r="N17" s="14">
        <v>0.01</v>
      </c>
      <c r="O17" s="14">
        <v>0.03</v>
      </c>
      <c r="P17" s="14">
        <v>0.04</v>
      </c>
      <c r="Q17" s="14">
        <v>0.02</v>
      </c>
      <c r="R17" s="14">
        <v>0.02</v>
      </c>
      <c r="S17" s="14">
        <v>0.05</v>
      </c>
      <c r="T17" s="14">
        <v>7.0000000000000007E-2</v>
      </c>
      <c r="U17" s="14">
        <v>0.08</v>
      </c>
      <c r="V17" s="14">
        <v>0.05</v>
      </c>
      <c r="W17" s="14">
        <v>0.06</v>
      </c>
      <c r="X17" s="14">
        <v>0.11</v>
      </c>
      <c r="Y17" s="14">
        <v>0.06</v>
      </c>
      <c r="Z17" s="14">
        <v>0.03</v>
      </c>
      <c r="AA17" s="14">
        <v>0.06</v>
      </c>
      <c r="AB17" s="14">
        <v>0.03</v>
      </c>
      <c r="AC17" s="14">
        <v>0.08</v>
      </c>
      <c r="AD17" s="14">
        <v>7.0000000000000007E-2</v>
      </c>
      <c r="AE17" s="14">
        <v>0.14000000000000001</v>
      </c>
      <c r="AF17" s="14">
        <v>0.13</v>
      </c>
    </row>
    <row r="18" spans="1:32" x14ac:dyDescent="0.25">
      <c r="A18" s="19"/>
      <c r="B18" s="11" t="s">
        <v>418</v>
      </c>
      <c r="C18" s="12">
        <v>1679</v>
      </c>
      <c r="D18" s="12">
        <v>82</v>
      </c>
      <c r="E18" s="12">
        <v>87</v>
      </c>
      <c r="F18" s="12">
        <v>121</v>
      </c>
      <c r="G18" s="12">
        <v>104</v>
      </c>
      <c r="H18" s="12">
        <v>129</v>
      </c>
      <c r="I18" s="12">
        <v>147</v>
      </c>
      <c r="J18" s="12">
        <v>18</v>
      </c>
      <c r="K18" s="12">
        <v>98</v>
      </c>
      <c r="L18" s="12">
        <v>63</v>
      </c>
      <c r="M18" s="12">
        <v>40</v>
      </c>
      <c r="N18" s="12">
        <v>32</v>
      </c>
      <c r="O18" s="12">
        <v>51</v>
      </c>
      <c r="P18" s="12">
        <v>58</v>
      </c>
      <c r="Q18" s="12">
        <v>32</v>
      </c>
      <c r="R18" s="12">
        <v>16</v>
      </c>
      <c r="S18" s="12">
        <v>73</v>
      </c>
      <c r="T18" s="12">
        <v>75</v>
      </c>
      <c r="U18" s="12">
        <v>52</v>
      </c>
      <c r="V18" s="12">
        <v>78</v>
      </c>
      <c r="W18" s="12">
        <v>24</v>
      </c>
      <c r="X18" s="12">
        <v>118</v>
      </c>
      <c r="Y18" s="12">
        <v>97</v>
      </c>
      <c r="Z18" s="12">
        <v>49</v>
      </c>
      <c r="AA18" s="12">
        <v>30</v>
      </c>
      <c r="AB18" s="12">
        <v>34</v>
      </c>
      <c r="AC18" s="12">
        <v>69</v>
      </c>
      <c r="AD18" s="12">
        <v>65</v>
      </c>
      <c r="AE18" s="12">
        <v>113</v>
      </c>
      <c r="AF18" s="12">
        <v>121</v>
      </c>
    </row>
    <row r="19" spans="1:32" x14ac:dyDescent="0.25">
      <c r="A19" s="19"/>
      <c r="B19" s="13" t="s">
        <v>418</v>
      </c>
      <c r="C19" s="14">
        <v>0.06</v>
      </c>
      <c r="D19" s="14">
        <v>0.08</v>
      </c>
      <c r="E19" s="14">
        <v>0.08</v>
      </c>
      <c r="F19" s="14">
        <v>0.11</v>
      </c>
      <c r="G19" s="14">
        <v>0.1</v>
      </c>
      <c r="H19" s="14">
        <v>0.1</v>
      </c>
      <c r="I19" s="14">
        <v>0.1</v>
      </c>
      <c r="J19" s="14">
        <v>0.06</v>
      </c>
      <c r="K19" s="14">
        <v>0.1</v>
      </c>
      <c r="L19" s="14">
        <v>0.06</v>
      </c>
      <c r="M19" s="14">
        <v>0.04</v>
      </c>
      <c r="N19" s="14">
        <v>0.03</v>
      </c>
      <c r="O19" s="14">
        <v>0.05</v>
      </c>
      <c r="P19" s="14">
        <v>0.06</v>
      </c>
      <c r="Q19" s="14">
        <v>0.03</v>
      </c>
      <c r="R19" s="14">
        <v>0.03</v>
      </c>
      <c r="S19" s="14">
        <v>7.0000000000000007E-2</v>
      </c>
      <c r="T19" s="14">
        <v>7.0000000000000007E-2</v>
      </c>
      <c r="U19" s="14">
        <v>0.1</v>
      </c>
      <c r="V19" s="14">
        <v>0.08</v>
      </c>
      <c r="W19" s="14">
        <v>0.05</v>
      </c>
      <c r="X19" s="14">
        <v>0.12</v>
      </c>
      <c r="Y19" s="14">
        <v>0.1</v>
      </c>
      <c r="Z19" s="14">
        <v>0.05</v>
      </c>
      <c r="AA19" s="14">
        <v>0.03</v>
      </c>
      <c r="AB19" s="14">
        <v>0.03</v>
      </c>
      <c r="AC19" s="14">
        <v>7.0000000000000007E-2</v>
      </c>
      <c r="AD19" s="14">
        <v>0.06</v>
      </c>
      <c r="AE19" s="14">
        <v>0.11</v>
      </c>
      <c r="AF19" s="14">
        <v>0.12</v>
      </c>
    </row>
    <row r="20" spans="1:32" x14ac:dyDescent="0.25">
      <c r="A20" s="19"/>
      <c r="B20" s="11" t="s">
        <v>419</v>
      </c>
      <c r="C20" s="12">
        <v>3331</v>
      </c>
      <c r="D20" s="12">
        <v>187</v>
      </c>
      <c r="E20" s="12">
        <v>139</v>
      </c>
      <c r="F20" s="12">
        <v>188</v>
      </c>
      <c r="G20" s="12">
        <v>159</v>
      </c>
      <c r="H20" s="12">
        <v>193</v>
      </c>
      <c r="I20" s="12">
        <v>236</v>
      </c>
      <c r="J20" s="12">
        <v>43</v>
      </c>
      <c r="K20" s="12">
        <v>152</v>
      </c>
      <c r="L20" s="12">
        <v>110</v>
      </c>
      <c r="M20" s="12">
        <v>77</v>
      </c>
      <c r="N20" s="12">
        <v>85</v>
      </c>
      <c r="O20" s="12">
        <v>170</v>
      </c>
      <c r="P20" s="12">
        <v>109</v>
      </c>
      <c r="Q20" s="12">
        <v>65</v>
      </c>
      <c r="R20" s="12">
        <v>66</v>
      </c>
      <c r="S20" s="12">
        <v>199</v>
      </c>
      <c r="T20" s="12">
        <v>219</v>
      </c>
      <c r="U20" s="12">
        <v>100</v>
      </c>
      <c r="V20" s="12">
        <v>136</v>
      </c>
      <c r="W20" s="12">
        <v>53</v>
      </c>
      <c r="X20" s="12">
        <v>161</v>
      </c>
      <c r="Y20" s="12">
        <v>114</v>
      </c>
      <c r="Z20" s="12">
        <v>89</v>
      </c>
      <c r="AA20" s="12">
        <v>128</v>
      </c>
      <c r="AB20" s="12">
        <v>101</v>
      </c>
      <c r="AC20" s="12">
        <v>157</v>
      </c>
      <c r="AD20" s="12">
        <v>154</v>
      </c>
      <c r="AE20" s="12">
        <v>163</v>
      </c>
      <c r="AF20" s="12">
        <v>170</v>
      </c>
    </row>
    <row r="21" spans="1:32" x14ac:dyDescent="0.25">
      <c r="A21" s="19"/>
      <c r="B21" s="13" t="s">
        <v>419</v>
      </c>
      <c r="C21" s="14">
        <v>0.12</v>
      </c>
      <c r="D21" s="14">
        <v>0.18</v>
      </c>
      <c r="E21" s="14">
        <v>0.13</v>
      </c>
      <c r="F21" s="14">
        <v>0.18</v>
      </c>
      <c r="G21" s="14">
        <v>0.16</v>
      </c>
      <c r="H21" s="14">
        <v>0.16</v>
      </c>
      <c r="I21" s="14">
        <v>0.15</v>
      </c>
      <c r="J21" s="14">
        <v>0.15</v>
      </c>
      <c r="K21" s="14">
        <v>0.15</v>
      </c>
      <c r="L21" s="14">
        <v>0.11</v>
      </c>
      <c r="M21" s="14">
        <v>0.08</v>
      </c>
      <c r="N21" s="14">
        <v>0.08</v>
      </c>
      <c r="O21" s="14">
        <v>0.17</v>
      </c>
      <c r="P21" s="14">
        <v>0.11</v>
      </c>
      <c r="Q21" s="14">
        <v>0.06</v>
      </c>
      <c r="R21" s="14">
        <v>0.13</v>
      </c>
      <c r="S21" s="14">
        <v>0.2</v>
      </c>
      <c r="T21" s="14">
        <v>0.21</v>
      </c>
      <c r="U21" s="14">
        <v>0.2</v>
      </c>
      <c r="V21" s="14">
        <v>0.13</v>
      </c>
      <c r="W21" s="14">
        <v>0.11</v>
      </c>
      <c r="X21" s="14">
        <v>0.16</v>
      </c>
      <c r="Y21" s="14">
        <v>0.11</v>
      </c>
      <c r="Z21" s="14">
        <v>0.09</v>
      </c>
      <c r="AA21" s="14">
        <v>0.12</v>
      </c>
      <c r="AB21" s="14">
        <v>0.1</v>
      </c>
      <c r="AC21" s="14">
        <v>0.16</v>
      </c>
      <c r="AD21" s="14">
        <v>0.15</v>
      </c>
      <c r="AE21" s="14">
        <v>0.16</v>
      </c>
      <c r="AF21" s="14">
        <v>0.16</v>
      </c>
    </row>
    <row r="22" spans="1:32" x14ac:dyDescent="0.25">
      <c r="A22" s="19"/>
      <c r="B22" s="11" t="s">
        <v>420</v>
      </c>
      <c r="C22" s="12">
        <v>3344</v>
      </c>
      <c r="D22" s="12">
        <v>143</v>
      </c>
      <c r="E22" s="12">
        <v>131</v>
      </c>
      <c r="F22" s="12">
        <v>155</v>
      </c>
      <c r="G22" s="12">
        <v>89</v>
      </c>
      <c r="H22" s="12">
        <v>173</v>
      </c>
      <c r="I22" s="12">
        <v>214</v>
      </c>
      <c r="J22" s="12">
        <v>41</v>
      </c>
      <c r="K22" s="12">
        <v>124</v>
      </c>
      <c r="L22" s="12">
        <v>122</v>
      </c>
      <c r="M22" s="12">
        <v>96</v>
      </c>
      <c r="N22" s="12">
        <v>135</v>
      </c>
      <c r="O22" s="12">
        <v>127</v>
      </c>
      <c r="P22" s="12">
        <v>118</v>
      </c>
      <c r="Q22" s="12">
        <v>98</v>
      </c>
      <c r="R22" s="12">
        <v>57</v>
      </c>
      <c r="S22" s="12">
        <v>98</v>
      </c>
      <c r="T22" s="12">
        <v>120</v>
      </c>
      <c r="U22" s="12">
        <v>68</v>
      </c>
      <c r="V22" s="12">
        <v>159</v>
      </c>
      <c r="W22" s="12">
        <v>51</v>
      </c>
      <c r="X22" s="12">
        <v>145</v>
      </c>
      <c r="Y22" s="12">
        <v>137</v>
      </c>
      <c r="Z22" s="12">
        <v>135</v>
      </c>
      <c r="AA22" s="12">
        <v>90</v>
      </c>
      <c r="AB22" s="12">
        <v>148</v>
      </c>
      <c r="AC22" s="12">
        <v>120</v>
      </c>
      <c r="AD22" s="12">
        <v>147</v>
      </c>
      <c r="AE22" s="12">
        <v>121</v>
      </c>
      <c r="AF22" s="12">
        <v>114</v>
      </c>
    </row>
    <row r="23" spans="1:32" x14ac:dyDescent="0.25">
      <c r="A23" s="19"/>
      <c r="B23" s="13" t="s">
        <v>420</v>
      </c>
      <c r="C23" s="14">
        <v>0.13</v>
      </c>
      <c r="D23" s="14">
        <v>0.14000000000000001</v>
      </c>
      <c r="E23" s="14">
        <v>0.13</v>
      </c>
      <c r="F23" s="14">
        <v>0.15</v>
      </c>
      <c r="G23" s="14">
        <v>0.09</v>
      </c>
      <c r="H23" s="14">
        <v>0.14000000000000001</v>
      </c>
      <c r="I23" s="14">
        <v>0.14000000000000001</v>
      </c>
      <c r="J23" s="14">
        <v>0.14000000000000001</v>
      </c>
      <c r="K23" s="14">
        <v>0.12</v>
      </c>
      <c r="L23" s="14">
        <v>0.12</v>
      </c>
      <c r="M23" s="14">
        <v>0.09</v>
      </c>
      <c r="N23" s="14">
        <v>0.13</v>
      </c>
      <c r="O23" s="14">
        <v>0.13</v>
      </c>
      <c r="P23" s="14">
        <v>0.12</v>
      </c>
      <c r="Q23" s="14">
        <v>0.1</v>
      </c>
      <c r="R23" s="14">
        <v>0.11</v>
      </c>
      <c r="S23" s="14">
        <v>0.1</v>
      </c>
      <c r="T23" s="14">
        <v>0.12</v>
      </c>
      <c r="U23" s="14">
        <v>0.13</v>
      </c>
      <c r="V23" s="14">
        <v>0.16</v>
      </c>
      <c r="W23" s="14">
        <v>0.1</v>
      </c>
      <c r="X23" s="14">
        <v>0.14000000000000001</v>
      </c>
      <c r="Y23" s="14">
        <v>0.14000000000000001</v>
      </c>
      <c r="Z23" s="14">
        <v>0.13</v>
      </c>
      <c r="AA23" s="14">
        <v>0.09</v>
      </c>
      <c r="AB23" s="14">
        <v>0.14000000000000001</v>
      </c>
      <c r="AC23" s="14">
        <v>0.12</v>
      </c>
      <c r="AD23" s="14">
        <v>0.15</v>
      </c>
      <c r="AE23" s="14">
        <v>0.12</v>
      </c>
      <c r="AF23" s="14">
        <v>0.11</v>
      </c>
    </row>
    <row r="24" spans="1:32" x14ac:dyDescent="0.25">
      <c r="A24" s="19"/>
      <c r="B24" s="11" t="s">
        <v>421</v>
      </c>
      <c r="C24" s="12">
        <v>4194</v>
      </c>
      <c r="D24" s="12">
        <v>177</v>
      </c>
      <c r="E24" s="12">
        <v>145</v>
      </c>
      <c r="F24" s="12">
        <v>146</v>
      </c>
      <c r="G24" s="12">
        <v>92</v>
      </c>
      <c r="H24" s="12">
        <v>165</v>
      </c>
      <c r="I24" s="12">
        <v>208</v>
      </c>
      <c r="J24" s="12">
        <v>43</v>
      </c>
      <c r="K24" s="12">
        <v>123</v>
      </c>
      <c r="L24" s="12">
        <v>162</v>
      </c>
      <c r="M24" s="12">
        <v>182</v>
      </c>
      <c r="N24" s="12">
        <v>149</v>
      </c>
      <c r="O24" s="12">
        <v>165</v>
      </c>
      <c r="P24" s="12">
        <v>173</v>
      </c>
      <c r="Q24" s="12">
        <v>188</v>
      </c>
      <c r="R24" s="12">
        <v>101</v>
      </c>
      <c r="S24" s="12">
        <v>125</v>
      </c>
      <c r="T24" s="12">
        <v>141</v>
      </c>
      <c r="U24" s="12">
        <v>64</v>
      </c>
      <c r="V24" s="12">
        <v>151</v>
      </c>
      <c r="W24" s="12">
        <v>74</v>
      </c>
      <c r="X24" s="12">
        <v>178</v>
      </c>
      <c r="Y24" s="12">
        <v>122</v>
      </c>
      <c r="Z24" s="12">
        <v>186</v>
      </c>
      <c r="AA24" s="12">
        <v>162</v>
      </c>
      <c r="AB24" s="12">
        <v>205</v>
      </c>
      <c r="AC24" s="12">
        <v>113</v>
      </c>
      <c r="AD24" s="12">
        <v>193</v>
      </c>
      <c r="AE24" s="12">
        <v>122</v>
      </c>
      <c r="AF24" s="12">
        <v>130</v>
      </c>
    </row>
    <row r="25" spans="1:32" x14ac:dyDescent="0.25">
      <c r="A25" s="19"/>
      <c r="B25" s="13" t="s">
        <v>421</v>
      </c>
      <c r="C25" s="14">
        <v>0.16</v>
      </c>
      <c r="D25" s="14">
        <v>0.17</v>
      </c>
      <c r="E25" s="14">
        <v>0.14000000000000001</v>
      </c>
      <c r="F25" s="14">
        <v>0.14000000000000001</v>
      </c>
      <c r="G25" s="14">
        <v>0.09</v>
      </c>
      <c r="H25" s="14">
        <v>0.13</v>
      </c>
      <c r="I25" s="14">
        <v>0.14000000000000001</v>
      </c>
      <c r="J25" s="14">
        <v>0.14000000000000001</v>
      </c>
      <c r="K25" s="14">
        <v>0.12</v>
      </c>
      <c r="L25" s="14">
        <v>0.16</v>
      </c>
      <c r="M25" s="14">
        <v>0.18</v>
      </c>
      <c r="N25" s="14">
        <v>0.15</v>
      </c>
      <c r="O25" s="14">
        <v>0.16</v>
      </c>
      <c r="P25" s="14">
        <v>0.17</v>
      </c>
      <c r="Q25" s="14">
        <v>0.18</v>
      </c>
      <c r="R25" s="14">
        <v>0.2</v>
      </c>
      <c r="S25" s="14">
        <v>0.12</v>
      </c>
      <c r="T25" s="14">
        <v>0.14000000000000001</v>
      </c>
      <c r="U25" s="14">
        <v>0.13</v>
      </c>
      <c r="V25" s="14">
        <v>0.15</v>
      </c>
      <c r="W25" s="14">
        <v>0.15</v>
      </c>
      <c r="X25" s="14">
        <v>0.18</v>
      </c>
      <c r="Y25" s="14">
        <v>0.12</v>
      </c>
      <c r="Z25" s="14">
        <v>0.18</v>
      </c>
      <c r="AA25" s="14">
        <v>0.16</v>
      </c>
      <c r="AB25" s="14">
        <v>0.2</v>
      </c>
      <c r="AC25" s="14">
        <v>0.11</v>
      </c>
      <c r="AD25" s="14">
        <v>0.19</v>
      </c>
      <c r="AE25" s="14">
        <v>0.12</v>
      </c>
      <c r="AF25" s="14">
        <v>0.12</v>
      </c>
    </row>
    <row r="26" spans="1:32" x14ac:dyDescent="0.25">
      <c r="A26" s="19"/>
      <c r="B26" s="11" t="s">
        <v>422</v>
      </c>
      <c r="C26" s="12">
        <v>4926</v>
      </c>
      <c r="D26" s="12">
        <v>177</v>
      </c>
      <c r="E26" s="12">
        <v>139</v>
      </c>
      <c r="F26" s="12">
        <v>102</v>
      </c>
      <c r="G26" s="12">
        <v>81</v>
      </c>
      <c r="H26" s="12">
        <v>136</v>
      </c>
      <c r="I26" s="12">
        <v>189</v>
      </c>
      <c r="J26" s="12">
        <v>53</v>
      </c>
      <c r="K26" s="12">
        <v>92</v>
      </c>
      <c r="L26" s="12">
        <v>184</v>
      </c>
      <c r="M26" s="12">
        <v>271</v>
      </c>
      <c r="N26" s="12">
        <v>231</v>
      </c>
      <c r="O26" s="12">
        <v>184</v>
      </c>
      <c r="P26" s="12">
        <v>187</v>
      </c>
      <c r="Q26" s="12">
        <v>291</v>
      </c>
      <c r="R26" s="12">
        <v>96</v>
      </c>
      <c r="S26" s="12">
        <v>139</v>
      </c>
      <c r="T26" s="12">
        <v>134</v>
      </c>
      <c r="U26" s="12">
        <v>50</v>
      </c>
      <c r="V26" s="12">
        <v>178</v>
      </c>
      <c r="W26" s="12">
        <v>88</v>
      </c>
      <c r="X26" s="12">
        <v>132</v>
      </c>
      <c r="Y26" s="12">
        <v>132</v>
      </c>
      <c r="Z26" s="12">
        <v>248</v>
      </c>
      <c r="AA26" s="12">
        <v>179</v>
      </c>
      <c r="AB26" s="12">
        <v>212</v>
      </c>
      <c r="AC26" s="12">
        <v>120</v>
      </c>
      <c r="AD26" s="12">
        <v>166</v>
      </c>
      <c r="AE26" s="12">
        <v>112</v>
      </c>
      <c r="AF26" s="12">
        <v>110</v>
      </c>
    </row>
    <row r="27" spans="1:32" x14ac:dyDescent="0.25">
      <c r="A27" s="19"/>
      <c r="B27" s="13" t="s">
        <v>422</v>
      </c>
      <c r="C27" s="14">
        <v>0.19</v>
      </c>
      <c r="D27" s="14">
        <v>0.17</v>
      </c>
      <c r="E27" s="14">
        <v>0.13</v>
      </c>
      <c r="F27" s="14">
        <v>0.1</v>
      </c>
      <c r="G27" s="14">
        <v>0.08</v>
      </c>
      <c r="H27" s="14">
        <v>0.11</v>
      </c>
      <c r="I27" s="14">
        <v>0.12</v>
      </c>
      <c r="J27" s="14">
        <v>0.18</v>
      </c>
      <c r="K27" s="14">
        <v>0.09</v>
      </c>
      <c r="L27" s="14">
        <v>0.18</v>
      </c>
      <c r="M27" s="14">
        <v>0.27</v>
      </c>
      <c r="N27" s="14">
        <v>0.23</v>
      </c>
      <c r="O27" s="14">
        <v>0.18</v>
      </c>
      <c r="P27" s="14">
        <v>0.19</v>
      </c>
      <c r="Q27" s="14">
        <v>0.28000000000000003</v>
      </c>
      <c r="R27" s="14">
        <v>0.19</v>
      </c>
      <c r="S27" s="14">
        <v>0.14000000000000001</v>
      </c>
      <c r="T27" s="14">
        <v>0.13</v>
      </c>
      <c r="U27" s="14">
        <v>0.1</v>
      </c>
      <c r="V27" s="14">
        <v>0.17</v>
      </c>
      <c r="W27" s="14">
        <v>0.17</v>
      </c>
      <c r="X27" s="14">
        <v>0.13</v>
      </c>
      <c r="Y27" s="14">
        <v>0.13</v>
      </c>
      <c r="Z27" s="14">
        <v>0.24</v>
      </c>
      <c r="AA27" s="14">
        <v>0.17</v>
      </c>
      <c r="AB27" s="14">
        <v>0.2</v>
      </c>
      <c r="AC27" s="14">
        <v>0.12</v>
      </c>
      <c r="AD27" s="14">
        <v>0.17</v>
      </c>
      <c r="AE27" s="14">
        <v>0.11</v>
      </c>
      <c r="AF27" s="14">
        <v>0.11</v>
      </c>
    </row>
    <row r="28" spans="1:32" x14ac:dyDescent="0.25">
      <c r="A28" s="19"/>
      <c r="B28" s="11" t="s">
        <v>423</v>
      </c>
      <c r="C28" s="12">
        <v>2569</v>
      </c>
      <c r="D28" s="12">
        <v>65</v>
      </c>
      <c r="E28" s="12">
        <v>85</v>
      </c>
      <c r="F28" s="12">
        <v>58</v>
      </c>
      <c r="G28" s="12">
        <v>17</v>
      </c>
      <c r="H28" s="12">
        <v>57</v>
      </c>
      <c r="I28" s="12">
        <v>80</v>
      </c>
      <c r="J28" s="12">
        <v>22</v>
      </c>
      <c r="K28" s="12">
        <v>48</v>
      </c>
      <c r="L28" s="12">
        <v>89</v>
      </c>
      <c r="M28" s="12">
        <v>135</v>
      </c>
      <c r="N28" s="12">
        <v>149</v>
      </c>
      <c r="O28" s="12">
        <v>75</v>
      </c>
      <c r="P28" s="12">
        <v>108</v>
      </c>
      <c r="Q28" s="12">
        <v>163</v>
      </c>
      <c r="R28" s="12">
        <v>48</v>
      </c>
      <c r="S28" s="12">
        <v>79</v>
      </c>
      <c r="T28" s="12">
        <v>40</v>
      </c>
      <c r="U28" s="12">
        <v>25</v>
      </c>
      <c r="V28" s="12">
        <v>103</v>
      </c>
      <c r="W28" s="12">
        <v>61</v>
      </c>
      <c r="X28" s="12">
        <v>47</v>
      </c>
      <c r="Y28" s="12">
        <v>105</v>
      </c>
      <c r="Z28" s="12">
        <v>144</v>
      </c>
      <c r="AA28" s="12">
        <v>111</v>
      </c>
      <c r="AB28" s="12">
        <v>126</v>
      </c>
      <c r="AC28" s="12">
        <v>46</v>
      </c>
      <c r="AD28" s="12">
        <v>86</v>
      </c>
      <c r="AE28" s="12">
        <v>53</v>
      </c>
      <c r="AF28" s="12">
        <v>40</v>
      </c>
    </row>
    <row r="29" spans="1:32" x14ac:dyDescent="0.25">
      <c r="A29" s="19"/>
      <c r="B29" s="13" t="s">
        <v>423</v>
      </c>
      <c r="C29" s="14">
        <v>0.1</v>
      </c>
      <c r="D29" s="14">
        <v>0.06</v>
      </c>
      <c r="E29" s="14">
        <v>0.08</v>
      </c>
      <c r="F29" s="14">
        <v>0.05</v>
      </c>
      <c r="G29" s="14">
        <v>0.02</v>
      </c>
      <c r="H29" s="14">
        <v>0.05</v>
      </c>
      <c r="I29" s="14">
        <v>0.05</v>
      </c>
      <c r="J29" s="14">
        <v>7.0000000000000007E-2</v>
      </c>
      <c r="K29" s="14">
        <v>0.05</v>
      </c>
      <c r="L29" s="14">
        <v>0.09</v>
      </c>
      <c r="M29" s="14">
        <v>0.13</v>
      </c>
      <c r="N29" s="14">
        <v>0.15</v>
      </c>
      <c r="O29" s="14">
        <v>0.08</v>
      </c>
      <c r="P29" s="14">
        <v>0.11</v>
      </c>
      <c r="Q29" s="14">
        <v>0.16</v>
      </c>
      <c r="R29" s="14">
        <v>0.1</v>
      </c>
      <c r="S29" s="14">
        <v>0.08</v>
      </c>
      <c r="T29" s="14">
        <v>0.04</v>
      </c>
      <c r="U29" s="14">
        <v>0.05</v>
      </c>
      <c r="V29" s="14">
        <v>0.1</v>
      </c>
      <c r="W29" s="14">
        <v>0.12</v>
      </c>
      <c r="X29" s="14">
        <v>0.05</v>
      </c>
      <c r="Y29" s="14">
        <v>0.1</v>
      </c>
      <c r="Z29" s="14">
        <v>0.14000000000000001</v>
      </c>
      <c r="AA29" s="14">
        <v>0.11</v>
      </c>
      <c r="AB29" s="14">
        <v>0.12</v>
      </c>
      <c r="AC29" s="14">
        <v>0.05</v>
      </c>
      <c r="AD29" s="14">
        <v>0.09</v>
      </c>
      <c r="AE29" s="14">
        <v>0.05</v>
      </c>
      <c r="AF29" s="14">
        <v>0.04</v>
      </c>
    </row>
    <row r="30" spans="1:32" ht="23.25" x14ac:dyDescent="0.25">
      <c r="A30" s="19"/>
      <c r="B30" s="11" t="s">
        <v>424</v>
      </c>
      <c r="C30" s="12">
        <v>2909</v>
      </c>
      <c r="D30" s="12">
        <v>67</v>
      </c>
      <c r="E30" s="12">
        <v>148</v>
      </c>
      <c r="F30" s="12">
        <v>86</v>
      </c>
      <c r="G30" s="12">
        <v>49</v>
      </c>
      <c r="H30" s="12">
        <v>120</v>
      </c>
      <c r="I30" s="12">
        <v>153</v>
      </c>
      <c r="J30" s="12">
        <v>33</v>
      </c>
      <c r="K30" s="12">
        <v>80</v>
      </c>
      <c r="L30" s="12">
        <v>143</v>
      </c>
      <c r="M30" s="12">
        <v>130</v>
      </c>
      <c r="N30" s="12">
        <v>167</v>
      </c>
      <c r="O30" s="12">
        <v>109</v>
      </c>
      <c r="P30" s="12">
        <v>153</v>
      </c>
      <c r="Q30" s="12">
        <v>131</v>
      </c>
      <c r="R30" s="12">
        <v>80</v>
      </c>
      <c r="S30" s="12">
        <v>122</v>
      </c>
      <c r="T30" s="12">
        <v>82</v>
      </c>
      <c r="U30" s="12">
        <v>28</v>
      </c>
      <c r="V30" s="12">
        <v>122</v>
      </c>
      <c r="W30" s="12">
        <v>89</v>
      </c>
      <c r="X30" s="12">
        <v>45</v>
      </c>
      <c r="Y30" s="12">
        <v>137</v>
      </c>
      <c r="Z30" s="12">
        <v>112</v>
      </c>
      <c r="AA30" s="12">
        <v>105</v>
      </c>
      <c r="AB30" s="12">
        <v>101</v>
      </c>
      <c r="AC30" s="12">
        <v>190</v>
      </c>
      <c r="AD30" s="12">
        <v>50</v>
      </c>
      <c r="AE30" s="12">
        <v>43</v>
      </c>
      <c r="AF30" s="12">
        <v>50</v>
      </c>
    </row>
    <row r="31" spans="1:32" x14ac:dyDescent="0.25">
      <c r="A31" s="19"/>
      <c r="B31" s="13" t="s">
        <v>425</v>
      </c>
      <c r="C31" s="14">
        <v>0.11</v>
      </c>
      <c r="D31" s="14">
        <v>7.0000000000000007E-2</v>
      </c>
      <c r="E31" s="14">
        <v>0.14000000000000001</v>
      </c>
      <c r="F31" s="14">
        <v>0.08</v>
      </c>
      <c r="G31" s="14">
        <v>0.05</v>
      </c>
      <c r="H31" s="14">
        <v>0.1</v>
      </c>
      <c r="I31" s="14">
        <v>0.1</v>
      </c>
      <c r="J31" s="14">
        <v>0.11</v>
      </c>
      <c r="K31" s="14">
        <v>0.08</v>
      </c>
      <c r="L31" s="14">
        <v>0.14000000000000001</v>
      </c>
      <c r="M31" s="14">
        <v>0.13</v>
      </c>
      <c r="N31" s="14">
        <v>0.17</v>
      </c>
      <c r="O31" s="14">
        <v>0.11</v>
      </c>
      <c r="P31" s="14">
        <v>0.15</v>
      </c>
      <c r="Q31" s="14">
        <v>0.13</v>
      </c>
      <c r="R31" s="14">
        <v>0.16</v>
      </c>
      <c r="S31" s="14">
        <v>0.12</v>
      </c>
      <c r="T31" s="14">
        <v>0.08</v>
      </c>
      <c r="U31" s="14">
        <v>0.06</v>
      </c>
      <c r="V31" s="14">
        <v>0.12</v>
      </c>
      <c r="W31" s="14">
        <v>0.18</v>
      </c>
      <c r="X31" s="14">
        <v>0.04</v>
      </c>
      <c r="Y31" s="14">
        <v>0.14000000000000001</v>
      </c>
      <c r="Z31" s="14">
        <v>0.11</v>
      </c>
      <c r="AA31" s="14">
        <v>0.1</v>
      </c>
      <c r="AB31" s="14">
        <v>0.1</v>
      </c>
      <c r="AC31" s="14">
        <v>0.19</v>
      </c>
      <c r="AD31" s="14">
        <v>0.05</v>
      </c>
      <c r="AE31" s="14">
        <v>0.05</v>
      </c>
      <c r="AF31" s="14">
        <v>0.05</v>
      </c>
    </row>
    <row r="32" spans="1:32" x14ac:dyDescent="0.25">
      <c r="A32" s="19"/>
      <c r="B32" s="11" t="s">
        <v>224</v>
      </c>
      <c r="C32" s="12">
        <v>352</v>
      </c>
      <c r="D32" s="12">
        <v>2</v>
      </c>
      <c r="E32" s="12">
        <v>13</v>
      </c>
      <c r="F32" s="12">
        <v>13</v>
      </c>
      <c r="G32" s="12">
        <v>20</v>
      </c>
      <c r="H32" s="12">
        <v>10</v>
      </c>
      <c r="I32" s="12">
        <v>14</v>
      </c>
      <c r="J32" s="12">
        <v>4</v>
      </c>
      <c r="K32" s="12">
        <v>19</v>
      </c>
      <c r="L32" s="12">
        <v>8</v>
      </c>
      <c r="M32" s="12">
        <v>9</v>
      </c>
      <c r="N32" s="12">
        <v>19</v>
      </c>
      <c r="O32" s="12">
        <v>20</v>
      </c>
      <c r="P32" s="12">
        <v>15</v>
      </c>
      <c r="Q32" s="12">
        <v>12</v>
      </c>
      <c r="R32" s="12">
        <v>12</v>
      </c>
      <c r="S32" s="12">
        <v>26</v>
      </c>
      <c r="T32" s="12">
        <v>27</v>
      </c>
      <c r="U32" s="12">
        <v>25</v>
      </c>
      <c r="V32" s="12">
        <v>5</v>
      </c>
      <c r="W32" s="12">
        <v>7</v>
      </c>
      <c r="X32" s="12">
        <v>0</v>
      </c>
      <c r="Y32" s="12">
        <v>13</v>
      </c>
      <c r="Z32" s="12">
        <v>6</v>
      </c>
      <c r="AA32" s="12">
        <v>36</v>
      </c>
      <c r="AB32" s="12">
        <v>30</v>
      </c>
      <c r="AC32" s="12">
        <v>8</v>
      </c>
      <c r="AD32" s="12">
        <v>6</v>
      </c>
      <c r="AE32" s="12">
        <v>12</v>
      </c>
      <c r="AF32" s="12">
        <v>7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0.01</v>
      </c>
      <c r="F33" s="14">
        <v>0.01</v>
      </c>
      <c r="G33" s="14">
        <v>0.02</v>
      </c>
      <c r="H33" s="14">
        <v>0.01</v>
      </c>
      <c r="I33" s="14">
        <v>0.01</v>
      </c>
      <c r="J33" s="14">
        <v>0.01</v>
      </c>
      <c r="K33" s="14">
        <v>0.02</v>
      </c>
      <c r="L33" s="14">
        <v>0.01</v>
      </c>
      <c r="M33" s="14">
        <v>0.01</v>
      </c>
      <c r="N33" s="14">
        <v>0.02</v>
      </c>
      <c r="O33" s="14">
        <v>0.02</v>
      </c>
      <c r="P33" s="14">
        <v>0.01</v>
      </c>
      <c r="Q33" s="14">
        <v>0.01</v>
      </c>
      <c r="R33" s="14">
        <v>0.03</v>
      </c>
      <c r="S33" s="14">
        <v>0.03</v>
      </c>
      <c r="T33" s="14">
        <v>0.03</v>
      </c>
      <c r="U33" s="14">
        <v>0.05</v>
      </c>
      <c r="V33" s="15" t="s">
        <v>213</v>
      </c>
      <c r="W33" s="14">
        <v>0.01</v>
      </c>
      <c r="X33" s="15" t="s">
        <v>213</v>
      </c>
      <c r="Y33" s="14">
        <v>0.01</v>
      </c>
      <c r="Z33" s="14">
        <v>0.01</v>
      </c>
      <c r="AA33" s="14">
        <v>0.03</v>
      </c>
      <c r="AB33" s="14">
        <v>0.03</v>
      </c>
      <c r="AC33" s="14">
        <v>0.01</v>
      </c>
      <c r="AD33" s="14">
        <v>0.01</v>
      </c>
      <c r="AE33" s="14">
        <v>0.01</v>
      </c>
      <c r="AF33" s="14">
        <v>0.01</v>
      </c>
    </row>
    <row r="34" spans="1:32" ht="23.25" x14ac:dyDescent="0.25">
      <c r="A34" s="19"/>
      <c r="B34" s="11" t="s">
        <v>426</v>
      </c>
      <c r="C34" s="12">
        <v>4827</v>
      </c>
      <c r="D34" s="12">
        <v>202</v>
      </c>
      <c r="E34" s="12">
        <v>245</v>
      </c>
      <c r="F34" s="12">
        <v>316</v>
      </c>
      <c r="G34" s="12">
        <v>508</v>
      </c>
      <c r="H34" s="12">
        <v>375</v>
      </c>
      <c r="I34" s="12">
        <v>432</v>
      </c>
      <c r="J34" s="12">
        <v>57</v>
      </c>
      <c r="K34" s="12">
        <v>369</v>
      </c>
      <c r="L34" s="12">
        <v>187</v>
      </c>
      <c r="M34" s="12">
        <v>108</v>
      </c>
      <c r="N34" s="12">
        <v>74</v>
      </c>
      <c r="O34" s="12">
        <v>154</v>
      </c>
      <c r="P34" s="12">
        <v>139</v>
      </c>
      <c r="Q34" s="12">
        <v>83</v>
      </c>
      <c r="R34" s="12">
        <v>41</v>
      </c>
      <c r="S34" s="12">
        <v>216</v>
      </c>
      <c r="T34" s="12">
        <v>259</v>
      </c>
      <c r="U34" s="12">
        <v>148</v>
      </c>
      <c r="V34" s="12">
        <v>172</v>
      </c>
      <c r="W34" s="12">
        <v>80</v>
      </c>
      <c r="X34" s="12">
        <v>301</v>
      </c>
      <c r="Y34" s="12">
        <v>243</v>
      </c>
      <c r="Z34" s="12">
        <v>95</v>
      </c>
      <c r="AA34" s="12">
        <v>227</v>
      </c>
      <c r="AB34" s="12">
        <v>116</v>
      </c>
      <c r="AC34" s="12">
        <v>251</v>
      </c>
      <c r="AD34" s="12">
        <v>201</v>
      </c>
      <c r="AE34" s="12">
        <v>376</v>
      </c>
      <c r="AF34" s="12">
        <v>408</v>
      </c>
    </row>
    <row r="35" spans="1:32" ht="23.25" x14ac:dyDescent="0.25">
      <c r="A35" s="19"/>
      <c r="B35" s="13" t="s">
        <v>427</v>
      </c>
      <c r="C35" s="14">
        <v>0.18</v>
      </c>
      <c r="D35" s="14">
        <v>0.21</v>
      </c>
      <c r="E35" s="14">
        <v>0.24</v>
      </c>
      <c r="F35" s="14">
        <v>0.28999999999999998</v>
      </c>
      <c r="G35" s="14">
        <v>0.49</v>
      </c>
      <c r="H35" s="14">
        <v>0.3</v>
      </c>
      <c r="I35" s="14">
        <v>0.28999999999999998</v>
      </c>
      <c r="J35" s="14">
        <v>0.2</v>
      </c>
      <c r="K35" s="14">
        <v>0.37</v>
      </c>
      <c r="L35" s="14">
        <v>0.19</v>
      </c>
      <c r="M35" s="14">
        <v>0.11</v>
      </c>
      <c r="N35" s="14">
        <v>7.0000000000000007E-2</v>
      </c>
      <c r="O35" s="14">
        <v>0.15</v>
      </c>
      <c r="P35" s="14">
        <v>0.14000000000000001</v>
      </c>
      <c r="Q35" s="14">
        <v>0.08</v>
      </c>
      <c r="R35" s="14">
        <v>0.08</v>
      </c>
      <c r="S35" s="14">
        <v>0.21</v>
      </c>
      <c r="T35" s="14">
        <v>0.25</v>
      </c>
      <c r="U35" s="14">
        <v>0.28000000000000003</v>
      </c>
      <c r="V35" s="14">
        <v>0.17</v>
      </c>
      <c r="W35" s="14">
        <v>0.16</v>
      </c>
      <c r="X35" s="14">
        <v>0.3</v>
      </c>
      <c r="Y35" s="14">
        <v>0.25</v>
      </c>
      <c r="Z35" s="14">
        <v>0.1</v>
      </c>
      <c r="AA35" s="14">
        <v>0.22</v>
      </c>
      <c r="AB35" s="14">
        <v>0.11</v>
      </c>
      <c r="AC35" s="14">
        <v>0.24</v>
      </c>
      <c r="AD35" s="14">
        <v>0.19</v>
      </c>
      <c r="AE35" s="14">
        <v>0.38</v>
      </c>
      <c r="AF35" s="14">
        <v>0.4</v>
      </c>
    </row>
    <row r="36" spans="1:32" ht="23.25" x14ac:dyDescent="0.25">
      <c r="A36" s="19"/>
      <c r="B36" s="11" t="s">
        <v>428</v>
      </c>
      <c r="C36" s="12">
        <v>6675</v>
      </c>
      <c r="D36" s="12">
        <v>330</v>
      </c>
      <c r="E36" s="12">
        <v>270</v>
      </c>
      <c r="F36" s="12">
        <v>343</v>
      </c>
      <c r="G36" s="12">
        <v>248</v>
      </c>
      <c r="H36" s="12">
        <v>366</v>
      </c>
      <c r="I36" s="12">
        <v>450</v>
      </c>
      <c r="J36" s="12">
        <v>84</v>
      </c>
      <c r="K36" s="12">
        <v>276</v>
      </c>
      <c r="L36" s="12">
        <v>232</v>
      </c>
      <c r="M36" s="12">
        <v>173</v>
      </c>
      <c r="N36" s="12">
        <v>220</v>
      </c>
      <c r="O36" s="12">
        <v>297</v>
      </c>
      <c r="P36" s="12">
        <v>227</v>
      </c>
      <c r="Q36" s="12">
        <v>163</v>
      </c>
      <c r="R36" s="12">
        <v>123</v>
      </c>
      <c r="S36" s="12">
        <v>297</v>
      </c>
      <c r="T36" s="12">
        <v>339</v>
      </c>
      <c r="U36" s="12">
        <v>168</v>
      </c>
      <c r="V36" s="12">
        <v>295</v>
      </c>
      <c r="W36" s="12">
        <v>104</v>
      </c>
      <c r="X36" s="12">
        <v>306</v>
      </c>
      <c r="Y36" s="12">
        <v>251</v>
      </c>
      <c r="Z36" s="12">
        <v>224</v>
      </c>
      <c r="AA36" s="12">
        <v>218</v>
      </c>
      <c r="AB36" s="12">
        <v>249</v>
      </c>
      <c r="AC36" s="12">
        <v>277</v>
      </c>
      <c r="AD36" s="12">
        <v>301</v>
      </c>
      <c r="AE36" s="12">
        <v>284</v>
      </c>
      <c r="AF36" s="12">
        <v>284</v>
      </c>
    </row>
    <row r="37" spans="1:32" ht="23.25" x14ac:dyDescent="0.25">
      <c r="A37" s="19"/>
      <c r="B37" s="13" t="s">
        <v>429</v>
      </c>
      <c r="C37" s="14">
        <v>0.25</v>
      </c>
      <c r="D37" s="14">
        <v>0.32</v>
      </c>
      <c r="E37" s="14">
        <v>0.26</v>
      </c>
      <c r="F37" s="14">
        <v>0.33</v>
      </c>
      <c r="G37" s="14">
        <v>0.25</v>
      </c>
      <c r="H37" s="14">
        <v>0.3</v>
      </c>
      <c r="I37" s="14">
        <v>0.28999999999999998</v>
      </c>
      <c r="J37" s="14">
        <v>0.28999999999999998</v>
      </c>
      <c r="K37" s="14">
        <v>0.27</v>
      </c>
      <c r="L37" s="14">
        <v>0.23</v>
      </c>
      <c r="M37" s="14">
        <v>0.17</v>
      </c>
      <c r="N37" s="14">
        <v>0.21</v>
      </c>
      <c r="O37" s="14">
        <v>0.3</v>
      </c>
      <c r="P37" s="14">
        <v>0.23</v>
      </c>
      <c r="Q37" s="14">
        <v>0.16</v>
      </c>
      <c r="R37" s="14">
        <v>0.24</v>
      </c>
      <c r="S37" s="14">
        <v>0.3</v>
      </c>
      <c r="T37" s="14">
        <v>0.33</v>
      </c>
      <c r="U37" s="14">
        <v>0.33</v>
      </c>
      <c r="V37" s="14">
        <v>0.28999999999999998</v>
      </c>
      <c r="W37" s="14">
        <v>0.21</v>
      </c>
      <c r="X37" s="14">
        <v>0.3</v>
      </c>
      <c r="Y37" s="14">
        <v>0.25</v>
      </c>
      <c r="Z37" s="14">
        <v>0.22</v>
      </c>
      <c r="AA37" s="14">
        <v>0.21</v>
      </c>
      <c r="AB37" s="14">
        <v>0.24</v>
      </c>
      <c r="AC37" s="14">
        <v>0.28000000000000003</v>
      </c>
      <c r="AD37" s="14">
        <v>0.3</v>
      </c>
      <c r="AE37" s="14">
        <v>0.28000000000000003</v>
      </c>
      <c r="AF37" s="14">
        <v>0.27</v>
      </c>
    </row>
    <row r="38" spans="1:32" ht="23.25" x14ac:dyDescent="0.25">
      <c r="A38" s="19"/>
      <c r="B38" s="11" t="s">
        <v>430</v>
      </c>
      <c r="C38" s="12">
        <v>14598</v>
      </c>
      <c r="D38" s="12">
        <v>486</v>
      </c>
      <c r="E38" s="12">
        <v>517</v>
      </c>
      <c r="F38" s="12">
        <v>392</v>
      </c>
      <c r="G38" s="12">
        <v>239</v>
      </c>
      <c r="H38" s="12">
        <v>478</v>
      </c>
      <c r="I38" s="12">
        <v>630</v>
      </c>
      <c r="J38" s="12">
        <v>151</v>
      </c>
      <c r="K38" s="12">
        <v>343</v>
      </c>
      <c r="L38" s="12">
        <v>578</v>
      </c>
      <c r="M38" s="12">
        <v>718</v>
      </c>
      <c r="N38" s="12">
        <v>696</v>
      </c>
      <c r="O38" s="12">
        <v>533</v>
      </c>
      <c r="P38" s="12">
        <v>621</v>
      </c>
      <c r="Q38" s="12">
        <v>773</v>
      </c>
      <c r="R38" s="12">
        <v>325</v>
      </c>
      <c r="S38" s="12">
        <v>465</v>
      </c>
      <c r="T38" s="12">
        <v>397</v>
      </c>
      <c r="U38" s="12">
        <v>167</v>
      </c>
      <c r="V38" s="12">
        <v>554</v>
      </c>
      <c r="W38" s="12">
        <v>312</v>
      </c>
      <c r="X38" s="12">
        <v>402</v>
      </c>
      <c r="Y38" s="12">
        <v>496</v>
      </c>
      <c r="Z38" s="12">
        <v>690</v>
      </c>
      <c r="AA38" s="12">
        <v>557</v>
      </c>
      <c r="AB38" s="12">
        <v>644</v>
      </c>
      <c r="AC38" s="12">
        <v>469</v>
      </c>
      <c r="AD38" s="12">
        <v>495</v>
      </c>
      <c r="AE38" s="12">
        <v>330</v>
      </c>
      <c r="AF38" s="12">
        <v>330</v>
      </c>
    </row>
    <row r="39" spans="1:32" ht="23.25" x14ac:dyDescent="0.25">
      <c r="A39" s="19"/>
      <c r="B39" s="13" t="s">
        <v>431</v>
      </c>
      <c r="C39" s="14">
        <v>0.56000000000000005</v>
      </c>
      <c r="D39" s="14">
        <v>0.47</v>
      </c>
      <c r="E39" s="14">
        <v>0.49</v>
      </c>
      <c r="F39" s="14">
        <v>0.37</v>
      </c>
      <c r="G39" s="14">
        <v>0.24</v>
      </c>
      <c r="H39" s="14">
        <v>0.39</v>
      </c>
      <c r="I39" s="14">
        <v>0.41</v>
      </c>
      <c r="J39" s="14">
        <v>0.5</v>
      </c>
      <c r="K39" s="14">
        <v>0.34</v>
      </c>
      <c r="L39" s="14">
        <v>0.57000000000000006</v>
      </c>
      <c r="M39" s="14">
        <v>0.71</v>
      </c>
      <c r="N39" s="14">
        <v>0.70000000000000007</v>
      </c>
      <c r="O39" s="14">
        <v>0.53</v>
      </c>
      <c r="P39" s="14">
        <v>0.62</v>
      </c>
      <c r="Q39" s="14">
        <v>0.75</v>
      </c>
      <c r="R39" s="14">
        <v>0.65</v>
      </c>
      <c r="S39" s="14">
        <v>0.46</v>
      </c>
      <c r="T39" s="14">
        <v>0.39</v>
      </c>
      <c r="U39" s="14">
        <v>0.34</v>
      </c>
      <c r="V39" s="14">
        <v>0.54</v>
      </c>
      <c r="W39" s="14">
        <v>0.62</v>
      </c>
      <c r="X39" s="14">
        <v>0.4</v>
      </c>
      <c r="Y39" s="14">
        <v>0.49</v>
      </c>
      <c r="Z39" s="14">
        <v>0.67</v>
      </c>
      <c r="AA39" s="14">
        <v>0.54</v>
      </c>
      <c r="AB39" s="14">
        <v>0.62</v>
      </c>
      <c r="AC39" s="14">
        <v>0.47</v>
      </c>
      <c r="AD39" s="14">
        <v>0.5</v>
      </c>
      <c r="AE39" s="14">
        <v>0.33</v>
      </c>
      <c r="AF39" s="14">
        <v>0.32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476</v>
      </c>
      <c r="C3" s="18"/>
      <c r="D3" s="18"/>
      <c r="E3" s="18"/>
      <c r="F3" s="18"/>
      <c r="H3" s="18" t="s">
        <v>477</v>
      </c>
      <c r="I3" s="18"/>
      <c r="J3" s="18"/>
      <c r="K3" s="18"/>
      <c r="L3" s="18"/>
    </row>
    <row r="4" spans="1:32" ht="27" customHeight="1" x14ac:dyDescent="0.25">
      <c r="B4" s="18" t="s">
        <v>478</v>
      </c>
      <c r="C4" s="18"/>
      <c r="D4" s="18"/>
      <c r="E4" s="18"/>
      <c r="F4" s="18"/>
      <c r="H4" s="18" t="s">
        <v>479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596</v>
      </c>
      <c r="D12" s="12">
        <v>47</v>
      </c>
      <c r="E12" s="12">
        <v>54</v>
      </c>
      <c r="F12" s="12">
        <v>72</v>
      </c>
      <c r="G12" s="12">
        <v>38</v>
      </c>
      <c r="H12" s="12">
        <v>45</v>
      </c>
      <c r="I12" s="12">
        <v>52</v>
      </c>
      <c r="J12" s="12">
        <v>7</v>
      </c>
      <c r="K12" s="12">
        <v>40</v>
      </c>
      <c r="L12" s="12">
        <v>48</v>
      </c>
      <c r="M12" s="12">
        <v>8</v>
      </c>
      <c r="N12" s="12">
        <v>15</v>
      </c>
      <c r="O12" s="12">
        <v>18</v>
      </c>
      <c r="P12" s="12">
        <v>17</v>
      </c>
      <c r="Q12" s="12">
        <v>7</v>
      </c>
      <c r="R12" s="12">
        <v>3</v>
      </c>
      <c r="S12" s="12">
        <v>60</v>
      </c>
      <c r="T12" s="12">
        <v>71</v>
      </c>
      <c r="U12" s="12">
        <v>8</v>
      </c>
      <c r="V12" s="12">
        <v>12</v>
      </c>
      <c r="W12" s="12">
        <v>15</v>
      </c>
      <c r="X12" s="12">
        <v>24</v>
      </c>
      <c r="Y12" s="12">
        <v>23</v>
      </c>
      <c r="Z12" s="12">
        <v>4</v>
      </c>
      <c r="AA12" s="12">
        <v>10</v>
      </c>
      <c r="AB12" s="12">
        <v>45</v>
      </c>
      <c r="AC12" s="12">
        <v>49</v>
      </c>
      <c r="AD12" s="12">
        <v>35</v>
      </c>
      <c r="AE12" s="12">
        <v>21</v>
      </c>
      <c r="AF12" s="12">
        <v>12</v>
      </c>
    </row>
    <row r="13" spans="1:32" x14ac:dyDescent="0.25">
      <c r="A13" s="19"/>
      <c r="B13" s="13" t="s">
        <v>415</v>
      </c>
      <c r="C13" s="14">
        <v>0.02</v>
      </c>
      <c r="D13" s="14">
        <v>0.05</v>
      </c>
      <c r="E13" s="14">
        <v>0.05</v>
      </c>
      <c r="F13" s="14">
        <v>7.0000000000000007E-2</v>
      </c>
      <c r="G13" s="14">
        <v>0.04</v>
      </c>
      <c r="H13" s="14">
        <v>0.04</v>
      </c>
      <c r="I13" s="14">
        <v>0.03</v>
      </c>
      <c r="J13" s="14">
        <v>0.03</v>
      </c>
      <c r="K13" s="14">
        <v>0.04</v>
      </c>
      <c r="L13" s="14">
        <v>0.05</v>
      </c>
      <c r="M13" s="14">
        <v>0.01</v>
      </c>
      <c r="N13" s="14">
        <v>0.02</v>
      </c>
      <c r="O13" s="14">
        <v>0.02</v>
      </c>
      <c r="P13" s="14">
        <v>0.02</v>
      </c>
      <c r="Q13" s="14">
        <v>0.01</v>
      </c>
      <c r="R13" s="14">
        <v>0.01</v>
      </c>
      <c r="S13" s="14">
        <v>0.06</v>
      </c>
      <c r="T13" s="14">
        <v>7.0000000000000007E-2</v>
      </c>
      <c r="U13" s="14">
        <v>0.02</v>
      </c>
      <c r="V13" s="14">
        <v>0.01</v>
      </c>
      <c r="W13" s="14">
        <v>0.03</v>
      </c>
      <c r="X13" s="14">
        <v>0.02</v>
      </c>
      <c r="Y13" s="14">
        <v>0.02</v>
      </c>
      <c r="Z13" s="15" t="s">
        <v>213</v>
      </c>
      <c r="AA13" s="14">
        <v>0.01</v>
      </c>
      <c r="AB13" s="14">
        <v>0.04</v>
      </c>
      <c r="AC13" s="14">
        <v>0.05</v>
      </c>
      <c r="AD13" s="14">
        <v>0.04</v>
      </c>
      <c r="AE13" s="14">
        <v>0.02</v>
      </c>
      <c r="AF13" s="14">
        <v>0.01</v>
      </c>
    </row>
    <row r="14" spans="1:32" x14ac:dyDescent="0.25">
      <c r="A14" s="19"/>
      <c r="B14" s="11" t="s">
        <v>416</v>
      </c>
      <c r="C14" s="12">
        <v>649</v>
      </c>
      <c r="D14" s="12">
        <v>33</v>
      </c>
      <c r="E14" s="12">
        <v>33</v>
      </c>
      <c r="F14" s="12">
        <v>35</v>
      </c>
      <c r="G14" s="12">
        <v>37</v>
      </c>
      <c r="H14" s="12">
        <v>97</v>
      </c>
      <c r="I14" s="12">
        <v>106</v>
      </c>
      <c r="J14" s="12">
        <v>9</v>
      </c>
      <c r="K14" s="12">
        <v>24</v>
      </c>
      <c r="L14" s="12">
        <v>22</v>
      </c>
      <c r="M14" s="12">
        <v>11</v>
      </c>
      <c r="N14" s="12">
        <v>3</v>
      </c>
      <c r="O14" s="12">
        <v>13</v>
      </c>
      <c r="P14" s="12">
        <v>11</v>
      </c>
      <c r="Q14" s="12">
        <v>11</v>
      </c>
      <c r="R14" s="12">
        <v>1</v>
      </c>
      <c r="S14" s="12">
        <v>26</v>
      </c>
      <c r="T14" s="12">
        <v>44</v>
      </c>
      <c r="U14" s="12">
        <v>4</v>
      </c>
      <c r="V14" s="12">
        <v>14</v>
      </c>
      <c r="W14" s="12">
        <v>3</v>
      </c>
      <c r="X14" s="12">
        <v>21</v>
      </c>
      <c r="Y14" s="12">
        <v>25</v>
      </c>
      <c r="Z14" s="12">
        <v>1</v>
      </c>
      <c r="AA14" s="12">
        <v>15</v>
      </c>
      <c r="AB14" s="12">
        <v>13</v>
      </c>
      <c r="AC14" s="12">
        <v>28</v>
      </c>
      <c r="AD14" s="12">
        <v>13</v>
      </c>
      <c r="AE14" s="12">
        <v>31</v>
      </c>
      <c r="AF14" s="12">
        <v>43</v>
      </c>
    </row>
    <row r="15" spans="1:32" x14ac:dyDescent="0.25">
      <c r="A15" s="19"/>
      <c r="B15" s="13" t="s">
        <v>416</v>
      </c>
      <c r="C15" s="14">
        <v>0.03</v>
      </c>
      <c r="D15" s="14">
        <v>0.03</v>
      </c>
      <c r="E15" s="14">
        <v>0.03</v>
      </c>
      <c r="F15" s="14">
        <v>0.03</v>
      </c>
      <c r="G15" s="14">
        <v>0.04</v>
      </c>
      <c r="H15" s="14">
        <v>0.08</v>
      </c>
      <c r="I15" s="14">
        <v>7.0000000000000007E-2</v>
      </c>
      <c r="J15" s="14">
        <v>0.03</v>
      </c>
      <c r="K15" s="14">
        <v>0.02</v>
      </c>
      <c r="L15" s="14">
        <v>0.02</v>
      </c>
      <c r="M15" s="14">
        <v>0.01</v>
      </c>
      <c r="N15" s="15" t="s">
        <v>213</v>
      </c>
      <c r="O15" s="14">
        <v>0.01</v>
      </c>
      <c r="P15" s="14">
        <v>0.01</v>
      </c>
      <c r="Q15" s="14">
        <v>0.01</v>
      </c>
      <c r="R15" s="15" t="s">
        <v>213</v>
      </c>
      <c r="S15" s="14">
        <v>0.03</v>
      </c>
      <c r="T15" s="14">
        <v>0.04</v>
      </c>
      <c r="U15" s="14">
        <v>0.01</v>
      </c>
      <c r="V15" s="14">
        <v>0.01</v>
      </c>
      <c r="W15" s="14">
        <v>0.01</v>
      </c>
      <c r="X15" s="14">
        <v>0.02</v>
      </c>
      <c r="Y15" s="14">
        <v>0.02</v>
      </c>
      <c r="Z15" s="15" t="s">
        <v>213</v>
      </c>
      <c r="AA15" s="14">
        <v>0.01</v>
      </c>
      <c r="AB15" s="14">
        <v>0.01</v>
      </c>
      <c r="AC15" s="14">
        <v>0.03</v>
      </c>
      <c r="AD15" s="14">
        <v>0.01</v>
      </c>
      <c r="AE15" s="14">
        <v>0.03</v>
      </c>
      <c r="AF15" s="14">
        <v>0.04</v>
      </c>
    </row>
    <row r="16" spans="1:32" x14ac:dyDescent="0.25">
      <c r="A16" s="19"/>
      <c r="B16" s="11" t="s">
        <v>417</v>
      </c>
      <c r="C16" s="12">
        <v>837</v>
      </c>
      <c r="D16" s="12">
        <v>29</v>
      </c>
      <c r="E16" s="12">
        <v>67</v>
      </c>
      <c r="F16" s="12">
        <v>63</v>
      </c>
      <c r="G16" s="12">
        <v>92</v>
      </c>
      <c r="H16" s="12">
        <v>45</v>
      </c>
      <c r="I16" s="12">
        <v>54</v>
      </c>
      <c r="J16" s="12">
        <v>9</v>
      </c>
      <c r="K16" s="12">
        <v>63</v>
      </c>
      <c r="L16" s="12">
        <v>44</v>
      </c>
      <c r="M16" s="12">
        <v>23</v>
      </c>
      <c r="N16" s="12">
        <v>9</v>
      </c>
      <c r="O16" s="12">
        <v>35</v>
      </c>
      <c r="P16" s="12">
        <v>32</v>
      </c>
      <c r="Q16" s="12">
        <v>19</v>
      </c>
      <c r="R16" s="12">
        <v>15</v>
      </c>
      <c r="S16" s="12">
        <v>47</v>
      </c>
      <c r="T16" s="12">
        <v>49</v>
      </c>
      <c r="U16" s="12">
        <v>8</v>
      </c>
      <c r="V16" s="12">
        <v>32</v>
      </c>
      <c r="W16" s="12">
        <v>13</v>
      </c>
      <c r="X16" s="12">
        <v>47</v>
      </c>
      <c r="Y16" s="12">
        <v>50</v>
      </c>
      <c r="Z16" s="12">
        <v>11</v>
      </c>
      <c r="AA16" s="12">
        <v>80</v>
      </c>
      <c r="AB16" s="12">
        <v>20</v>
      </c>
      <c r="AC16" s="12">
        <v>78</v>
      </c>
      <c r="AD16" s="12">
        <v>35</v>
      </c>
      <c r="AE16" s="12">
        <v>52</v>
      </c>
      <c r="AF16" s="12">
        <v>66</v>
      </c>
    </row>
    <row r="17" spans="1:32" x14ac:dyDescent="0.25">
      <c r="A17" s="19"/>
      <c r="B17" s="13" t="s">
        <v>417</v>
      </c>
      <c r="C17" s="14">
        <v>0.03</v>
      </c>
      <c r="D17" s="14">
        <v>0.03</v>
      </c>
      <c r="E17" s="14">
        <v>0.06</v>
      </c>
      <c r="F17" s="14">
        <v>0.06</v>
      </c>
      <c r="G17" s="14">
        <v>0.09</v>
      </c>
      <c r="H17" s="14">
        <v>0.04</v>
      </c>
      <c r="I17" s="14">
        <v>0.04</v>
      </c>
      <c r="J17" s="14">
        <v>0.03</v>
      </c>
      <c r="K17" s="14">
        <v>0.06</v>
      </c>
      <c r="L17" s="14">
        <v>0.04</v>
      </c>
      <c r="M17" s="14">
        <v>0.02</v>
      </c>
      <c r="N17" s="14">
        <v>0.01</v>
      </c>
      <c r="O17" s="14">
        <v>0.04</v>
      </c>
      <c r="P17" s="14">
        <v>0.03</v>
      </c>
      <c r="Q17" s="14">
        <v>0.02</v>
      </c>
      <c r="R17" s="14">
        <v>0.03</v>
      </c>
      <c r="S17" s="14">
        <v>0.05</v>
      </c>
      <c r="T17" s="14">
        <v>0.05</v>
      </c>
      <c r="U17" s="14">
        <v>0.02</v>
      </c>
      <c r="V17" s="14">
        <v>0.03</v>
      </c>
      <c r="W17" s="14">
        <v>0.03</v>
      </c>
      <c r="X17" s="14">
        <v>0.05</v>
      </c>
      <c r="Y17" s="14">
        <v>0.05</v>
      </c>
      <c r="Z17" s="14">
        <v>0.01</v>
      </c>
      <c r="AA17" s="14">
        <v>0.08</v>
      </c>
      <c r="AB17" s="14">
        <v>0.02</v>
      </c>
      <c r="AC17" s="14">
        <v>0.08</v>
      </c>
      <c r="AD17" s="14">
        <v>0.04</v>
      </c>
      <c r="AE17" s="14">
        <v>0.05</v>
      </c>
      <c r="AF17" s="14">
        <v>0.06</v>
      </c>
    </row>
    <row r="18" spans="1:32" x14ac:dyDescent="0.25">
      <c r="A18" s="19"/>
      <c r="B18" s="11" t="s">
        <v>418</v>
      </c>
      <c r="C18" s="12">
        <v>1075</v>
      </c>
      <c r="D18" s="12">
        <v>46</v>
      </c>
      <c r="E18" s="12">
        <v>69</v>
      </c>
      <c r="F18" s="12">
        <v>110</v>
      </c>
      <c r="G18" s="12">
        <v>79</v>
      </c>
      <c r="H18" s="12">
        <v>72</v>
      </c>
      <c r="I18" s="12">
        <v>91</v>
      </c>
      <c r="J18" s="12">
        <v>18</v>
      </c>
      <c r="K18" s="12">
        <v>76</v>
      </c>
      <c r="L18" s="12">
        <v>34</v>
      </c>
      <c r="M18" s="12">
        <v>39</v>
      </c>
      <c r="N18" s="12">
        <v>13</v>
      </c>
      <c r="O18" s="12">
        <v>29</v>
      </c>
      <c r="P18" s="12">
        <v>50</v>
      </c>
      <c r="Q18" s="12">
        <v>26</v>
      </c>
      <c r="R18" s="12">
        <v>12</v>
      </c>
      <c r="S18" s="12">
        <v>62</v>
      </c>
      <c r="T18" s="12">
        <v>57</v>
      </c>
      <c r="U18" s="12">
        <v>20</v>
      </c>
      <c r="V18" s="12">
        <v>83</v>
      </c>
      <c r="W18" s="12">
        <v>15</v>
      </c>
      <c r="X18" s="12">
        <v>55</v>
      </c>
      <c r="Y18" s="12">
        <v>47</v>
      </c>
      <c r="Z18" s="12">
        <v>25</v>
      </c>
      <c r="AA18" s="12">
        <v>53</v>
      </c>
      <c r="AB18" s="12">
        <v>34</v>
      </c>
      <c r="AC18" s="12">
        <v>61</v>
      </c>
      <c r="AD18" s="12">
        <v>44</v>
      </c>
      <c r="AE18" s="12">
        <v>65</v>
      </c>
      <c r="AF18" s="12">
        <v>46</v>
      </c>
    </row>
    <row r="19" spans="1:32" x14ac:dyDescent="0.25">
      <c r="A19" s="19"/>
      <c r="B19" s="13" t="s">
        <v>418</v>
      </c>
      <c r="C19" s="14">
        <v>0.04</v>
      </c>
      <c r="D19" s="14">
        <v>0.05</v>
      </c>
      <c r="E19" s="14">
        <v>7.0000000000000007E-2</v>
      </c>
      <c r="F19" s="14">
        <v>0.1</v>
      </c>
      <c r="G19" s="14">
        <v>0.08</v>
      </c>
      <c r="H19" s="14">
        <v>0.06</v>
      </c>
      <c r="I19" s="14">
        <v>0.06</v>
      </c>
      <c r="J19" s="14">
        <v>0.06</v>
      </c>
      <c r="K19" s="14">
        <v>0.08</v>
      </c>
      <c r="L19" s="14">
        <v>0.03</v>
      </c>
      <c r="M19" s="14">
        <v>0.04</v>
      </c>
      <c r="N19" s="14">
        <v>0.01</v>
      </c>
      <c r="O19" s="14">
        <v>0.03</v>
      </c>
      <c r="P19" s="14">
        <v>0.05</v>
      </c>
      <c r="Q19" s="14">
        <v>0.03</v>
      </c>
      <c r="R19" s="14">
        <v>0.02</v>
      </c>
      <c r="S19" s="14">
        <v>0.06</v>
      </c>
      <c r="T19" s="14">
        <v>0.06</v>
      </c>
      <c r="U19" s="14">
        <v>0.04</v>
      </c>
      <c r="V19" s="14">
        <v>0.08</v>
      </c>
      <c r="W19" s="14">
        <v>0.03</v>
      </c>
      <c r="X19" s="14">
        <v>0.06</v>
      </c>
      <c r="Y19" s="14">
        <v>0.05</v>
      </c>
      <c r="Z19" s="14">
        <v>0.03</v>
      </c>
      <c r="AA19" s="14">
        <v>0.05</v>
      </c>
      <c r="AB19" s="14">
        <v>0.03</v>
      </c>
      <c r="AC19" s="14">
        <v>0.06</v>
      </c>
      <c r="AD19" s="14">
        <v>0.04</v>
      </c>
      <c r="AE19" s="14">
        <v>7.0000000000000007E-2</v>
      </c>
      <c r="AF19" s="14">
        <v>0.05</v>
      </c>
    </row>
    <row r="20" spans="1:32" x14ac:dyDescent="0.25">
      <c r="A20" s="19"/>
      <c r="B20" s="11" t="s">
        <v>419</v>
      </c>
      <c r="C20" s="12">
        <v>2313</v>
      </c>
      <c r="D20" s="12">
        <v>88</v>
      </c>
      <c r="E20" s="12">
        <v>125</v>
      </c>
      <c r="F20" s="12">
        <v>170</v>
      </c>
      <c r="G20" s="12">
        <v>131</v>
      </c>
      <c r="H20" s="12">
        <v>134</v>
      </c>
      <c r="I20" s="12">
        <v>174</v>
      </c>
      <c r="J20" s="12">
        <v>39</v>
      </c>
      <c r="K20" s="12">
        <v>102</v>
      </c>
      <c r="L20" s="12">
        <v>74</v>
      </c>
      <c r="M20" s="12">
        <v>88</v>
      </c>
      <c r="N20" s="12">
        <v>41</v>
      </c>
      <c r="O20" s="12">
        <v>93</v>
      </c>
      <c r="P20" s="12">
        <v>89</v>
      </c>
      <c r="Q20" s="12">
        <v>44</v>
      </c>
      <c r="R20" s="12">
        <v>53</v>
      </c>
      <c r="S20" s="12">
        <v>158</v>
      </c>
      <c r="T20" s="12">
        <v>148</v>
      </c>
      <c r="U20" s="12">
        <v>43</v>
      </c>
      <c r="V20" s="12">
        <v>139</v>
      </c>
      <c r="W20" s="12">
        <v>23</v>
      </c>
      <c r="X20" s="12">
        <v>90</v>
      </c>
      <c r="Y20" s="12">
        <v>128</v>
      </c>
      <c r="Z20" s="12">
        <v>75</v>
      </c>
      <c r="AA20" s="12">
        <v>87</v>
      </c>
      <c r="AB20" s="12">
        <v>103</v>
      </c>
      <c r="AC20" s="12">
        <v>130</v>
      </c>
      <c r="AD20" s="12">
        <v>127</v>
      </c>
      <c r="AE20" s="12">
        <v>76</v>
      </c>
      <c r="AF20" s="12">
        <v>115</v>
      </c>
    </row>
    <row r="21" spans="1:32" x14ac:dyDescent="0.25">
      <c r="A21" s="19"/>
      <c r="B21" s="13" t="s">
        <v>419</v>
      </c>
      <c r="C21" s="14">
        <v>0.09</v>
      </c>
      <c r="D21" s="14">
        <v>0.09</v>
      </c>
      <c r="E21" s="14">
        <v>0.12</v>
      </c>
      <c r="F21" s="14">
        <v>0.16</v>
      </c>
      <c r="G21" s="14">
        <v>0.13</v>
      </c>
      <c r="H21" s="14">
        <v>0.11</v>
      </c>
      <c r="I21" s="14">
        <v>0.11</v>
      </c>
      <c r="J21" s="14">
        <v>0.13</v>
      </c>
      <c r="K21" s="14">
        <v>0.1</v>
      </c>
      <c r="L21" s="14">
        <v>7.0000000000000007E-2</v>
      </c>
      <c r="M21" s="14">
        <v>0.09</v>
      </c>
      <c r="N21" s="14">
        <v>0.04</v>
      </c>
      <c r="O21" s="14">
        <v>0.09</v>
      </c>
      <c r="P21" s="14">
        <v>0.09</v>
      </c>
      <c r="Q21" s="14">
        <v>0.04</v>
      </c>
      <c r="R21" s="14">
        <v>0.11</v>
      </c>
      <c r="S21" s="14">
        <v>0.16</v>
      </c>
      <c r="T21" s="14">
        <v>0.15</v>
      </c>
      <c r="U21" s="14">
        <v>0.08</v>
      </c>
      <c r="V21" s="14">
        <v>0.14000000000000001</v>
      </c>
      <c r="W21" s="14">
        <v>0.05</v>
      </c>
      <c r="X21" s="14">
        <v>0.09</v>
      </c>
      <c r="Y21" s="14">
        <v>0.13</v>
      </c>
      <c r="Z21" s="14">
        <v>0.08</v>
      </c>
      <c r="AA21" s="14">
        <v>0.08</v>
      </c>
      <c r="AB21" s="14">
        <v>0.1</v>
      </c>
      <c r="AC21" s="14">
        <v>0.13</v>
      </c>
      <c r="AD21" s="14">
        <v>0.13</v>
      </c>
      <c r="AE21" s="14">
        <v>0.08</v>
      </c>
      <c r="AF21" s="14">
        <v>0.11</v>
      </c>
    </row>
    <row r="22" spans="1:32" x14ac:dyDescent="0.25">
      <c r="A22" s="19"/>
      <c r="B22" s="11" t="s">
        <v>420</v>
      </c>
      <c r="C22" s="12">
        <v>2637</v>
      </c>
      <c r="D22" s="12">
        <v>104</v>
      </c>
      <c r="E22" s="12">
        <v>148</v>
      </c>
      <c r="F22" s="12">
        <v>151</v>
      </c>
      <c r="G22" s="12">
        <v>121</v>
      </c>
      <c r="H22" s="12">
        <v>139</v>
      </c>
      <c r="I22" s="12">
        <v>181</v>
      </c>
      <c r="J22" s="12">
        <v>42</v>
      </c>
      <c r="K22" s="12">
        <v>126</v>
      </c>
      <c r="L22" s="12">
        <v>78</v>
      </c>
      <c r="M22" s="12">
        <v>86</v>
      </c>
      <c r="N22" s="12">
        <v>89</v>
      </c>
      <c r="O22" s="12">
        <v>80</v>
      </c>
      <c r="P22" s="12">
        <v>101</v>
      </c>
      <c r="Q22" s="12">
        <v>61</v>
      </c>
      <c r="R22" s="12">
        <v>45</v>
      </c>
      <c r="S22" s="12">
        <v>81</v>
      </c>
      <c r="T22" s="12">
        <v>136</v>
      </c>
      <c r="U22" s="12">
        <v>59</v>
      </c>
      <c r="V22" s="12">
        <v>143</v>
      </c>
      <c r="W22" s="12">
        <v>42</v>
      </c>
      <c r="X22" s="12">
        <v>118</v>
      </c>
      <c r="Y22" s="12">
        <v>127</v>
      </c>
      <c r="Z22" s="12">
        <v>125</v>
      </c>
      <c r="AA22" s="12">
        <v>59</v>
      </c>
      <c r="AB22" s="12">
        <v>126</v>
      </c>
      <c r="AC22" s="12">
        <v>94</v>
      </c>
      <c r="AD22" s="12">
        <v>133</v>
      </c>
      <c r="AE22" s="12">
        <v>114</v>
      </c>
      <c r="AF22" s="12">
        <v>115</v>
      </c>
    </row>
    <row r="23" spans="1:32" x14ac:dyDescent="0.25">
      <c r="A23" s="19"/>
      <c r="B23" s="13" t="s">
        <v>420</v>
      </c>
      <c r="C23" s="14">
        <v>0.1</v>
      </c>
      <c r="D23" s="14">
        <v>0.1</v>
      </c>
      <c r="E23" s="14">
        <v>0.14000000000000001</v>
      </c>
      <c r="F23" s="14">
        <v>0.14000000000000001</v>
      </c>
      <c r="G23" s="14">
        <v>0.12</v>
      </c>
      <c r="H23" s="14">
        <v>0.11</v>
      </c>
      <c r="I23" s="14">
        <v>0.12</v>
      </c>
      <c r="J23" s="14">
        <v>0.14000000000000001</v>
      </c>
      <c r="K23" s="14">
        <v>0.13</v>
      </c>
      <c r="L23" s="14">
        <v>0.08</v>
      </c>
      <c r="M23" s="14">
        <v>0.08</v>
      </c>
      <c r="N23" s="14">
        <v>0.09</v>
      </c>
      <c r="O23" s="14">
        <v>0.08</v>
      </c>
      <c r="P23" s="14">
        <v>0.1</v>
      </c>
      <c r="Q23" s="14">
        <v>0.06</v>
      </c>
      <c r="R23" s="14">
        <v>0.09</v>
      </c>
      <c r="S23" s="14">
        <v>0.08</v>
      </c>
      <c r="T23" s="14">
        <v>0.13</v>
      </c>
      <c r="U23" s="14">
        <v>0.12</v>
      </c>
      <c r="V23" s="14">
        <v>0.14000000000000001</v>
      </c>
      <c r="W23" s="14">
        <v>0.08</v>
      </c>
      <c r="X23" s="14">
        <v>0.12</v>
      </c>
      <c r="Y23" s="14">
        <v>0.13</v>
      </c>
      <c r="Z23" s="14">
        <v>0.12</v>
      </c>
      <c r="AA23" s="14">
        <v>0.06</v>
      </c>
      <c r="AB23" s="14">
        <v>0.12</v>
      </c>
      <c r="AC23" s="14">
        <v>0.09</v>
      </c>
      <c r="AD23" s="14">
        <v>0.13</v>
      </c>
      <c r="AE23" s="14">
        <v>0.11</v>
      </c>
      <c r="AF23" s="14">
        <v>0.11</v>
      </c>
    </row>
    <row r="24" spans="1:32" x14ac:dyDescent="0.25">
      <c r="A24" s="19"/>
      <c r="B24" s="11" t="s">
        <v>421</v>
      </c>
      <c r="C24" s="12">
        <v>4171</v>
      </c>
      <c r="D24" s="12">
        <v>197</v>
      </c>
      <c r="E24" s="12">
        <v>130</v>
      </c>
      <c r="F24" s="12">
        <v>139</v>
      </c>
      <c r="G24" s="12">
        <v>184</v>
      </c>
      <c r="H24" s="12">
        <v>174</v>
      </c>
      <c r="I24" s="12">
        <v>229</v>
      </c>
      <c r="J24" s="12">
        <v>55</v>
      </c>
      <c r="K24" s="12">
        <v>153</v>
      </c>
      <c r="L24" s="12">
        <v>139</v>
      </c>
      <c r="M24" s="12">
        <v>195</v>
      </c>
      <c r="N24" s="12">
        <v>124</v>
      </c>
      <c r="O24" s="12">
        <v>160</v>
      </c>
      <c r="P24" s="12">
        <v>158</v>
      </c>
      <c r="Q24" s="12">
        <v>151</v>
      </c>
      <c r="R24" s="12">
        <v>98</v>
      </c>
      <c r="S24" s="12">
        <v>92</v>
      </c>
      <c r="T24" s="12">
        <v>147</v>
      </c>
      <c r="U24" s="12">
        <v>93</v>
      </c>
      <c r="V24" s="12">
        <v>186</v>
      </c>
      <c r="W24" s="12">
        <v>50</v>
      </c>
      <c r="X24" s="12">
        <v>215</v>
      </c>
      <c r="Y24" s="12">
        <v>137</v>
      </c>
      <c r="Z24" s="12">
        <v>183</v>
      </c>
      <c r="AA24" s="12">
        <v>125</v>
      </c>
      <c r="AB24" s="12">
        <v>201</v>
      </c>
      <c r="AC24" s="12">
        <v>127</v>
      </c>
      <c r="AD24" s="12">
        <v>225</v>
      </c>
      <c r="AE24" s="12">
        <v>159</v>
      </c>
      <c r="AF24" s="12">
        <v>204</v>
      </c>
    </row>
    <row r="25" spans="1:32" x14ac:dyDescent="0.25">
      <c r="A25" s="19"/>
      <c r="B25" s="13" t="s">
        <v>421</v>
      </c>
      <c r="C25" s="14">
        <v>0.16</v>
      </c>
      <c r="D25" s="14">
        <v>0.19</v>
      </c>
      <c r="E25" s="14">
        <v>0.12</v>
      </c>
      <c r="F25" s="14">
        <v>0.13</v>
      </c>
      <c r="G25" s="14">
        <v>0.18</v>
      </c>
      <c r="H25" s="14">
        <v>0.14000000000000001</v>
      </c>
      <c r="I25" s="14">
        <v>0.15</v>
      </c>
      <c r="J25" s="14">
        <v>0.19</v>
      </c>
      <c r="K25" s="14">
        <v>0.15</v>
      </c>
      <c r="L25" s="14">
        <v>0.14000000000000001</v>
      </c>
      <c r="M25" s="14">
        <v>0.19</v>
      </c>
      <c r="N25" s="14">
        <v>0.12</v>
      </c>
      <c r="O25" s="14">
        <v>0.16</v>
      </c>
      <c r="P25" s="14">
        <v>0.16</v>
      </c>
      <c r="Q25" s="14">
        <v>0.15</v>
      </c>
      <c r="R25" s="14">
        <v>0.2</v>
      </c>
      <c r="S25" s="14">
        <v>0.09</v>
      </c>
      <c r="T25" s="14">
        <v>0.14000000000000001</v>
      </c>
      <c r="U25" s="14">
        <v>0.18</v>
      </c>
      <c r="V25" s="14">
        <v>0.18</v>
      </c>
      <c r="W25" s="14">
        <v>0.1</v>
      </c>
      <c r="X25" s="14">
        <v>0.21</v>
      </c>
      <c r="Y25" s="14">
        <v>0.14000000000000001</v>
      </c>
      <c r="Z25" s="14">
        <v>0.18</v>
      </c>
      <c r="AA25" s="14">
        <v>0.12</v>
      </c>
      <c r="AB25" s="14">
        <v>0.19</v>
      </c>
      <c r="AC25" s="14">
        <v>0.13</v>
      </c>
      <c r="AD25" s="14">
        <v>0.22</v>
      </c>
      <c r="AE25" s="14">
        <v>0.16</v>
      </c>
      <c r="AF25" s="14">
        <v>0.2</v>
      </c>
    </row>
    <row r="26" spans="1:32" x14ac:dyDescent="0.25">
      <c r="A26" s="19"/>
      <c r="B26" s="11" t="s">
        <v>422</v>
      </c>
      <c r="C26" s="12">
        <v>5586</v>
      </c>
      <c r="D26" s="12">
        <v>226</v>
      </c>
      <c r="E26" s="12">
        <v>153</v>
      </c>
      <c r="F26" s="12">
        <v>134</v>
      </c>
      <c r="G26" s="12">
        <v>149</v>
      </c>
      <c r="H26" s="12">
        <v>202</v>
      </c>
      <c r="I26" s="12">
        <v>256</v>
      </c>
      <c r="J26" s="12">
        <v>54</v>
      </c>
      <c r="K26" s="12">
        <v>150</v>
      </c>
      <c r="L26" s="12">
        <v>210</v>
      </c>
      <c r="M26" s="12">
        <v>267</v>
      </c>
      <c r="N26" s="12">
        <v>229</v>
      </c>
      <c r="O26" s="12">
        <v>233</v>
      </c>
      <c r="P26" s="12">
        <v>198</v>
      </c>
      <c r="Q26" s="12">
        <v>256</v>
      </c>
      <c r="R26" s="12">
        <v>108</v>
      </c>
      <c r="S26" s="12">
        <v>150</v>
      </c>
      <c r="T26" s="12">
        <v>145</v>
      </c>
      <c r="U26" s="12">
        <v>98</v>
      </c>
      <c r="V26" s="12">
        <v>165</v>
      </c>
      <c r="W26" s="12">
        <v>97</v>
      </c>
      <c r="X26" s="12">
        <v>205</v>
      </c>
      <c r="Y26" s="12">
        <v>183</v>
      </c>
      <c r="Z26" s="12">
        <v>278</v>
      </c>
      <c r="AA26" s="12">
        <v>195</v>
      </c>
      <c r="AB26" s="12">
        <v>233</v>
      </c>
      <c r="AC26" s="12">
        <v>130</v>
      </c>
      <c r="AD26" s="12">
        <v>221</v>
      </c>
      <c r="AE26" s="12">
        <v>200</v>
      </c>
      <c r="AF26" s="12">
        <v>185</v>
      </c>
    </row>
    <row r="27" spans="1:32" x14ac:dyDescent="0.25">
      <c r="A27" s="19"/>
      <c r="B27" s="13" t="s">
        <v>422</v>
      </c>
      <c r="C27" s="14">
        <v>0.21</v>
      </c>
      <c r="D27" s="14">
        <v>0.22</v>
      </c>
      <c r="E27" s="14">
        <v>0.15</v>
      </c>
      <c r="F27" s="14">
        <v>0.13</v>
      </c>
      <c r="G27" s="14">
        <v>0.14000000000000001</v>
      </c>
      <c r="H27" s="14">
        <v>0.16</v>
      </c>
      <c r="I27" s="14">
        <v>0.17</v>
      </c>
      <c r="J27" s="14">
        <v>0.18</v>
      </c>
      <c r="K27" s="14">
        <v>0.15</v>
      </c>
      <c r="L27" s="14">
        <v>0.21</v>
      </c>
      <c r="M27" s="14">
        <v>0.27</v>
      </c>
      <c r="N27" s="14">
        <v>0.23</v>
      </c>
      <c r="O27" s="14">
        <v>0.23</v>
      </c>
      <c r="P27" s="14">
        <v>0.2</v>
      </c>
      <c r="Q27" s="14">
        <v>0.25</v>
      </c>
      <c r="R27" s="14">
        <v>0.21</v>
      </c>
      <c r="S27" s="14">
        <v>0.15</v>
      </c>
      <c r="T27" s="14">
        <v>0.14000000000000001</v>
      </c>
      <c r="U27" s="14">
        <v>0.19</v>
      </c>
      <c r="V27" s="14">
        <v>0.16</v>
      </c>
      <c r="W27" s="14">
        <v>0.19</v>
      </c>
      <c r="X27" s="14">
        <v>0.2</v>
      </c>
      <c r="Y27" s="14">
        <v>0.18</v>
      </c>
      <c r="Z27" s="14">
        <v>0.27</v>
      </c>
      <c r="AA27" s="14">
        <v>0.19</v>
      </c>
      <c r="AB27" s="14">
        <v>0.23</v>
      </c>
      <c r="AC27" s="14">
        <v>0.13</v>
      </c>
      <c r="AD27" s="14">
        <v>0.22</v>
      </c>
      <c r="AE27" s="14">
        <v>0.2</v>
      </c>
      <c r="AF27" s="14">
        <v>0.18</v>
      </c>
    </row>
    <row r="28" spans="1:32" x14ac:dyDescent="0.25">
      <c r="A28" s="19"/>
      <c r="B28" s="11" t="s">
        <v>423</v>
      </c>
      <c r="C28" s="12">
        <v>3497</v>
      </c>
      <c r="D28" s="12">
        <v>116</v>
      </c>
      <c r="E28" s="12">
        <v>80</v>
      </c>
      <c r="F28" s="12">
        <v>73</v>
      </c>
      <c r="G28" s="12">
        <v>69</v>
      </c>
      <c r="H28" s="12">
        <v>121</v>
      </c>
      <c r="I28" s="12">
        <v>145</v>
      </c>
      <c r="J28" s="12">
        <v>24</v>
      </c>
      <c r="K28" s="12">
        <v>92</v>
      </c>
      <c r="L28" s="12">
        <v>122</v>
      </c>
      <c r="M28" s="12">
        <v>162</v>
      </c>
      <c r="N28" s="12">
        <v>174</v>
      </c>
      <c r="O28" s="12">
        <v>125</v>
      </c>
      <c r="P28" s="12">
        <v>132</v>
      </c>
      <c r="Q28" s="12">
        <v>201</v>
      </c>
      <c r="R28" s="12">
        <v>55</v>
      </c>
      <c r="S28" s="12">
        <v>106</v>
      </c>
      <c r="T28" s="12">
        <v>49</v>
      </c>
      <c r="U28" s="12">
        <v>73</v>
      </c>
      <c r="V28" s="12">
        <v>107</v>
      </c>
      <c r="W28" s="12">
        <v>116</v>
      </c>
      <c r="X28" s="12">
        <v>137</v>
      </c>
      <c r="Y28" s="12">
        <v>97</v>
      </c>
      <c r="Z28" s="12">
        <v>144</v>
      </c>
      <c r="AA28" s="12">
        <v>178</v>
      </c>
      <c r="AB28" s="12">
        <v>138</v>
      </c>
      <c r="AC28" s="12">
        <v>76</v>
      </c>
      <c r="AD28" s="12">
        <v>84</v>
      </c>
      <c r="AE28" s="12">
        <v>130</v>
      </c>
      <c r="AF28" s="12">
        <v>104</v>
      </c>
    </row>
    <row r="29" spans="1:32" x14ac:dyDescent="0.25">
      <c r="A29" s="19"/>
      <c r="B29" s="13" t="s">
        <v>423</v>
      </c>
      <c r="C29" s="14">
        <v>0.13</v>
      </c>
      <c r="D29" s="14">
        <v>0.11</v>
      </c>
      <c r="E29" s="14">
        <v>0.08</v>
      </c>
      <c r="F29" s="14">
        <v>7.0000000000000007E-2</v>
      </c>
      <c r="G29" s="14">
        <v>7.0000000000000007E-2</v>
      </c>
      <c r="H29" s="14">
        <v>0.1</v>
      </c>
      <c r="I29" s="14">
        <v>0.1</v>
      </c>
      <c r="J29" s="14">
        <v>0.08</v>
      </c>
      <c r="K29" s="14">
        <v>0.09</v>
      </c>
      <c r="L29" s="14">
        <v>0.12</v>
      </c>
      <c r="M29" s="14">
        <v>0.16</v>
      </c>
      <c r="N29" s="14">
        <v>0.17</v>
      </c>
      <c r="O29" s="14">
        <v>0.12</v>
      </c>
      <c r="P29" s="14">
        <v>0.13</v>
      </c>
      <c r="Q29" s="14">
        <v>0.19</v>
      </c>
      <c r="R29" s="14">
        <v>0.11</v>
      </c>
      <c r="S29" s="14">
        <v>0.11</v>
      </c>
      <c r="T29" s="14">
        <v>0.05</v>
      </c>
      <c r="U29" s="14">
        <v>0.14000000000000001</v>
      </c>
      <c r="V29" s="14">
        <v>0.11</v>
      </c>
      <c r="W29" s="14">
        <v>0.23</v>
      </c>
      <c r="X29" s="14">
        <v>0.14000000000000001</v>
      </c>
      <c r="Y29" s="14">
        <v>0.1</v>
      </c>
      <c r="Z29" s="14">
        <v>0.14000000000000001</v>
      </c>
      <c r="AA29" s="14">
        <v>0.17</v>
      </c>
      <c r="AB29" s="14">
        <v>0.13</v>
      </c>
      <c r="AC29" s="14">
        <v>0.08</v>
      </c>
      <c r="AD29" s="14">
        <v>0.08</v>
      </c>
      <c r="AE29" s="14">
        <v>0.13</v>
      </c>
      <c r="AF29" s="14">
        <v>0.1</v>
      </c>
    </row>
    <row r="30" spans="1:32" ht="23.25" x14ac:dyDescent="0.25">
      <c r="A30" s="19"/>
      <c r="B30" s="11" t="s">
        <v>424</v>
      </c>
      <c r="C30" s="12">
        <v>4739</v>
      </c>
      <c r="D30" s="12">
        <v>132</v>
      </c>
      <c r="E30" s="12">
        <v>166</v>
      </c>
      <c r="F30" s="12">
        <v>108</v>
      </c>
      <c r="G30" s="12">
        <v>102</v>
      </c>
      <c r="H30" s="12">
        <v>184</v>
      </c>
      <c r="I30" s="12">
        <v>220</v>
      </c>
      <c r="J30" s="12">
        <v>36</v>
      </c>
      <c r="K30" s="12">
        <v>171</v>
      </c>
      <c r="L30" s="12">
        <v>230</v>
      </c>
      <c r="M30" s="12">
        <v>92</v>
      </c>
      <c r="N30" s="12">
        <v>300</v>
      </c>
      <c r="O30" s="12">
        <v>205</v>
      </c>
      <c r="P30" s="12">
        <v>194</v>
      </c>
      <c r="Q30" s="12">
        <v>251</v>
      </c>
      <c r="R30" s="12">
        <v>97</v>
      </c>
      <c r="S30" s="12">
        <v>197</v>
      </c>
      <c r="T30" s="12">
        <v>133</v>
      </c>
      <c r="U30" s="12">
        <v>98</v>
      </c>
      <c r="V30" s="12">
        <v>135</v>
      </c>
      <c r="W30" s="12">
        <v>123</v>
      </c>
      <c r="X30" s="12">
        <v>95</v>
      </c>
      <c r="Y30" s="12">
        <v>166</v>
      </c>
      <c r="Z30" s="12">
        <v>154</v>
      </c>
      <c r="AA30" s="12">
        <v>208</v>
      </c>
      <c r="AB30" s="12">
        <v>93</v>
      </c>
      <c r="AC30" s="12">
        <v>227</v>
      </c>
      <c r="AD30" s="12">
        <v>77</v>
      </c>
      <c r="AE30" s="12">
        <v>140</v>
      </c>
      <c r="AF30" s="12">
        <v>137</v>
      </c>
    </row>
    <row r="31" spans="1:32" x14ac:dyDescent="0.25">
      <c r="A31" s="19"/>
      <c r="B31" s="13" t="s">
        <v>425</v>
      </c>
      <c r="C31" s="14">
        <v>0.18</v>
      </c>
      <c r="D31" s="14">
        <v>0.13</v>
      </c>
      <c r="E31" s="14">
        <v>0.16</v>
      </c>
      <c r="F31" s="14">
        <v>0.1</v>
      </c>
      <c r="G31" s="14">
        <v>0.1</v>
      </c>
      <c r="H31" s="14">
        <v>0.15</v>
      </c>
      <c r="I31" s="14">
        <v>0.14000000000000001</v>
      </c>
      <c r="J31" s="14">
        <v>0.12</v>
      </c>
      <c r="K31" s="14">
        <v>0.17</v>
      </c>
      <c r="L31" s="14">
        <v>0.23</v>
      </c>
      <c r="M31" s="14">
        <v>0.09</v>
      </c>
      <c r="N31" s="14">
        <v>0.3</v>
      </c>
      <c r="O31" s="14">
        <v>0.21</v>
      </c>
      <c r="P31" s="14">
        <v>0.19</v>
      </c>
      <c r="Q31" s="14">
        <v>0.24</v>
      </c>
      <c r="R31" s="14">
        <v>0.19</v>
      </c>
      <c r="S31" s="14">
        <v>0.19</v>
      </c>
      <c r="T31" s="14">
        <v>0.13</v>
      </c>
      <c r="U31" s="14">
        <v>0.19</v>
      </c>
      <c r="V31" s="14">
        <v>0.13</v>
      </c>
      <c r="W31" s="14">
        <v>0.24</v>
      </c>
      <c r="X31" s="14">
        <v>0.09</v>
      </c>
      <c r="Y31" s="14">
        <v>0.16</v>
      </c>
      <c r="Z31" s="14">
        <v>0.15</v>
      </c>
      <c r="AA31" s="14">
        <v>0.2</v>
      </c>
      <c r="AB31" s="14">
        <v>0.09</v>
      </c>
      <c r="AC31" s="14">
        <v>0.22</v>
      </c>
      <c r="AD31" s="14">
        <v>0.08</v>
      </c>
      <c r="AE31" s="14">
        <v>0.14000000000000001</v>
      </c>
      <c r="AF31" s="14">
        <v>0.13</v>
      </c>
    </row>
    <row r="32" spans="1:32" x14ac:dyDescent="0.25">
      <c r="A32" s="19"/>
      <c r="B32" s="11" t="s">
        <v>224</v>
      </c>
      <c r="C32" s="12">
        <v>355</v>
      </c>
      <c r="D32" s="12">
        <v>3</v>
      </c>
      <c r="E32" s="12">
        <v>23</v>
      </c>
      <c r="F32" s="12">
        <v>8</v>
      </c>
      <c r="G32" s="12">
        <v>14</v>
      </c>
      <c r="H32" s="12">
        <v>17</v>
      </c>
      <c r="I32" s="12">
        <v>19</v>
      </c>
      <c r="J32" s="12">
        <v>3</v>
      </c>
      <c r="K32" s="12">
        <v>11</v>
      </c>
      <c r="L32" s="12">
        <v>6</v>
      </c>
      <c r="M32" s="12">
        <v>37</v>
      </c>
      <c r="N32" s="12">
        <v>12</v>
      </c>
      <c r="O32" s="12">
        <v>14</v>
      </c>
      <c r="P32" s="12">
        <v>21</v>
      </c>
      <c r="Q32" s="12">
        <v>5</v>
      </c>
      <c r="R32" s="12">
        <v>14</v>
      </c>
      <c r="S32" s="12">
        <v>25</v>
      </c>
      <c r="T32" s="12">
        <v>45</v>
      </c>
      <c r="U32" s="12">
        <v>4</v>
      </c>
      <c r="V32" s="12">
        <v>10</v>
      </c>
      <c r="W32" s="12">
        <v>5</v>
      </c>
      <c r="X32" s="12">
        <v>3</v>
      </c>
      <c r="Y32" s="12">
        <v>20</v>
      </c>
      <c r="Z32" s="12">
        <v>17</v>
      </c>
      <c r="AA32" s="12">
        <v>27</v>
      </c>
      <c r="AB32" s="12">
        <v>35</v>
      </c>
      <c r="AC32" s="12">
        <v>5</v>
      </c>
      <c r="AD32" s="12">
        <v>9</v>
      </c>
      <c r="AE32" s="12">
        <v>14</v>
      </c>
      <c r="AF32" s="12">
        <v>5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0.02</v>
      </c>
      <c r="F33" s="14">
        <v>0.01</v>
      </c>
      <c r="G33" s="14">
        <v>0.01</v>
      </c>
      <c r="H33" s="14">
        <v>0.01</v>
      </c>
      <c r="I33" s="14">
        <v>0.01</v>
      </c>
      <c r="J33" s="14">
        <v>0.01</v>
      </c>
      <c r="K33" s="14">
        <v>0.01</v>
      </c>
      <c r="L33" s="14">
        <v>0.01</v>
      </c>
      <c r="M33" s="14">
        <v>0.04</v>
      </c>
      <c r="N33" s="14">
        <v>0.01</v>
      </c>
      <c r="O33" s="14">
        <v>0.01</v>
      </c>
      <c r="P33" s="14">
        <v>0.02</v>
      </c>
      <c r="Q33" s="15" t="s">
        <v>213</v>
      </c>
      <c r="R33" s="14">
        <v>0.03</v>
      </c>
      <c r="S33" s="14">
        <v>0.02</v>
      </c>
      <c r="T33" s="14">
        <v>0.04</v>
      </c>
      <c r="U33" s="14">
        <v>0.01</v>
      </c>
      <c r="V33" s="14">
        <v>0.01</v>
      </c>
      <c r="W33" s="14">
        <v>0.01</v>
      </c>
      <c r="X33" s="15" t="s">
        <v>213</v>
      </c>
      <c r="Y33" s="14">
        <v>0.02</v>
      </c>
      <c r="Z33" s="14">
        <v>0.02</v>
      </c>
      <c r="AA33" s="14">
        <v>0.03</v>
      </c>
      <c r="AB33" s="14">
        <v>0.04</v>
      </c>
      <c r="AC33" s="15" t="s">
        <v>213</v>
      </c>
      <c r="AD33" s="14">
        <v>0.01</v>
      </c>
      <c r="AE33" s="14">
        <v>0.01</v>
      </c>
      <c r="AF33" s="14">
        <v>0.01</v>
      </c>
    </row>
    <row r="34" spans="1:32" ht="23.25" x14ac:dyDescent="0.25">
      <c r="A34" s="19"/>
      <c r="B34" s="11" t="s">
        <v>426</v>
      </c>
      <c r="C34" s="12">
        <v>3157</v>
      </c>
      <c r="D34" s="12">
        <v>155</v>
      </c>
      <c r="E34" s="12">
        <v>223</v>
      </c>
      <c r="F34" s="12">
        <v>280</v>
      </c>
      <c r="G34" s="12">
        <v>246</v>
      </c>
      <c r="H34" s="12">
        <v>259</v>
      </c>
      <c r="I34" s="12">
        <v>303</v>
      </c>
      <c r="J34" s="12">
        <v>43</v>
      </c>
      <c r="K34" s="12">
        <v>203</v>
      </c>
      <c r="L34" s="12">
        <v>148</v>
      </c>
      <c r="M34" s="12">
        <v>81</v>
      </c>
      <c r="N34" s="12">
        <v>40</v>
      </c>
      <c r="O34" s="12">
        <v>95</v>
      </c>
      <c r="P34" s="12">
        <v>110</v>
      </c>
      <c r="Q34" s="12">
        <v>63</v>
      </c>
      <c r="R34" s="12">
        <v>31</v>
      </c>
      <c r="S34" s="12">
        <v>195</v>
      </c>
      <c r="T34" s="12">
        <v>221</v>
      </c>
      <c r="U34" s="12">
        <v>40</v>
      </c>
      <c r="V34" s="12">
        <v>141</v>
      </c>
      <c r="W34" s="12">
        <v>46</v>
      </c>
      <c r="X34" s="12">
        <v>147</v>
      </c>
      <c r="Y34" s="12">
        <v>145</v>
      </c>
      <c r="Z34" s="12">
        <v>41</v>
      </c>
      <c r="AA34" s="12">
        <v>158</v>
      </c>
      <c r="AB34" s="12">
        <v>112</v>
      </c>
      <c r="AC34" s="12">
        <v>216</v>
      </c>
      <c r="AD34" s="12">
        <v>127</v>
      </c>
      <c r="AE34" s="12">
        <v>169</v>
      </c>
      <c r="AF34" s="12">
        <v>167</v>
      </c>
    </row>
    <row r="35" spans="1:32" ht="23.25" x14ac:dyDescent="0.25">
      <c r="A35" s="19"/>
      <c r="B35" s="13" t="s">
        <v>427</v>
      </c>
      <c r="C35" s="14">
        <v>0.12</v>
      </c>
      <c r="D35" s="14">
        <v>0.16</v>
      </c>
      <c r="E35" s="14">
        <v>0.21</v>
      </c>
      <c r="F35" s="14">
        <v>0.26</v>
      </c>
      <c r="G35" s="14">
        <v>0.25</v>
      </c>
      <c r="H35" s="14">
        <v>0.22</v>
      </c>
      <c r="I35" s="14">
        <v>0.2</v>
      </c>
      <c r="J35" s="14">
        <v>0.15</v>
      </c>
      <c r="K35" s="14">
        <v>0.2</v>
      </c>
      <c r="L35" s="14">
        <v>0.14000000000000001</v>
      </c>
      <c r="M35" s="14">
        <v>0.08</v>
      </c>
      <c r="N35" s="14">
        <v>0.04</v>
      </c>
      <c r="O35" s="14">
        <v>0.1</v>
      </c>
      <c r="P35" s="14">
        <v>0.11</v>
      </c>
      <c r="Q35" s="14">
        <v>7.0000000000000007E-2</v>
      </c>
      <c r="R35" s="14">
        <v>0.06</v>
      </c>
      <c r="S35" s="14">
        <v>0.2</v>
      </c>
      <c r="T35" s="14">
        <v>0.22</v>
      </c>
      <c r="U35" s="14">
        <v>0.09</v>
      </c>
      <c r="V35" s="14">
        <v>0.13</v>
      </c>
      <c r="W35" s="14">
        <v>0.1</v>
      </c>
      <c r="X35" s="14">
        <v>0.15</v>
      </c>
      <c r="Y35" s="14">
        <v>0.14000000000000001</v>
      </c>
      <c r="Z35" s="14">
        <v>0.04</v>
      </c>
      <c r="AA35" s="14">
        <v>0.15</v>
      </c>
      <c r="AB35" s="14">
        <v>0.1</v>
      </c>
      <c r="AC35" s="14">
        <v>0.22</v>
      </c>
      <c r="AD35" s="14">
        <v>0.13</v>
      </c>
      <c r="AE35" s="14">
        <v>0.17</v>
      </c>
      <c r="AF35" s="14">
        <v>0.16</v>
      </c>
    </row>
    <row r="36" spans="1:32" ht="23.25" x14ac:dyDescent="0.25">
      <c r="A36" s="19"/>
      <c r="B36" s="11" t="s">
        <v>428</v>
      </c>
      <c r="C36" s="12">
        <v>4950</v>
      </c>
      <c r="D36" s="12">
        <v>192</v>
      </c>
      <c r="E36" s="12">
        <v>273</v>
      </c>
      <c r="F36" s="12">
        <v>321</v>
      </c>
      <c r="G36" s="12">
        <v>252</v>
      </c>
      <c r="H36" s="12">
        <v>273</v>
      </c>
      <c r="I36" s="12">
        <v>355</v>
      </c>
      <c r="J36" s="12">
        <v>81</v>
      </c>
      <c r="K36" s="12">
        <v>228</v>
      </c>
      <c r="L36" s="12">
        <v>152</v>
      </c>
      <c r="M36" s="12">
        <v>174</v>
      </c>
      <c r="N36" s="12">
        <v>130</v>
      </c>
      <c r="O36" s="12">
        <v>173</v>
      </c>
      <c r="P36" s="12">
        <v>190</v>
      </c>
      <c r="Q36" s="12">
        <v>105</v>
      </c>
      <c r="R36" s="12">
        <v>98</v>
      </c>
      <c r="S36" s="12">
        <v>239</v>
      </c>
      <c r="T36" s="12">
        <v>284</v>
      </c>
      <c r="U36" s="12">
        <v>102</v>
      </c>
      <c r="V36" s="12">
        <v>282</v>
      </c>
      <c r="W36" s="12">
        <v>65</v>
      </c>
      <c r="X36" s="12">
        <v>208</v>
      </c>
      <c r="Y36" s="12">
        <v>255</v>
      </c>
      <c r="Z36" s="12">
        <v>200</v>
      </c>
      <c r="AA36" s="12">
        <v>146</v>
      </c>
      <c r="AB36" s="12">
        <v>229</v>
      </c>
      <c r="AC36" s="12">
        <v>224</v>
      </c>
      <c r="AD36" s="12">
        <v>260</v>
      </c>
      <c r="AE36" s="12">
        <v>190</v>
      </c>
      <c r="AF36" s="12">
        <v>230</v>
      </c>
    </row>
    <row r="37" spans="1:32" ht="23.25" x14ac:dyDescent="0.25">
      <c r="A37" s="19"/>
      <c r="B37" s="13" t="s">
        <v>429</v>
      </c>
      <c r="C37" s="14">
        <v>0.19</v>
      </c>
      <c r="D37" s="14">
        <v>0.19</v>
      </c>
      <c r="E37" s="14">
        <v>0.26</v>
      </c>
      <c r="F37" s="14">
        <v>0.3</v>
      </c>
      <c r="G37" s="14">
        <v>0.25</v>
      </c>
      <c r="H37" s="14">
        <v>0.22</v>
      </c>
      <c r="I37" s="14">
        <v>0.23</v>
      </c>
      <c r="J37" s="14">
        <v>0.27</v>
      </c>
      <c r="K37" s="14">
        <v>0.23</v>
      </c>
      <c r="L37" s="14">
        <v>0.15</v>
      </c>
      <c r="M37" s="14">
        <v>0.17</v>
      </c>
      <c r="N37" s="14">
        <v>0.13</v>
      </c>
      <c r="O37" s="14">
        <v>0.17</v>
      </c>
      <c r="P37" s="14">
        <v>0.19</v>
      </c>
      <c r="Q37" s="14">
        <v>0.1</v>
      </c>
      <c r="R37" s="14">
        <v>0.2</v>
      </c>
      <c r="S37" s="14">
        <v>0.24</v>
      </c>
      <c r="T37" s="14">
        <v>0.28000000000000003</v>
      </c>
      <c r="U37" s="14">
        <v>0.2</v>
      </c>
      <c r="V37" s="14">
        <v>0.28000000000000003</v>
      </c>
      <c r="W37" s="14">
        <v>0.13</v>
      </c>
      <c r="X37" s="14">
        <v>0.21</v>
      </c>
      <c r="Y37" s="14">
        <v>0.26</v>
      </c>
      <c r="Z37" s="14">
        <v>0.2</v>
      </c>
      <c r="AA37" s="14">
        <v>0.14000000000000001</v>
      </c>
      <c r="AB37" s="14">
        <v>0.22</v>
      </c>
      <c r="AC37" s="14">
        <v>0.22</v>
      </c>
      <c r="AD37" s="14">
        <v>0.26</v>
      </c>
      <c r="AE37" s="14">
        <v>0.19</v>
      </c>
      <c r="AF37" s="14">
        <v>0.22</v>
      </c>
    </row>
    <row r="38" spans="1:32" ht="23.25" x14ac:dyDescent="0.25">
      <c r="A38" s="19"/>
      <c r="B38" s="11" t="s">
        <v>430</v>
      </c>
      <c r="C38" s="12">
        <v>17993</v>
      </c>
      <c r="D38" s="12">
        <v>671</v>
      </c>
      <c r="E38" s="12">
        <v>529</v>
      </c>
      <c r="F38" s="12">
        <v>454</v>
      </c>
      <c r="G38" s="12">
        <v>504</v>
      </c>
      <c r="H38" s="12">
        <v>681</v>
      </c>
      <c r="I38" s="12">
        <v>850</v>
      </c>
      <c r="J38" s="12">
        <v>169</v>
      </c>
      <c r="K38" s="12">
        <v>566</v>
      </c>
      <c r="L38" s="12">
        <v>701</v>
      </c>
      <c r="M38" s="12">
        <v>716</v>
      </c>
      <c r="N38" s="12">
        <v>827</v>
      </c>
      <c r="O38" s="12">
        <v>723</v>
      </c>
      <c r="P38" s="12">
        <v>682</v>
      </c>
      <c r="Q38" s="12">
        <v>859</v>
      </c>
      <c r="R38" s="12">
        <v>358</v>
      </c>
      <c r="S38" s="12">
        <v>545</v>
      </c>
      <c r="T38" s="12">
        <v>474</v>
      </c>
      <c r="U38" s="12">
        <v>362</v>
      </c>
      <c r="V38" s="12">
        <v>593</v>
      </c>
      <c r="W38" s="12">
        <v>386</v>
      </c>
      <c r="X38" s="12">
        <v>652</v>
      </c>
      <c r="Y38" s="12">
        <v>583</v>
      </c>
      <c r="Z38" s="12">
        <v>759</v>
      </c>
      <c r="AA38" s="12">
        <v>706</v>
      </c>
      <c r="AB38" s="12">
        <v>665</v>
      </c>
      <c r="AC38" s="12">
        <v>560</v>
      </c>
      <c r="AD38" s="12">
        <v>607</v>
      </c>
      <c r="AE38" s="12">
        <v>629</v>
      </c>
      <c r="AF38" s="12">
        <v>630</v>
      </c>
    </row>
    <row r="39" spans="1:32" ht="23.25" x14ac:dyDescent="0.25">
      <c r="A39" s="19"/>
      <c r="B39" s="13" t="s">
        <v>431</v>
      </c>
      <c r="C39" s="14">
        <v>0.68</v>
      </c>
      <c r="D39" s="14">
        <v>0.65</v>
      </c>
      <c r="E39" s="14">
        <v>0.51</v>
      </c>
      <c r="F39" s="14">
        <v>0.43</v>
      </c>
      <c r="G39" s="14">
        <v>0.49</v>
      </c>
      <c r="H39" s="14">
        <v>0.55000000000000004</v>
      </c>
      <c r="I39" s="14">
        <v>0.56000000000000005</v>
      </c>
      <c r="J39" s="14">
        <v>0.57000000000000006</v>
      </c>
      <c r="K39" s="14">
        <v>0.56000000000000005</v>
      </c>
      <c r="L39" s="14">
        <v>0.70000000000000007</v>
      </c>
      <c r="M39" s="14">
        <v>0.71</v>
      </c>
      <c r="N39" s="14">
        <v>0.82000000000000006</v>
      </c>
      <c r="O39" s="14">
        <v>0.72</v>
      </c>
      <c r="P39" s="14">
        <v>0.68</v>
      </c>
      <c r="Q39" s="14">
        <v>0.83000000000000007</v>
      </c>
      <c r="R39" s="14">
        <v>0.71</v>
      </c>
      <c r="S39" s="14">
        <v>0.54</v>
      </c>
      <c r="T39" s="14">
        <v>0.46</v>
      </c>
      <c r="U39" s="14">
        <v>0.70000000000000007</v>
      </c>
      <c r="V39" s="14">
        <v>0.57999999999999996</v>
      </c>
      <c r="W39" s="14">
        <v>0.76</v>
      </c>
      <c r="X39" s="14">
        <v>0.64</v>
      </c>
      <c r="Y39" s="14">
        <v>0.57999999999999996</v>
      </c>
      <c r="Z39" s="14">
        <v>0.74</v>
      </c>
      <c r="AA39" s="14">
        <v>0.68</v>
      </c>
      <c r="AB39" s="14">
        <v>0.64</v>
      </c>
      <c r="AC39" s="14">
        <v>0.56000000000000005</v>
      </c>
      <c r="AD39" s="14">
        <v>0.6</v>
      </c>
      <c r="AE39" s="14">
        <v>0.63</v>
      </c>
      <c r="AF39" s="14">
        <v>0.61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480</v>
      </c>
      <c r="C3" s="18"/>
      <c r="D3" s="18"/>
      <c r="E3" s="18"/>
      <c r="F3" s="18"/>
      <c r="H3" s="18" t="s">
        <v>481</v>
      </c>
      <c r="I3" s="18"/>
      <c r="J3" s="18"/>
      <c r="K3" s="18"/>
      <c r="L3" s="18"/>
    </row>
    <row r="4" spans="1:32" ht="27" customHeight="1" x14ac:dyDescent="0.25">
      <c r="B4" s="18" t="s">
        <v>482</v>
      </c>
      <c r="C4" s="18"/>
      <c r="D4" s="18"/>
      <c r="E4" s="18"/>
      <c r="F4" s="18"/>
      <c r="H4" s="18" t="s">
        <v>483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402</v>
      </c>
      <c r="D12" s="12">
        <v>42</v>
      </c>
      <c r="E12" s="12">
        <v>38</v>
      </c>
      <c r="F12" s="12">
        <v>40</v>
      </c>
      <c r="G12" s="12">
        <v>29</v>
      </c>
      <c r="H12" s="12">
        <v>19</v>
      </c>
      <c r="I12" s="12">
        <v>26</v>
      </c>
      <c r="J12" s="12">
        <v>7</v>
      </c>
      <c r="K12" s="12">
        <v>46</v>
      </c>
      <c r="L12" s="12">
        <v>43</v>
      </c>
      <c r="M12" s="12">
        <v>6</v>
      </c>
      <c r="N12" s="12">
        <v>10</v>
      </c>
      <c r="O12" s="12">
        <v>20</v>
      </c>
      <c r="P12" s="12">
        <v>15</v>
      </c>
      <c r="Q12" s="12">
        <v>8</v>
      </c>
      <c r="R12" s="12">
        <v>3</v>
      </c>
      <c r="S12" s="12">
        <v>38</v>
      </c>
      <c r="T12" s="12">
        <v>49</v>
      </c>
      <c r="U12" s="12">
        <v>6</v>
      </c>
      <c r="V12" s="12">
        <v>6</v>
      </c>
      <c r="W12" s="12">
        <v>13</v>
      </c>
      <c r="X12" s="12">
        <v>6</v>
      </c>
      <c r="Y12" s="12">
        <v>6</v>
      </c>
      <c r="Z12" s="12">
        <v>1</v>
      </c>
      <c r="AA12" s="12">
        <v>8</v>
      </c>
      <c r="AB12" s="12">
        <v>32</v>
      </c>
      <c r="AC12" s="12">
        <v>39</v>
      </c>
      <c r="AD12" s="12">
        <v>18</v>
      </c>
      <c r="AE12" s="12">
        <v>13</v>
      </c>
      <c r="AF12" s="12">
        <v>8</v>
      </c>
    </row>
    <row r="13" spans="1:32" x14ac:dyDescent="0.25">
      <c r="A13" s="19"/>
      <c r="B13" s="13" t="s">
        <v>415</v>
      </c>
      <c r="C13" s="14">
        <v>0.02</v>
      </c>
      <c r="D13" s="14">
        <v>0.04</v>
      </c>
      <c r="E13" s="14">
        <v>0.04</v>
      </c>
      <c r="F13" s="14">
        <v>0.04</v>
      </c>
      <c r="G13" s="14">
        <v>0.03</v>
      </c>
      <c r="H13" s="14">
        <v>0.02</v>
      </c>
      <c r="I13" s="14">
        <v>0.02</v>
      </c>
      <c r="J13" s="14">
        <v>0.02</v>
      </c>
      <c r="K13" s="14">
        <v>0.05</v>
      </c>
      <c r="L13" s="14">
        <v>0.04</v>
      </c>
      <c r="M13" s="14">
        <v>0.01</v>
      </c>
      <c r="N13" s="14">
        <v>0.01</v>
      </c>
      <c r="O13" s="14">
        <v>0.02</v>
      </c>
      <c r="P13" s="14">
        <v>0.01</v>
      </c>
      <c r="Q13" s="14">
        <v>0.01</v>
      </c>
      <c r="R13" s="14">
        <v>0.01</v>
      </c>
      <c r="S13" s="14">
        <v>0.04</v>
      </c>
      <c r="T13" s="14">
        <v>0.05</v>
      </c>
      <c r="U13" s="14">
        <v>0.01</v>
      </c>
      <c r="V13" s="14">
        <v>0.01</v>
      </c>
      <c r="W13" s="14">
        <v>0.03</v>
      </c>
      <c r="X13" s="14">
        <v>0.01</v>
      </c>
      <c r="Y13" s="15" t="s">
        <v>213</v>
      </c>
      <c r="Z13" s="15" t="s">
        <v>213</v>
      </c>
      <c r="AA13" s="14">
        <v>0.01</v>
      </c>
      <c r="AB13" s="14">
        <v>0.03</v>
      </c>
      <c r="AC13" s="14">
        <v>0.04</v>
      </c>
      <c r="AD13" s="14">
        <v>0.02</v>
      </c>
      <c r="AE13" s="14">
        <v>0.01</v>
      </c>
      <c r="AF13" s="14">
        <v>0.01</v>
      </c>
    </row>
    <row r="14" spans="1:32" x14ac:dyDescent="0.25">
      <c r="A14" s="19"/>
      <c r="B14" s="11" t="s">
        <v>416</v>
      </c>
      <c r="C14" s="12">
        <v>510</v>
      </c>
      <c r="D14" s="12">
        <v>19</v>
      </c>
      <c r="E14" s="12">
        <v>16</v>
      </c>
      <c r="F14" s="12">
        <v>21</v>
      </c>
      <c r="G14" s="12">
        <v>39</v>
      </c>
      <c r="H14" s="12">
        <v>78</v>
      </c>
      <c r="I14" s="12">
        <v>86</v>
      </c>
      <c r="J14" s="12">
        <v>7</v>
      </c>
      <c r="K14" s="12">
        <v>33</v>
      </c>
      <c r="L14" s="12">
        <v>7</v>
      </c>
      <c r="M14" s="12">
        <v>13</v>
      </c>
      <c r="N14" s="12">
        <v>9</v>
      </c>
      <c r="O14" s="12">
        <v>16</v>
      </c>
      <c r="P14" s="12">
        <v>14</v>
      </c>
      <c r="Q14" s="12">
        <v>4</v>
      </c>
      <c r="R14" s="12">
        <v>2</v>
      </c>
      <c r="S14" s="12">
        <v>19</v>
      </c>
      <c r="T14" s="12">
        <v>42</v>
      </c>
      <c r="U14" s="12">
        <v>4</v>
      </c>
      <c r="V14" s="12">
        <v>14</v>
      </c>
      <c r="W14" s="12">
        <v>5</v>
      </c>
      <c r="X14" s="12">
        <v>5</v>
      </c>
      <c r="Y14" s="12">
        <v>17</v>
      </c>
      <c r="Z14" s="12">
        <v>0</v>
      </c>
      <c r="AA14" s="12">
        <v>1</v>
      </c>
      <c r="AB14" s="12">
        <v>15</v>
      </c>
      <c r="AC14" s="12">
        <v>26</v>
      </c>
      <c r="AD14" s="12">
        <v>14</v>
      </c>
      <c r="AE14" s="12">
        <v>15</v>
      </c>
      <c r="AF14" s="12">
        <v>10</v>
      </c>
    </row>
    <row r="15" spans="1:32" x14ac:dyDescent="0.25">
      <c r="A15" s="19"/>
      <c r="B15" s="13" t="s">
        <v>416</v>
      </c>
      <c r="C15" s="14">
        <v>0.02</v>
      </c>
      <c r="D15" s="14">
        <v>0.02</v>
      </c>
      <c r="E15" s="14">
        <v>0.02</v>
      </c>
      <c r="F15" s="14">
        <v>0.02</v>
      </c>
      <c r="G15" s="14">
        <v>0.04</v>
      </c>
      <c r="H15" s="14">
        <v>0.06</v>
      </c>
      <c r="I15" s="14">
        <v>0.05</v>
      </c>
      <c r="J15" s="14">
        <v>0.03</v>
      </c>
      <c r="K15" s="14">
        <v>0.03</v>
      </c>
      <c r="L15" s="14">
        <v>0.01</v>
      </c>
      <c r="M15" s="14">
        <v>0.01</v>
      </c>
      <c r="N15" s="14">
        <v>0.01</v>
      </c>
      <c r="O15" s="14">
        <v>0.02</v>
      </c>
      <c r="P15" s="14">
        <v>0.01</v>
      </c>
      <c r="Q15" s="15" t="s">
        <v>213</v>
      </c>
      <c r="R15" s="15" t="s">
        <v>213</v>
      </c>
      <c r="S15" s="14">
        <v>0.02</v>
      </c>
      <c r="T15" s="14">
        <v>0.04</v>
      </c>
      <c r="U15" s="14">
        <v>0.01</v>
      </c>
      <c r="V15" s="14">
        <v>0.01</v>
      </c>
      <c r="W15" s="14">
        <v>0.01</v>
      </c>
      <c r="X15" s="15" t="s">
        <v>213</v>
      </c>
      <c r="Y15" s="14">
        <v>0.02</v>
      </c>
      <c r="Z15" s="15" t="s">
        <v>213</v>
      </c>
      <c r="AA15" s="15" t="s">
        <v>213</v>
      </c>
      <c r="AB15" s="14">
        <v>0.01</v>
      </c>
      <c r="AC15" s="14">
        <v>0.03</v>
      </c>
      <c r="AD15" s="14">
        <v>0.01</v>
      </c>
      <c r="AE15" s="14">
        <v>0.01</v>
      </c>
      <c r="AF15" s="14">
        <v>0.01</v>
      </c>
    </row>
    <row r="16" spans="1:32" x14ac:dyDescent="0.25">
      <c r="A16" s="19"/>
      <c r="B16" s="11" t="s">
        <v>417</v>
      </c>
      <c r="C16" s="12">
        <v>683</v>
      </c>
      <c r="D16" s="12">
        <v>30</v>
      </c>
      <c r="E16" s="12">
        <v>78</v>
      </c>
      <c r="F16" s="12">
        <v>48</v>
      </c>
      <c r="G16" s="12">
        <v>76</v>
      </c>
      <c r="H16" s="12">
        <v>33</v>
      </c>
      <c r="I16" s="12">
        <v>42</v>
      </c>
      <c r="J16" s="12">
        <v>10</v>
      </c>
      <c r="K16" s="12">
        <v>83</v>
      </c>
      <c r="L16" s="12">
        <v>12</v>
      </c>
      <c r="M16" s="12">
        <v>22</v>
      </c>
      <c r="N16" s="12">
        <v>14</v>
      </c>
      <c r="O16" s="12">
        <v>23</v>
      </c>
      <c r="P16" s="12">
        <v>29</v>
      </c>
      <c r="Q16" s="12">
        <v>21</v>
      </c>
      <c r="R16" s="12">
        <v>8</v>
      </c>
      <c r="S16" s="12">
        <v>43</v>
      </c>
      <c r="T16" s="12">
        <v>48</v>
      </c>
      <c r="U16" s="12">
        <v>9</v>
      </c>
      <c r="V16" s="12">
        <v>47</v>
      </c>
      <c r="W16" s="12">
        <v>21</v>
      </c>
      <c r="X16" s="12">
        <v>42</v>
      </c>
      <c r="Y16" s="12">
        <v>46</v>
      </c>
      <c r="Z16" s="12">
        <v>13</v>
      </c>
      <c r="AA16" s="12">
        <v>3</v>
      </c>
      <c r="AB16" s="12">
        <v>18</v>
      </c>
      <c r="AC16" s="12">
        <v>77</v>
      </c>
      <c r="AD16" s="12">
        <v>33</v>
      </c>
      <c r="AE16" s="12">
        <v>35</v>
      </c>
      <c r="AF16" s="12">
        <v>34</v>
      </c>
    </row>
    <row r="17" spans="1:32" x14ac:dyDescent="0.25">
      <c r="A17" s="19"/>
      <c r="B17" s="13" t="s">
        <v>417</v>
      </c>
      <c r="C17" s="14">
        <v>0.03</v>
      </c>
      <c r="D17" s="14">
        <v>0.03</v>
      </c>
      <c r="E17" s="14">
        <v>7.0000000000000007E-2</v>
      </c>
      <c r="F17" s="14">
        <v>0.05</v>
      </c>
      <c r="G17" s="14">
        <v>7.0000000000000007E-2</v>
      </c>
      <c r="H17" s="14">
        <v>0.03</v>
      </c>
      <c r="I17" s="14">
        <v>0.03</v>
      </c>
      <c r="J17" s="14">
        <v>0.03</v>
      </c>
      <c r="K17" s="14">
        <v>0.08</v>
      </c>
      <c r="L17" s="14">
        <v>0.01</v>
      </c>
      <c r="M17" s="14">
        <v>0.02</v>
      </c>
      <c r="N17" s="14">
        <v>0.01</v>
      </c>
      <c r="O17" s="14">
        <v>0.02</v>
      </c>
      <c r="P17" s="14">
        <v>0.03</v>
      </c>
      <c r="Q17" s="14">
        <v>0.02</v>
      </c>
      <c r="R17" s="14">
        <v>0.02</v>
      </c>
      <c r="S17" s="14">
        <v>0.04</v>
      </c>
      <c r="T17" s="14">
        <v>0.05</v>
      </c>
      <c r="U17" s="14">
        <v>0.02</v>
      </c>
      <c r="V17" s="14">
        <v>0.05</v>
      </c>
      <c r="W17" s="14">
        <v>0.04</v>
      </c>
      <c r="X17" s="14">
        <v>0.04</v>
      </c>
      <c r="Y17" s="14">
        <v>0.05</v>
      </c>
      <c r="Z17" s="14">
        <v>0.01</v>
      </c>
      <c r="AA17" s="15" t="s">
        <v>213</v>
      </c>
      <c r="AB17" s="14">
        <v>0.02</v>
      </c>
      <c r="AC17" s="14">
        <v>0.08</v>
      </c>
      <c r="AD17" s="14">
        <v>0.03</v>
      </c>
      <c r="AE17" s="14">
        <v>0.04</v>
      </c>
      <c r="AF17" s="14">
        <v>0.03</v>
      </c>
    </row>
    <row r="18" spans="1:32" x14ac:dyDescent="0.25">
      <c r="A18" s="19"/>
      <c r="B18" s="11" t="s">
        <v>418</v>
      </c>
      <c r="C18" s="12">
        <v>1199</v>
      </c>
      <c r="D18" s="12">
        <v>55</v>
      </c>
      <c r="E18" s="12">
        <v>80</v>
      </c>
      <c r="F18" s="12">
        <v>91</v>
      </c>
      <c r="G18" s="12">
        <v>92</v>
      </c>
      <c r="H18" s="12">
        <v>78</v>
      </c>
      <c r="I18" s="12">
        <v>93</v>
      </c>
      <c r="J18" s="12">
        <v>16</v>
      </c>
      <c r="K18" s="12">
        <v>80</v>
      </c>
      <c r="L18" s="12">
        <v>46</v>
      </c>
      <c r="M18" s="12">
        <v>44</v>
      </c>
      <c r="N18" s="12">
        <v>18</v>
      </c>
      <c r="O18" s="12">
        <v>42</v>
      </c>
      <c r="P18" s="12">
        <v>50</v>
      </c>
      <c r="Q18" s="12">
        <v>37</v>
      </c>
      <c r="R18" s="12">
        <v>16</v>
      </c>
      <c r="S18" s="12">
        <v>63</v>
      </c>
      <c r="T18" s="12">
        <v>80</v>
      </c>
      <c r="U18" s="12">
        <v>29</v>
      </c>
      <c r="V18" s="12">
        <v>87</v>
      </c>
      <c r="W18" s="12">
        <v>19</v>
      </c>
      <c r="X18" s="12">
        <v>45</v>
      </c>
      <c r="Y18" s="12">
        <v>56</v>
      </c>
      <c r="Z18" s="12">
        <v>27</v>
      </c>
      <c r="AA18" s="12">
        <v>27</v>
      </c>
      <c r="AB18" s="12">
        <v>39</v>
      </c>
      <c r="AC18" s="12">
        <v>70</v>
      </c>
      <c r="AD18" s="12">
        <v>38</v>
      </c>
      <c r="AE18" s="12">
        <v>58</v>
      </c>
      <c r="AF18" s="12">
        <v>65</v>
      </c>
    </row>
    <row r="19" spans="1:32" x14ac:dyDescent="0.25">
      <c r="A19" s="19"/>
      <c r="B19" s="13" t="s">
        <v>418</v>
      </c>
      <c r="C19" s="14">
        <v>0.05</v>
      </c>
      <c r="D19" s="14">
        <v>0.05</v>
      </c>
      <c r="E19" s="14">
        <v>0.08</v>
      </c>
      <c r="F19" s="14">
        <v>0.08</v>
      </c>
      <c r="G19" s="14">
        <v>0.09</v>
      </c>
      <c r="H19" s="14">
        <v>0.06</v>
      </c>
      <c r="I19" s="14">
        <v>0.06</v>
      </c>
      <c r="J19" s="14">
        <v>0.05</v>
      </c>
      <c r="K19" s="14">
        <v>0.08</v>
      </c>
      <c r="L19" s="14">
        <v>0.05</v>
      </c>
      <c r="M19" s="14">
        <v>0.04</v>
      </c>
      <c r="N19" s="14">
        <v>0.02</v>
      </c>
      <c r="O19" s="14">
        <v>0.04</v>
      </c>
      <c r="P19" s="14">
        <v>0.05</v>
      </c>
      <c r="Q19" s="14">
        <v>0.04</v>
      </c>
      <c r="R19" s="14">
        <v>0.03</v>
      </c>
      <c r="S19" s="14">
        <v>0.06</v>
      </c>
      <c r="T19" s="14">
        <v>0.08</v>
      </c>
      <c r="U19" s="14">
        <v>0.06</v>
      </c>
      <c r="V19" s="14">
        <v>0.09</v>
      </c>
      <c r="W19" s="14">
        <v>0.04</v>
      </c>
      <c r="X19" s="14">
        <v>0.04</v>
      </c>
      <c r="Y19" s="14">
        <v>0.06</v>
      </c>
      <c r="Z19" s="14">
        <v>0.03</v>
      </c>
      <c r="AA19" s="14">
        <v>0.03</v>
      </c>
      <c r="AB19" s="14">
        <v>0.04</v>
      </c>
      <c r="AC19" s="14">
        <v>7.0000000000000007E-2</v>
      </c>
      <c r="AD19" s="14">
        <v>0.04</v>
      </c>
      <c r="AE19" s="14">
        <v>0.06</v>
      </c>
      <c r="AF19" s="14">
        <v>0.06</v>
      </c>
    </row>
    <row r="20" spans="1:32" x14ac:dyDescent="0.25">
      <c r="A20" s="19"/>
      <c r="B20" s="11" t="s">
        <v>419</v>
      </c>
      <c r="C20" s="12">
        <v>2973</v>
      </c>
      <c r="D20" s="12">
        <v>135</v>
      </c>
      <c r="E20" s="12">
        <v>136</v>
      </c>
      <c r="F20" s="12">
        <v>164</v>
      </c>
      <c r="G20" s="12">
        <v>160</v>
      </c>
      <c r="H20" s="12">
        <v>153</v>
      </c>
      <c r="I20" s="12">
        <v>201</v>
      </c>
      <c r="J20" s="12">
        <v>48</v>
      </c>
      <c r="K20" s="12">
        <v>161</v>
      </c>
      <c r="L20" s="12">
        <v>92</v>
      </c>
      <c r="M20" s="12">
        <v>81</v>
      </c>
      <c r="N20" s="12">
        <v>72</v>
      </c>
      <c r="O20" s="12">
        <v>166</v>
      </c>
      <c r="P20" s="12">
        <v>97</v>
      </c>
      <c r="Q20" s="12">
        <v>63</v>
      </c>
      <c r="R20" s="12">
        <v>48</v>
      </c>
      <c r="S20" s="12">
        <v>166</v>
      </c>
      <c r="T20" s="12">
        <v>175</v>
      </c>
      <c r="U20" s="12">
        <v>52</v>
      </c>
      <c r="V20" s="12">
        <v>145</v>
      </c>
      <c r="W20" s="12">
        <v>35</v>
      </c>
      <c r="X20" s="12">
        <v>91</v>
      </c>
      <c r="Y20" s="12">
        <v>109</v>
      </c>
      <c r="Z20" s="12">
        <v>93</v>
      </c>
      <c r="AA20" s="12">
        <v>143</v>
      </c>
      <c r="AB20" s="12">
        <v>88</v>
      </c>
      <c r="AC20" s="12">
        <v>164</v>
      </c>
      <c r="AD20" s="12">
        <v>114</v>
      </c>
      <c r="AE20" s="12">
        <v>106</v>
      </c>
      <c r="AF20" s="12">
        <v>137</v>
      </c>
    </row>
    <row r="21" spans="1:32" x14ac:dyDescent="0.25">
      <c r="A21" s="19"/>
      <c r="B21" s="13" t="s">
        <v>419</v>
      </c>
      <c r="C21" s="14">
        <v>0.11</v>
      </c>
      <c r="D21" s="14">
        <v>0.13</v>
      </c>
      <c r="E21" s="14">
        <v>0.13</v>
      </c>
      <c r="F21" s="14">
        <v>0.15</v>
      </c>
      <c r="G21" s="14">
        <v>0.16</v>
      </c>
      <c r="H21" s="14">
        <v>0.12</v>
      </c>
      <c r="I21" s="14">
        <v>0.13</v>
      </c>
      <c r="J21" s="14">
        <v>0.16</v>
      </c>
      <c r="K21" s="14">
        <v>0.16</v>
      </c>
      <c r="L21" s="14">
        <v>0.09</v>
      </c>
      <c r="M21" s="14">
        <v>0.08</v>
      </c>
      <c r="N21" s="14">
        <v>7.0000000000000007E-2</v>
      </c>
      <c r="O21" s="14">
        <v>0.17</v>
      </c>
      <c r="P21" s="14">
        <v>0.1</v>
      </c>
      <c r="Q21" s="14">
        <v>0.06</v>
      </c>
      <c r="R21" s="14">
        <v>0.1</v>
      </c>
      <c r="S21" s="14">
        <v>0.17</v>
      </c>
      <c r="T21" s="14">
        <v>0.17</v>
      </c>
      <c r="U21" s="14">
        <v>0.1</v>
      </c>
      <c r="V21" s="14">
        <v>0.14000000000000001</v>
      </c>
      <c r="W21" s="14">
        <v>7.0000000000000007E-2</v>
      </c>
      <c r="X21" s="14">
        <v>0.09</v>
      </c>
      <c r="Y21" s="14">
        <v>0.11</v>
      </c>
      <c r="Z21" s="14">
        <v>0.09</v>
      </c>
      <c r="AA21" s="14">
        <v>0.14000000000000001</v>
      </c>
      <c r="AB21" s="14">
        <v>0.08</v>
      </c>
      <c r="AC21" s="14">
        <v>0.16</v>
      </c>
      <c r="AD21" s="14">
        <v>0.11</v>
      </c>
      <c r="AE21" s="14">
        <v>0.11</v>
      </c>
      <c r="AF21" s="14">
        <v>0.13</v>
      </c>
    </row>
    <row r="22" spans="1:32" x14ac:dyDescent="0.25">
      <c r="A22" s="19"/>
      <c r="B22" s="11" t="s">
        <v>420</v>
      </c>
      <c r="C22" s="12">
        <v>3264</v>
      </c>
      <c r="D22" s="12">
        <v>167</v>
      </c>
      <c r="E22" s="12">
        <v>134</v>
      </c>
      <c r="F22" s="12">
        <v>176</v>
      </c>
      <c r="G22" s="12">
        <v>157</v>
      </c>
      <c r="H22" s="12">
        <v>155</v>
      </c>
      <c r="I22" s="12">
        <v>195</v>
      </c>
      <c r="J22" s="12">
        <v>40</v>
      </c>
      <c r="K22" s="12">
        <v>115</v>
      </c>
      <c r="L22" s="12">
        <v>78</v>
      </c>
      <c r="M22" s="12">
        <v>107</v>
      </c>
      <c r="N22" s="12">
        <v>126</v>
      </c>
      <c r="O22" s="12">
        <v>112</v>
      </c>
      <c r="P22" s="12">
        <v>134</v>
      </c>
      <c r="Q22" s="12">
        <v>89</v>
      </c>
      <c r="R22" s="12">
        <v>55</v>
      </c>
      <c r="S22" s="12">
        <v>102</v>
      </c>
      <c r="T22" s="12">
        <v>137</v>
      </c>
      <c r="U22" s="12">
        <v>69</v>
      </c>
      <c r="V22" s="12">
        <v>138</v>
      </c>
      <c r="W22" s="12">
        <v>69</v>
      </c>
      <c r="X22" s="12">
        <v>138</v>
      </c>
      <c r="Y22" s="12">
        <v>145</v>
      </c>
      <c r="Z22" s="12">
        <v>148</v>
      </c>
      <c r="AA22" s="12">
        <v>141</v>
      </c>
      <c r="AB22" s="12">
        <v>146</v>
      </c>
      <c r="AC22" s="12">
        <v>111</v>
      </c>
      <c r="AD22" s="12">
        <v>108</v>
      </c>
      <c r="AE22" s="12">
        <v>130</v>
      </c>
      <c r="AF22" s="12">
        <v>141</v>
      </c>
    </row>
    <row r="23" spans="1:32" x14ac:dyDescent="0.25">
      <c r="A23" s="19"/>
      <c r="B23" s="13" t="s">
        <v>420</v>
      </c>
      <c r="C23" s="14">
        <v>0.12</v>
      </c>
      <c r="D23" s="14">
        <v>0.16</v>
      </c>
      <c r="E23" s="14">
        <v>0.13</v>
      </c>
      <c r="F23" s="14">
        <v>0.17</v>
      </c>
      <c r="G23" s="14">
        <v>0.15</v>
      </c>
      <c r="H23" s="14">
        <v>0.13</v>
      </c>
      <c r="I23" s="14">
        <v>0.13</v>
      </c>
      <c r="J23" s="14">
        <v>0.14000000000000001</v>
      </c>
      <c r="K23" s="14">
        <v>0.11</v>
      </c>
      <c r="L23" s="14">
        <v>0.08</v>
      </c>
      <c r="M23" s="14">
        <v>0.11</v>
      </c>
      <c r="N23" s="14">
        <v>0.13</v>
      </c>
      <c r="O23" s="14">
        <v>0.11</v>
      </c>
      <c r="P23" s="14">
        <v>0.13</v>
      </c>
      <c r="Q23" s="14">
        <v>0.09</v>
      </c>
      <c r="R23" s="14">
        <v>0.11</v>
      </c>
      <c r="S23" s="14">
        <v>0.1</v>
      </c>
      <c r="T23" s="14">
        <v>0.13</v>
      </c>
      <c r="U23" s="14">
        <v>0.13</v>
      </c>
      <c r="V23" s="14">
        <v>0.13</v>
      </c>
      <c r="W23" s="14">
        <v>0.14000000000000001</v>
      </c>
      <c r="X23" s="14">
        <v>0.14000000000000001</v>
      </c>
      <c r="Y23" s="14">
        <v>0.14000000000000001</v>
      </c>
      <c r="Z23" s="14">
        <v>0.15</v>
      </c>
      <c r="AA23" s="14">
        <v>0.14000000000000001</v>
      </c>
      <c r="AB23" s="14">
        <v>0.14000000000000001</v>
      </c>
      <c r="AC23" s="14">
        <v>0.11</v>
      </c>
      <c r="AD23" s="14">
        <v>0.11</v>
      </c>
      <c r="AE23" s="14">
        <v>0.13</v>
      </c>
      <c r="AF23" s="14">
        <v>0.14000000000000001</v>
      </c>
    </row>
    <row r="24" spans="1:32" x14ac:dyDescent="0.25">
      <c r="A24" s="19"/>
      <c r="B24" s="11" t="s">
        <v>421</v>
      </c>
      <c r="C24" s="12">
        <v>4819</v>
      </c>
      <c r="D24" s="12">
        <v>200</v>
      </c>
      <c r="E24" s="12">
        <v>138</v>
      </c>
      <c r="F24" s="12">
        <v>188</v>
      </c>
      <c r="G24" s="12">
        <v>184</v>
      </c>
      <c r="H24" s="12">
        <v>209</v>
      </c>
      <c r="I24" s="12">
        <v>264</v>
      </c>
      <c r="J24" s="12">
        <v>55</v>
      </c>
      <c r="K24" s="12">
        <v>144</v>
      </c>
      <c r="L24" s="12">
        <v>193</v>
      </c>
      <c r="M24" s="12">
        <v>192</v>
      </c>
      <c r="N24" s="12">
        <v>162</v>
      </c>
      <c r="O24" s="12">
        <v>208</v>
      </c>
      <c r="P24" s="12">
        <v>172</v>
      </c>
      <c r="Q24" s="12">
        <v>167</v>
      </c>
      <c r="R24" s="12">
        <v>118</v>
      </c>
      <c r="S24" s="12">
        <v>138</v>
      </c>
      <c r="T24" s="12">
        <v>168</v>
      </c>
      <c r="U24" s="12">
        <v>119</v>
      </c>
      <c r="V24" s="12">
        <v>202</v>
      </c>
      <c r="W24" s="12">
        <v>107</v>
      </c>
      <c r="X24" s="12">
        <v>234</v>
      </c>
      <c r="Y24" s="12">
        <v>171</v>
      </c>
      <c r="Z24" s="12">
        <v>196</v>
      </c>
      <c r="AA24" s="12">
        <v>190</v>
      </c>
      <c r="AB24" s="12">
        <v>189</v>
      </c>
      <c r="AC24" s="12">
        <v>134</v>
      </c>
      <c r="AD24" s="12">
        <v>219</v>
      </c>
      <c r="AE24" s="12">
        <v>203</v>
      </c>
      <c r="AF24" s="12">
        <v>204</v>
      </c>
    </row>
    <row r="25" spans="1:32" x14ac:dyDescent="0.25">
      <c r="A25" s="19"/>
      <c r="B25" s="13" t="s">
        <v>421</v>
      </c>
      <c r="C25" s="14">
        <v>0.18</v>
      </c>
      <c r="D25" s="14">
        <v>0.2</v>
      </c>
      <c r="E25" s="14">
        <v>0.13</v>
      </c>
      <c r="F25" s="14">
        <v>0.18</v>
      </c>
      <c r="G25" s="14">
        <v>0.18</v>
      </c>
      <c r="H25" s="14">
        <v>0.17</v>
      </c>
      <c r="I25" s="14">
        <v>0.17</v>
      </c>
      <c r="J25" s="14">
        <v>0.19</v>
      </c>
      <c r="K25" s="14">
        <v>0.14000000000000001</v>
      </c>
      <c r="L25" s="14">
        <v>0.19</v>
      </c>
      <c r="M25" s="14">
        <v>0.19</v>
      </c>
      <c r="N25" s="14">
        <v>0.16</v>
      </c>
      <c r="O25" s="14">
        <v>0.21</v>
      </c>
      <c r="P25" s="14">
        <v>0.17</v>
      </c>
      <c r="Q25" s="14">
        <v>0.16</v>
      </c>
      <c r="R25" s="14">
        <v>0.23</v>
      </c>
      <c r="S25" s="14">
        <v>0.14000000000000001</v>
      </c>
      <c r="T25" s="14">
        <v>0.16</v>
      </c>
      <c r="U25" s="14">
        <v>0.23</v>
      </c>
      <c r="V25" s="14">
        <v>0.2</v>
      </c>
      <c r="W25" s="14">
        <v>0.21</v>
      </c>
      <c r="X25" s="14">
        <v>0.23</v>
      </c>
      <c r="Y25" s="14">
        <v>0.17</v>
      </c>
      <c r="Z25" s="14">
        <v>0.19</v>
      </c>
      <c r="AA25" s="14">
        <v>0.18</v>
      </c>
      <c r="AB25" s="14">
        <v>0.18</v>
      </c>
      <c r="AC25" s="14">
        <v>0.13</v>
      </c>
      <c r="AD25" s="14">
        <v>0.22</v>
      </c>
      <c r="AE25" s="14">
        <v>0.2</v>
      </c>
      <c r="AF25" s="14">
        <v>0.2</v>
      </c>
    </row>
    <row r="26" spans="1:32" x14ac:dyDescent="0.25">
      <c r="A26" s="19"/>
      <c r="B26" s="11" t="s">
        <v>422</v>
      </c>
      <c r="C26" s="12">
        <v>6064</v>
      </c>
      <c r="D26" s="12">
        <v>215</v>
      </c>
      <c r="E26" s="12">
        <v>165</v>
      </c>
      <c r="F26" s="12">
        <v>152</v>
      </c>
      <c r="G26" s="12">
        <v>139</v>
      </c>
      <c r="H26" s="12">
        <v>262</v>
      </c>
      <c r="I26" s="12">
        <v>319</v>
      </c>
      <c r="J26" s="12">
        <v>57</v>
      </c>
      <c r="K26" s="12">
        <v>139</v>
      </c>
      <c r="L26" s="12">
        <v>237</v>
      </c>
      <c r="M26" s="12">
        <v>294</v>
      </c>
      <c r="N26" s="12">
        <v>264</v>
      </c>
      <c r="O26" s="12">
        <v>210</v>
      </c>
      <c r="P26" s="12">
        <v>192</v>
      </c>
      <c r="Q26" s="12">
        <v>304</v>
      </c>
      <c r="R26" s="12">
        <v>102</v>
      </c>
      <c r="S26" s="12">
        <v>170</v>
      </c>
      <c r="T26" s="12">
        <v>120</v>
      </c>
      <c r="U26" s="12">
        <v>75</v>
      </c>
      <c r="V26" s="12">
        <v>178</v>
      </c>
      <c r="W26" s="12">
        <v>96</v>
      </c>
      <c r="X26" s="12">
        <v>248</v>
      </c>
      <c r="Y26" s="12">
        <v>207</v>
      </c>
      <c r="Z26" s="12">
        <v>267</v>
      </c>
      <c r="AA26" s="12">
        <v>167</v>
      </c>
      <c r="AB26" s="12">
        <v>252</v>
      </c>
      <c r="AC26" s="12">
        <v>119</v>
      </c>
      <c r="AD26" s="12">
        <v>267</v>
      </c>
      <c r="AE26" s="12">
        <v>209</v>
      </c>
      <c r="AF26" s="12">
        <v>204</v>
      </c>
    </row>
    <row r="27" spans="1:32" x14ac:dyDescent="0.25">
      <c r="A27" s="19"/>
      <c r="B27" s="13" t="s">
        <v>422</v>
      </c>
      <c r="C27" s="14">
        <v>0.23</v>
      </c>
      <c r="D27" s="14">
        <v>0.21</v>
      </c>
      <c r="E27" s="14">
        <v>0.16</v>
      </c>
      <c r="F27" s="14">
        <v>0.14000000000000001</v>
      </c>
      <c r="G27" s="14">
        <v>0.14000000000000001</v>
      </c>
      <c r="H27" s="14">
        <v>0.21</v>
      </c>
      <c r="I27" s="14">
        <v>0.21</v>
      </c>
      <c r="J27" s="14">
        <v>0.19</v>
      </c>
      <c r="K27" s="14">
        <v>0.14000000000000001</v>
      </c>
      <c r="L27" s="14">
        <v>0.24</v>
      </c>
      <c r="M27" s="14">
        <v>0.28999999999999998</v>
      </c>
      <c r="N27" s="14">
        <v>0.26</v>
      </c>
      <c r="O27" s="14">
        <v>0.21</v>
      </c>
      <c r="P27" s="14">
        <v>0.19</v>
      </c>
      <c r="Q27" s="14">
        <v>0.28999999999999998</v>
      </c>
      <c r="R27" s="14">
        <v>0.2</v>
      </c>
      <c r="S27" s="14">
        <v>0.17</v>
      </c>
      <c r="T27" s="14">
        <v>0.12</v>
      </c>
      <c r="U27" s="14">
        <v>0.15</v>
      </c>
      <c r="V27" s="14">
        <v>0.17</v>
      </c>
      <c r="W27" s="14">
        <v>0.19</v>
      </c>
      <c r="X27" s="14">
        <v>0.25</v>
      </c>
      <c r="Y27" s="14">
        <v>0.21</v>
      </c>
      <c r="Z27" s="14">
        <v>0.26</v>
      </c>
      <c r="AA27" s="14">
        <v>0.16</v>
      </c>
      <c r="AB27" s="14">
        <v>0.24</v>
      </c>
      <c r="AC27" s="14">
        <v>0.12</v>
      </c>
      <c r="AD27" s="14">
        <v>0.27</v>
      </c>
      <c r="AE27" s="14">
        <v>0.21</v>
      </c>
      <c r="AF27" s="14">
        <v>0.2</v>
      </c>
    </row>
    <row r="28" spans="1:32" x14ac:dyDescent="0.25">
      <c r="A28" s="19"/>
      <c r="B28" s="11" t="s">
        <v>423</v>
      </c>
      <c r="C28" s="12">
        <v>2770</v>
      </c>
      <c r="D28" s="12">
        <v>85</v>
      </c>
      <c r="E28" s="12">
        <v>78</v>
      </c>
      <c r="F28" s="12">
        <v>68</v>
      </c>
      <c r="G28" s="12">
        <v>60</v>
      </c>
      <c r="H28" s="12">
        <v>95</v>
      </c>
      <c r="I28" s="12">
        <v>122</v>
      </c>
      <c r="J28" s="12">
        <v>27</v>
      </c>
      <c r="K28" s="12">
        <v>58</v>
      </c>
      <c r="L28" s="12">
        <v>114</v>
      </c>
      <c r="M28" s="12">
        <v>157</v>
      </c>
      <c r="N28" s="12">
        <v>132</v>
      </c>
      <c r="O28" s="12">
        <v>53</v>
      </c>
      <c r="P28" s="12">
        <v>97</v>
      </c>
      <c r="Q28" s="12">
        <v>172</v>
      </c>
      <c r="R28" s="12">
        <v>37</v>
      </c>
      <c r="S28" s="12">
        <v>91</v>
      </c>
      <c r="T28" s="12">
        <v>69</v>
      </c>
      <c r="U28" s="12">
        <v>44</v>
      </c>
      <c r="V28" s="12">
        <v>93</v>
      </c>
      <c r="W28" s="12">
        <v>64</v>
      </c>
      <c r="X28" s="12">
        <v>116</v>
      </c>
      <c r="Y28" s="12">
        <v>94</v>
      </c>
      <c r="Z28" s="12">
        <v>124</v>
      </c>
      <c r="AA28" s="12">
        <v>130</v>
      </c>
      <c r="AB28" s="12">
        <v>142</v>
      </c>
      <c r="AC28" s="12">
        <v>53</v>
      </c>
      <c r="AD28" s="12">
        <v>110</v>
      </c>
      <c r="AE28" s="12">
        <v>104</v>
      </c>
      <c r="AF28" s="12">
        <v>106</v>
      </c>
    </row>
    <row r="29" spans="1:32" x14ac:dyDescent="0.25">
      <c r="A29" s="19"/>
      <c r="B29" s="13" t="s">
        <v>423</v>
      </c>
      <c r="C29" s="14">
        <v>0.1</v>
      </c>
      <c r="D29" s="14">
        <v>0.08</v>
      </c>
      <c r="E29" s="14">
        <v>7.0000000000000007E-2</v>
      </c>
      <c r="F29" s="14">
        <v>0.06</v>
      </c>
      <c r="G29" s="14">
        <v>0.06</v>
      </c>
      <c r="H29" s="14">
        <v>0.08</v>
      </c>
      <c r="I29" s="14">
        <v>0.08</v>
      </c>
      <c r="J29" s="14">
        <v>0.09</v>
      </c>
      <c r="K29" s="14">
        <v>0.06</v>
      </c>
      <c r="L29" s="14">
        <v>0.11</v>
      </c>
      <c r="M29" s="14">
        <v>0.16</v>
      </c>
      <c r="N29" s="14">
        <v>0.13</v>
      </c>
      <c r="O29" s="14">
        <v>0.05</v>
      </c>
      <c r="P29" s="14">
        <v>0.1</v>
      </c>
      <c r="Q29" s="14">
        <v>0.17</v>
      </c>
      <c r="R29" s="14">
        <v>7.0000000000000007E-2</v>
      </c>
      <c r="S29" s="14">
        <v>0.09</v>
      </c>
      <c r="T29" s="14">
        <v>7.0000000000000007E-2</v>
      </c>
      <c r="U29" s="14">
        <v>0.09</v>
      </c>
      <c r="V29" s="14">
        <v>0.09</v>
      </c>
      <c r="W29" s="14">
        <v>0.13</v>
      </c>
      <c r="X29" s="14">
        <v>0.12</v>
      </c>
      <c r="Y29" s="14">
        <v>0.09</v>
      </c>
      <c r="Z29" s="14">
        <v>0.12</v>
      </c>
      <c r="AA29" s="14">
        <v>0.13</v>
      </c>
      <c r="AB29" s="14">
        <v>0.14000000000000001</v>
      </c>
      <c r="AC29" s="14">
        <v>0.05</v>
      </c>
      <c r="AD29" s="14">
        <v>0.11</v>
      </c>
      <c r="AE29" s="14">
        <v>0.1</v>
      </c>
      <c r="AF29" s="14">
        <v>0.1</v>
      </c>
    </row>
    <row r="30" spans="1:32" ht="23.25" x14ac:dyDescent="0.25">
      <c r="A30" s="19"/>
      <c r="B30" s="11" t="s">
        <v>424</v>
      </c>
      <c r="C30" s="12">
        <v>3276</v>
      </c>
      <c r="D30" s="12">
        <v>69</v>
      </c>
      <c r="E30" s="12">
        <v>172</v>
      </c>
      <c r="F30" s="12">
        <v>110</v>
      </c>
      <c r="G30" s="12">
        <v>64</v>
      </c>
      <c r="H30" s="12">
        <v>138</v>
      </c>
      <c r="I30" s="12">
        <v>166</v>
      </c>
      <c r="J30" s="12">
        <v>28</v>
      </c>
      <c r="K30" s="12">
        <v>130</v>
      </c>
      <c r="L30" s="12">
        <v>172</v>
      </c>
      <c r="M30" s="12">
        <v>79</v>
      </c>
      <c r="N30" s="12">
        <v>183</v>
      </c>
      <c r="O30" s="12">
        <v>111</v>
      </c>
      <c r="P30" s="12">
        <v>187</v>
      </c>
      <c r="Q30" s="12">
        <v>146</v>
      </c>
      <c r="R30" s="12">
        <v>108</v>
      </c>
      <c r="S30" s="12">
        <v>156</v>
      </c>
      <c r="T30" s="12">
        <v>114</v>
      </c>
      <c r="U30" s="12">
        <v>97</v>
      </c>
      <c r="V30" s="12">
        <v>107</v>
      </c>
      <c r="W30" s="12">
        <v>68</v>
      </c>
      <c r="X30" s="12">
        <v>84</v>
      </c>
      <c r="Y30" s="12">
        <v>142</v>
      </c>
      <c r="Z30" s="12">
        <v>133</v>
      </c>
      <c r="AA30" s="12">
        <v>170</v>
      </c>
      <c r="AB30" s="12">
        <v>92</v>
      </c>
      <c r="AC30" s="12">
        <v>205</v>
      </c>
      <c r="AD30" s="12">
        <v>77</v>
      </c>
      <c r="AE30" s="12">
        <v>121</v>
      </c>
      <c r="AF30" s="12">
        <v>118</v>
      </c>
    </row>
    <row r="31" spans="1:32" x14ac:dyDescent="0.25">
      <c r="A31" s="19"/>
      <c r="B31" s="13" t="s">
        <v>425</v>
      </c>
      <c r="C31" s="14">
        <v>0.12</v>
      </c>
      <c r="D31" s="14">
        <v>7.0000000000000007E-2</v>
      </c>
      <c r="E31" s="14">
        <v>0.16</v>
      </c>
      <c r="F31" s="14">
        <v>0.1</v>
      </c>
      <c r="G31" s="14">
        <v>0.06</v>
      </c>
      <c r="H31" s="14">
        <v>0.11</v>
      </c>
      <c r="I31" s="14">
        <v>0.11</v>
      </c>
      <c r="J31" s="14">
        <v>0.09</v>
      </c>
      <c r="K31" s="14">
        <v>0.13</v>
      </c>
      <c r="L31" s="14">
        <v>0.17</v>
      </c>
      <c r="M31" s="14">
        <v>0.08</v>
      </c>
      <c r="N31" s="14">
        <v>0.18</v>
      </c>
      <c r="O31" s="14">
        <v>0.11</v>
      </c>
      <c r="P31" s="14">
        <v>0.19</v>
      </c>
      <c r="Q31" s="14">
        <v>0.14000000000000001</v>
      </c>
      <c r="R31" s="14">
        <v>0.22</v>
      </c>
      <c r="S31" s="14">
        <v>0.15</v>
      </c>
      <c r="T31" s="14">
        <v>0.11</v>
      </c>
      <c r="U31" s="14">
        <v>0.19</v>
      </c>
      <c r="V31" s="14">
        <v>0.1</v>
      </c>
      <c r="W31" s="14">
        <v>0.13</v>
      </c>
      <c r="X31" s="14">
        <v>0.08</v>
      </c>
      <c r="Y31" s="14">
        <v>0.14000000000000001</v>
      </c>
      <c r="Z31" s="14">
        <v>0.13</v>
      </c>
      <c r="AA31" s="14">
        <v>0.16</v>
      </c>
      <c r="AB31" s="14">
        <v>0.09</v>
      </c>
      <c r="AC31" s="14">
        <v>0.2</v>
      </c>
      <c r="AD31" s="14">
        <v>0.08</v>
      </c>
      <c r="AE31" s="14">
        <v>0.12</v>
      </c>
      <c r="AF31" s="14">
        <v>0.11</v>
      </c>
    </row>
    <row r="32" spans="1:32" x14ac:dyDescent="0.25">
      <c r="A32" s="19"/>
      <c r="B32" s="11" t="s">
        <v>224</v>
      </c>
      <c r="C32" s="12">
        <v>492</v>
      </c>
      <c r="D32" s="12">
        <v>4</v>
      </c>
      <c r="E32" s="12">
        <v>11</v>
      </c>
      <c r="F32" s="12">
        <v>6</v>
      </c>
      <c r="G32" s="12">
        <v>16</v>
      </c>
      <c r="H32" s="12">
        <v>10</v>
      </c>
      <c r="I32" s="12">
        <v>13</v>
      </c>
      <c r="J32" s="12">
        <v>2</v>
      </c>
      <c r="K32" s="12">
        <v>18</v>
      </c>
      <c r="L32" s="12">
        <v>12</v>
      </c>
      <c r="M32" s="12">
        <v>13</v>
      </c>
      <c r="N32" s="12">
        <v>22</v>
      </c>
      <c r="O32" s="12">
        <v>43</v>
      </c>
      <c r="P32" s="12">
        <v>15</v>
      </c>
      <c r="Q32" s="12">
        <v>20</v>
      </c>
      <c r="R32" s="12">
        <v>3</v>
      </c>
      <c r="S32" s="12">
        <v>18</v>
      </c>
      <c r="T32" s="12">
        <v>21</v>
      </c>
      <c r="U32" s="12">
        <v>4</v>
      </c>
      <c r="V32" s="12">
        <v>7</v>
      </c>
      <c r="W32" s="12">
        <v>5</v>
      </c>
      <c r="X32" s="12">
        <v>1</v>
      </c>
      <c r="Y32" s="12">
        <v>10</v>
      </c>
      <c r="Z32" s="12">
        <v>14</v>
      </c>
      <c r="AA32" s="12">
        <v>57</v>
      </c>
      <c r="AB32" s="12">
        <v>28</v>
      </c>
      <c r="AC32" s="12">
        <v>7</v>
      </c>
      <c r="AD32" s="12">
        <v>4</v>
      </c>
      <c r="AE32" s="12">
        <v>7</v>
      </c>
      <c r="AF32" s="12">
        <v>5</v>
      </c>
    </row>
    <row r="33" spans="1:32" x14ac:dyDescent="0.25">
      <c r="A33" s="19"/>
      <c r="B33" s="13" t="s">
        <v>237</v>
      </c>
      <c r="C33" s="14">
        <v>0.02</v>
      </c>
      <c r="D33" s="14">
        <v>0.01</v>
      </c>
      <c r="E33" s="14">
        <v>0.01</v>
      </c>
      <c r="F33" s="14">
        <v>0.01</v>
      </c>
      <c r="G33" s="14">
        <v>0.02</v>
      </c>
      <c r="H33" s="14">
        <v>0.01</v>
      </c>
      <c r="I33" s="14">
        <v>0.01</v>
      </c>
      <c r="J33" s="14">
        <v>0.01</v>
      </c>
      <c r="K33" s="14">
        <v>0.02</v>
      </c>
      <c r="L33" s="14">
        <v>0.01</v>
      </c>
      <c r="M33" s="14">
        <v>0.01</v>
      </c>
      <c r="N33" s="14">
        <v>0.02</v>
      </c>
      <c r="O33" s="14">
        <v>0.04</v>
      </c>
      <c r="P33" s="14">
        <v>0.02</v>
      </c>
      <c r="Q33" s="14">
        <v>0.02</v>
      </c>
      <c r="R33" s="14">
        <v>0.01</v>
      </c>
      <c r="S33" s="14">
        <v>0.02</v>
      </c>
      <c r="T33" s="14">
        <v>0.02</v>
      </c>
      <c r="U33" s="14">
        <v>0.01</v>
      </c>
      <c r="V33" s="14">
        <v>0.01</v>
      </c>
      <c r="W33" s="14">
        <v>0.01</v>
      </c>
      <c r="X33" s="15" t="s">
        <v>213</v>
      </c>
      <c r="Y33" s="14">
        <v>0.01</v>
      </c>
      <c r="Z33" s="14">
        <v>0.02</v>
      </c>
      <c r="AA33" s="14">
        <v>0.05</v>
      </c>
      <c r="AB33" s="14">
        <v>0.03</v>
      </c>
      <c r="AC33" s="14">
        <v>0.01</v>
      </c>
      <c r="AD33" s="15" t="s">
        <v>213</v>
      </c>
      <c r="AE33" s="14">
        <v>0.01</v>
      </c>
      <c r="AF33" s="14">
        <v>0.01</v>
      </c>
    </row>
    <row r="34" spans="1:32" ht="23.25" x14ac:dyDescent="0.25">
      <c r="A34" s="19"/>
      <c r="B34" s="11" t="s">
        <v>426</v>
      </c>
      <c r="C34" s="12">
        <v>2794</v>
      </c>
      <c r="D34" s="12">
        <v>146</v>
      </c>
      <c r="E34" s="12">
        <v>212</v>
      </c>
      <c r="F34" s="12">
        <v>200</v>
      </c>
      <c r="G34" s="12">
        <v>236</v>
      </c>
      <c r="H34" s="12">
        <v>208</v>
      </c>
      <c r="I34" s="12">
        <v>247</v>
      </c>
      <c r="J34" s="12">
        <v>40</v>
      </c>
      <c r="K34" s="12">
        <v>242</v>
      </c>
      <c r="L34" s="12">
        <v>108</v>
      </c>
      <c r="M34" s="12">
        <v>85</v>
      </c>
      <c r="N34" s="12">
        <v>51</v>
      </c>
      <c r="O34" s="12">
        <v>101</v>
      </c>
      <c r="P34" s="12">
        <v>108</v>
      </c>
      <c r="Q34" s="12">
        <v>70</v>
      </c>
      <c r="R34" s="12">
        <v>29</v>
      </c>
      <c r="S34" s="12">
        <v>163</v>
      </c>
      <c r="T34" s="12">
        <v>219</v>
      </c>
      <c r="U34" s="12">
        <v>48</v>
      </c>
      <c r="V34" s="12">
        <v>154</v>
      </c>
      <c r="W34" s="12">
        <v>58</v>
      </c>
      <c r="X34" s="12">
        <v>98</v>
      </c>
      <c r="Y34" s="12">
        <v>125</v>
      </c>
      <c r="Z34" s="12">
        <v>41</v>
      </c>
      <c r="AA34" s="12">
        <v>39</v>
      </c>
      <c r="AB34" s="12">
        <v>104</v>
      </c>
      <c r="AC34" s="12">
        <v>212</v>
      </c>
      <c r="AD34" s="12">
        <v>103</v>
      </c>
      <c r="AE34" s="12">
        <v>121</v>
      </c>
      <c r="AF34" s="12">
        <v>117</v>
      </c>
    </row>
    <row r="35" spans="1:32" ht="23.25" x14ac:dyDescent="0.25">
      <c r="A35" s="19"/>
      <c r="B35" s="13" t="s">
        <v>427</v>
      </c>
      <c r="C35" s="14">
        <v>0.12</v>
      </c>
      <c r="D35" s="14">
        <v>0.14000000000000001</v>
      </c>
      <c r="E35" s="14">
        <v>0.21</v>
      </c>
      <c r="F35" s="14">
        <v>0.19</v>
      </c>
      <c r="G35" s="14">
        <v>0.23</v>
      </c>
      <c r="H35" s="14">
        <v>0.17</v>
      </c>
      <c r="I35" s="14">
        <v>0.16</v>
      </c>
      <c r="J35" s="14">
        <v>0.13</v>
      </c>
      <c r="K35" s="14">
        <v>0.24</v>
      </c>
      <c r="L35" s="14">
        <v>0.11</v>
      </c>
      <c r="M35" s="14">
        <v>0.08</v>
      </c>
      <c r="N35" s="14">
        <v>0.05</v>
      </c>
      <c r="O35" s="14">
        <v>0.1</v>
      </c>
      <c r="P35" s="14">
        <v>0.1</v>
      </c>
      <c r="Q35" s="14">
        <v>7.0000000000000007E-2</v>
      </c>
      <c r="R35" s="14">
        <v>0.06</v>
      </c>
      <c r="S35" s="14">
        <v>0.16</v>
      </c>
      <c r="T35" s="14">
        <v>0.22</v>
      </c>
      <c r="U35" s="14">
        <v>0.1</v>
      </c>
      <c r="V35" s="14">
        <v>0.16</v>
      </c>
      <c r="W35" s="14">
        <v>0.12</v>
      </c>
      <c r="X35" s="14">
        <v>0.09</v>
      </c>
      <c r="Y35" s="14">
        <v>0.13</v>
      </c>
      <c r="Z35" s="14">
        <v>0.04</v>
      </c>
      <c r="AA35" s="14">
        <v>0.04</v>
      </c>
      <c r="AB35" s="14">
        <v>0.1</v>
      </c>
      <c r="AC35" s="14">
        <v>0.22</v>
      </c>
      <c r="AD35" s="14">
        <v>0.1</v>
      </c>
      <c r="AE35" s="14">
        <v>0.12</v>
      </c>
      <c r="AF35" s="14">
        <v>0.11</v>
      </c>
    </row>
    <row r="36" spans="1:32" ht="23.25" x14ac:dyDescent="0.25">
      <c r="A36" s="19"/>
      <c r="B36" s="11" t="s">
        <v>428</v>
      </c>
      <c r="C36" s="12">
        <v>6237</v>
      </c>
      <c r="D36" s="12">
        <v>302</v>
      </c>
      <c r="E36" s="12">
        <v>270</v>
      </c>
      <c r="F36" s="12">
        <v>340</v>
      </c>
      <c r="G36" s="12">
        <v>317</v>
      </c>
      <c r="H36" s="12">
        <v>308</v>
      </c>
      <c r="I36" s="12">
        <v>396</v>
      </c>
      <c r="J36" s="12">
        <v>88</v>
      </c>
      <c r="K36" s="12">
        <v>276</v>
      </c>
      <c r="L36" s="12">
        <v>170</v>
      </c>
      <c r="M36" s="12">
        <v>188</v>
      </c>
      <c r="N36" s="12">
        <v>198</v>
      </c>
      <c r="O36" s="12">
        <v>278</v>
      </c>
      <c r="P36" s="12">
        <v>231</v>
      </c>
      <c r="Q36" s="12">
        <v>152</v>
      </c>
      <c r="R36" s="12">
        <v>103</v>
      </c>
      <c r="S36" s="12">
        <v>268</v>
      </c>
      <c r="T36" s="12">
        <v>312</v>
      </c>
      <c r="U36" s="12">
        <v>121</v>
      </c>
      <c r="V36" s="12">
        <v>283</v>
      </c>
      <c r="W36" s="12">
        <v>104</v>
      </c>
      <c r="X36" s="12">
        <v>229</v>
      </c>
      <c r="Y36" s="12">
        <v>254</v>
      </c>
      <c r="Z36" s="12">
        <v>241</v>
      </c>
      <c r="AA36" s="12">
        <v>284</v>
      </c>
      <c r="AB36" s="12">
        <v>234</v>
      </c>
      <c r="AC36" s="12">
        <v>275</v>
      </c>
      <c r="AD36" s="12">
        <v>222</v>
      </c>
      <c r="AE36" s="12">
        <v>236</v>
      </c>
      <c r="AF36" s="12">
        <v>278</v>
      </c>
    </row>
    <row r="37" spans="1:32" ht="23.25" x14ac:dyDescent="0.25">
      <c r="A37" s="19"/>
      <c r="B37" s="13" t="s">
        <v>429</v>
      </c>
      <c r="C37" s="14">
        <v>0.23</v>
      </c>
      <c r="D37" s="14">
        <v>0.28999999999999998</v>
      </c>
      <c r="E37" s="14">
        <v>0.26</v>
      </c>
      <c r="F37" s="14">
        <v>0.32</v>
      </c>
      <c r="G37" s="14">
        <v>0.31</v>
      </c>
      <c r="H37" s="14">
        <v>0.25</v>
      </c>
      <c r="I37" s="14">
        <v>0.26</v>
      </c>
      <c r="J37" s="14">
        <v>0.3</v>
      </c>
      <c r="K37" s="14">
        <v>0.27</v>
      </c>
      <c r="L37" s="14">
        <v>0.17</v>
      </c>
      <c r="M37" s="14">
        <v>0.19</v>
      </c>
      <c r="N37" s="14">
        <v>0.2</v>
      </c>
      <c r="O37" s="14">
        <v>0.28000000000000003</v>
      </c>
      <c r="P37" s="14">
        <v>0.23</v>
      </c>
      <c r="Q37" s="14">
        <v>0.15</v>
      </c>
      <c r="R37" s="14">
        <v>0.21</v>
      </c>
      <c r="S37" s="14">
        <v>0.27</v>
      </c>
      <c r="T37" s="14">
        <v>0.3</v>
      </c>
      <c r="U37" s="14">
        <v>0.23</v>
      </c>
      <c r="V37" s="14">
        <v>0.27</v>
      </c>
      <c r="W37" s="14">
        <v>0.21</v>
      </c>
      <c r="X37" s="14">
        <v>0.23</v>
      </c>
      <c r="Y37" s="14">
        <v>0.25</v>
      </c>
      <c r="Z37" s="14">
        <v>0.24</v>
      </c>
      <c r="AA37" s="14">
        <v>0.28000000000000003</v>
      </c>
      <c r="AB37" s="14">
        <v>0.22</v>
      </c>
      <c r="AC37" s="14">
        <v>0.27</v>
      </c>
      <c r="AD37" s="14">
        <v>0.22</v>
      </c>
      <c r="AE37" s="14">
        <v>0.24</v>
      </c>
      <c r="AF37" s="14">
        <v>0.27</v>
      </c>
    </row>
    <row r="38" spans="1:32" ht="23.25" x14ac:dyDescent="0.25">
      <c r="A38" s="19"/>
      <c r="B38" s="11" t="s">
        <v>430</v>
      </c>
      <c r="C38" s="12">
        <v>16929</v>
      </c>
      <c r="D38" s="12">
        <v>569</v>
      </c>
      <c r="E38" s="12">
        <v>553</v>
      </c>
      <c r="F38" s="12">
        <v>518</v>
      </c>
      <c r="G38" s="12">
        <v>447</v>
      </c>
      <c r="H38" s="12">
        <v>704</v>
      </c>
      <c r="I38" s="12">
        <v>871</v>
      </c>
      <c r="J38" s="12">
        <v>167</v>
      </c>
      <c r="K38" s="12">
        <v>471</v>
      </c>
      <c r="L38" s="12">
        <v>716</v>
      </c>
      <c r="M38" s="12">
        <v>722</v>
      </c>
      <c r="N38" s="12">
        <v>741</v>
      </c>
      <c r="O38" s="12">
        <v>582</v>
      </c>
      <c r="P38" s="12">
        <v>648</v>
      </c>
      <c r="Q38" s="12">
        <v>789</v>
      </c>
      <c r="R38" s="12">
        <v>365</v>
      </c>
      <c r="S38" s="12">
        <v>555</v>
      </c>
      <c r="T38" s="12">
        <v>471</v>
      </c>
      <c r="U38" s="12">
        <v>335</v>
      </c>
      <c r="V38" s="12">
        <v>580</v>
      </c>
      <c r="W38" s="12">
        <v>335</v>
      </c>
      <c r="X38" s="12">
        <v>682</v>
      </c>
      <c r="Y38" s="12">
        <v>614</v>
      </c>
      <c r="Z38" s="12">
        <v>720</v>
      </c>
      <c r="AA38" s="12">
        <v>657</v>
      </c>
      <c r="AB38" s="12">
        <v>675</v>
      </c>
      <c r="AC38" s="12">
        <v>511</v>
      </c>
      <c r="AD38" s="12">
        <v>673</v>
      </c>
      <c r="AE38" s="12">
        <v>637</v>
      </c>
      <c r="AF38" s="12">
        <v>632</v>
      </c>
    </row>
    <row r="39" spans="1:32" ht="23.25" x14ac:dyDescent="0.25">
      <c r="A39" s="19"/>
      <c r="B39" s="13" t="s">
        <v>431</v>
      </c>
      <c r="C39" s="14">
        <v>0.63</v>
      </c>
      <c r="D39" s="14">
        <v>0.56000000000000005</v>
      </c>
      <c r="E39" s="14">
        <v>0.52</v>
      </c>
      <c r="F39" s="14">
        <v>0.48</v>
      </c>
      <c r="G39" s="14">
        <v>0.44</v>
      </c>
      <c r="H39" s="14">
        <v>0.57000000000000006</v>
      </c>
      <c r="I39" s="14">
        <v>0.57000000000000006</v>
      </c>
      <c r="J39" s="14">
        <v>0.56000000000000005</v>
      </c>
      <c r="K39" s="14">
        <v>0.47</v>
      </c>
      <c r="L39" s="14">
        <v>0.71</v>
      </c>
      <c r="M39" s="14">
        <v>0.72</v>
      </c>
      <c r="N39" s="14">
        <v>0.73</v>
      </c>
      <c r="O39" s="14">
        <v>0.57999999999999996</v>
      </c>
      <c r="P39" s="14">
        <v>0.65</v>
      </c>
      <c r="Q39" s="14">
        <v>0.76</v>
      </c>
      <c r="R39" s="14">
        <v>0.72</v>
      </c>
      <c r="S39" s="14">
        <v>0.55000000000000004</v>
      </c>
      <c r="T39" s="14">
        <v>0.46</v>
      </c>
      <c r="U39" s="14">
        <v>0.66</v>
      </c>
      <c r="V39" s="14">
        <v>0.56000000000000005</v>
      </c>
      <c r="W39" s="14">
        <v>0.66</v>
      </c>
      <c r="X39" s="14">
        <v>0.68</v>
      </c>
      <c r="Y39" s="14">
        <v>0.61</v>
      </c>
      <c r="Z39" s="14">
        <v>0.70000000000000007</v>
      </c>
      <c r="AA39" s="14">
        <v>0.63</v>
      </c>
      <c r="AB39" s="14">
        <v>0.65</v>
      </c>
      <c r="AC39" s="14">
        <v>0.5</v>
      </c>
      <c r="AD39" s="14">
        <v>0.68</v>
      </c>
      <c r="AE39" s="14">
        <v>0.63</v>
      </c>
      <c r="AF39" s="14">
        <v>0.61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484</v>
      </c>
      <c r="C3" s="18"/>
      <c r="D3" s="18"/>
      <c r="E3" s="18"/>
      <c r="F3" s="18"/>
      <c r="H3" s="18" t="s">
        <v>485</v>
      </c>
      <c r="I3" s="18"/>
      <c r="J3" s="18"/>
      <c r="K3" s="18"/>
      <c r="L3" s="18"/>
    </row>
    <row r="4" spans="1:32" ht="27" customHeight="1" x14ac:dyDescent="0.25">
      <c r="B4" s="18" t="s">
        <v>486</v>
      </c>
      <c r="C4" s="18"/>
      <c r="D4" s="18"/>
      <c r="E4" s="18"/>
      <c r="F4" s="18"/>
      <c r="H4" s="18" t="s">
        <v>487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557</v>
      </c>
      <c r="D12" s="12">
        <v>18</v>
      </c>
      <c r="E12" s="12">
        <v>55</v>
      </c>
      <c r="F12" s="12">
        <v>62</v>
      </c>
      <c r="G12" s="12">
        <v>18</v>
      </c>
      <c r="H12" s="12">
        <v>39</v>
      </c>
      <c r="I12" s="12">
        <v>42</v>
      </c>
      <c r="J12" s="12">
        <v>4</v>
      </c>
      <c r="K12" s="12">
        <v>63</v>
      </c>
      <c r="L12" s="12">
        <v>26</v>
      </c>
      <c r="M12" s="12">
        <v>7</v>
      </c>
      <c r="N12" s="12">
        <v>18</v>
      </c>
      <c r="O12" s="12">
        <v>23</v>
      </c>
      <c r="P12" s="12">
        <v>27</v>
      </c>
      <c r="Q12" s="12">
        <v>14</v>
      </c>
      <c r="R12" s="12">
        <v>5</v>
      </c>
      <c r="S12" s="12">
        <v>65</v>
      </c>
      <c r="T12" s="12">
        <v>68</v>
      </c>
      <c r="U12" s="12">
        <v>4</v>
      </c>
      <c r="V12" s="12">
        <v>9</v>
      </c>
      <c r="W12" s="12">
        <v>11</v>
      </c>
      <c r="X12" s="12">
        <v>7</v>
      </c>
      <c r="Y12" s="12">
        <v>18</v>
      </c>
      <c r="Z12" s="12">
        <v>3</v>
      </c>
      <c r="AA12" s="12">
        <v>11</v>
      </c>
      <c r="AB12" s="12">
        <v>46</v>
      </c>
      <c r="AC12" s="12">
        <v>41</v>
      </c>
      <c r="AD12" s="12">
        <v>36</v>
      </c>
      <c r="AE12" s="12">
        <v>11</v>
      </c>
      <c r="AF12" s="12">
        <v>13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0.05</v>
      </c>
      <c r="F13" s="14">
        <v>0.06</v>
      </c>
      <c r="G13" s="14">
        <v>0.02</v>
      </c>
      <c r="H13" s="14">
        <v>0.03</v>
      </c>
      <c r="I13" s="14">
        <v>0.03</v>
      </c>
      <c r="J13" s="14">
        <v>0.01</v>
      </c>
      <c r="K13" s="14">
        <v>0.06</v>
      </c>
      <c r="L13" s="14">
        <v>0.03</v>
      </c>
      <c r="M13" s="14">
        <v>0.01</v>
      </c>
      <c r="N13" s="14">
        <v>0.02</v>
      </c>
      <c r="O13" s="14">
        <v>0.02</v>
      </c>
      <c r="P13" s="14">
        <v>0.03</v>
      </c>
      <c r="Q13" s="14">
        <v>0.01</v>
      </c>
      <c r="R13" s="14">
        <v>0.01</v>
      </c>
      <c r="S13" s="14">
        <v>0.06</v>
      </c>
      <c r="T13" s="14">
        <v>7.0000000000000007E-2</v>
      </c>
      <c r="U13" s="14">
        <v>0.01</v>
      </c>
      <c r="V13" s="14">
        <v>0.01</v>
      </c>
      <c r="W13" s="14">
        <v>0.02</v>
      </c>
      <c r="X13" s="14">
        <v>0.01</v>
      </c>
      <c r="Y13" s="14">
        <v>0.02</v>
      </c>
      <c r="Z13" s="15" t="s">
        <v>213</v>
      </c>
      <c r="AA13" s="14">
        <v>0.01</v>
      </c>
      <c r="AB13" s="14">
        <v>0.04</v>
      </c>
      <c r="AC13" s="14">
        <v>0.04</v>
      </c>
      <c r="AD13" s="14">
        <v>0.03</v>
      </c>
      <c r="AE13" s="14">
        <v>0.01</v>
      </c>
      <c r="AF13" s="14">
        <v>0.01</v>
      </c>
    </row>
    <row r="14" spans="1:32" x14ac:dyDescent="0.25">
      <c r="A14" s="19"/>
      <c r="B14" s="11" t="s">
        <v>416</v>
      </c>
      <c r="C14" s="12">
        <v>586</v>
      </c>
      <c r="D14" s="12">
        <v>18</v>
      </c>
      <c r="E14" s="12">
        <v>29</v>
      </c>
      <c r="F14" s="12">
        <v>31</v>
      </c>
      <c r="G14" s="12">
        <v>26</v>
      </c>
      <c r="H14" s="12">
        <v>86</v>
      </c>
      <c r="I14" s="12">
        <v>93</v>
      </c>
      <c r="J14" s="12">
        <v>6</v>
      </c>
      <c r="K14" s="12">
        <v>41</v>
      </c>
      <c r="L14" s="12">
        <v>5</v>
      </c>
      <c r="M14" s="12">
        <v>9</v>
      </c>
      <c r="N14" s="12">
        <v>7</v>
      </c>
      <c r="O14" s="12">
        <v>21</v>
      </c>
      <c r="P14" s="12">
        <v>15</v>
      </c>
      <c r="Q14" s="12">
        <v>5</v>
      </c>
      <c r="R14" s="12">
        <v>5</v>
      </c>
      <c r="S14" s="12">
        <v>27</v>
      </c>
      <c r="T14" s="12">
        <v>33</v>
      </c>
      <c r="U14" s="12">
        <v>5</v>
      </c>
      <c r="V14" s="12">
        <v>13</v>
      </c>
      <c r="W14" s="12">
        <v>11</v>
      </c>
      <c r="X14" s="12">
        <v>3</v>
      </c>
      <c r="Y14" s="12">
        <v>18</v>
      </c>
      <c r="Z14" s="12">
        <v>4</v>
      </c>
      <c r="AA14" s="12">
        <v>40</v>
      </c>
      <c r="AB14" s="12">
        <v>11</v>
      </c>
      <c r="AC14" s="12">
        <v>32</v>
      </c>
      <c r="AD14" s="12">
        <v>17</v>
      </c>
      <c r="AE14" s="12">
        <v>21</v>
      </c>
      <c r="AF14" s="12">
        <v>18</v>
      </c>
    </row>
    <row r="15" spans="1:32" x14ac:dyDescent="0.25">
      <c r="A15" s="19"/>
      <c r="B15" s="13" t="s">
        <v>416</v>
      </c>
      <c r="C15" s="14">
        <v>0.02</v>
      </c>
      <c r="D15" s="14">
        <v>0.02</v>
      </c>
      <c r="E15" s="14">
        <v>0.03</v>
      </c>
      <c r="F15" s="14">
        <v>0.03</v>
      </c>
      <c r="G15" s="14">
        <v>0.02</v>
      </c>
      <c r="H15" s="14">
        <v>7.0000000000000007E-2</v>
      </c>
      <c r="I15" s="14">
        <v>0.06</v>
      </c>
      <c r="J15" s="14">
        <v>0.02</v>
      </c>
      <c r="K15" s="14">
        <v>0.04</v>
      </c>
      <c r="L15" s="14">
        <v>0.01</v>
      </c>
      <c r="M15" s="14">
        <v>0.01</v>
      </c>
      <c r="N15" s="14">
        <v>0.01</v>
      </c>
      <c r="O15" s="14">
        <v>0.02</v>
      </c>
      <c r="P15" s="14">
        <v>0.01</v>
      </c>
      <c r="Q15" s="14">
        <v>0.01</v>
      </c>
      <c r="R15" s="14">
        <v>0.01</v>
      </c>
      <c r="S15" s="14">
        <v>0.03</v>
      </c>
      <c r="T15" s="14">
        <v>0.03</v>
      </c>
      <c r="U15" s="14">
        <v>0.01</v>
      </c>
      <c r="V15" s="14">
        <v>0.01</v>
      </c>
      <c r="W15" s="14">
        <v>0.02</v>
      </c>
      <c r="X15" s="15" t="s">
        <v>213</v>
      </c>
      <c r="Y15" s="14">
        <v>0.02</v>
      </c>
      <c r="Z15" s="15" t="s">
        <v>213</v>
      </c>
      <c r="AA15" s="14">
        <v>0.04</v>
      </c>
      <c r="AB15" s="14">
        <v>0.01</v>
      </c>
      <c r="AC15" s="14">
        <v>0.03</v>
      </c>
      <c r="AD15" s="14">
        <v>0.02</v>
      </c>
      <c r="AE15" s="14">
        <v>0.02</v>
      </c>
      <c r="AF15" s="14">
        <v>0.02</v>
      </c>
    </row>
    <row r="16" spans="1:32" x14ac:dyDescent="0.25">
      <c r="A16" s="19"/>
      <c r="B16" s="11" t="s">
        <v>417</v>
      </c>
      <c r="C16" s="12">
        <v>873</v>
      </c>
      <c r="D16" s="12">
        <v>26</v>
      </c>
      <c r="E16" s="12">
        <v>75</v>
      </c>
      <c r="F16" s="12">
        <v>60</v>
      </c>
      <c r="G16" s="12">
        <v>61</v>
      </c>
      <c r="H16" s="12">
        <v>60</v>
      </c>
      <c r="I16" s="12">
        <v>68</v>
      </c>
      <c r="J16" s="12">
        <v>8</v>
      </c>
      <c r="K16" s="12">
        <v>76</v>
      </c>
      <c r="L16" s="12">
        <v>25</v>
      </c>
      <c r="M16" s="12">
        <v>23</v>
      </c>
      <c r="N16" s="12">
        <v>14</v>
      </c>
      <c r="O16" s="12">
        <v>27</v>
      </c>
      <c r="P16" s="12">
        <v>51</v>
      </c>
      <c r="Q16" s="12">
        <v>25</v>
      </c>
      <c r="R16" s="12">
        <v>3</v>
      </c>
      <c r="S16" s="12">
        <v>41</v>
      </c>
      <c r="T16" s="12">
        <v>42</v>
      </c>
      <c r="U16" s="12">
        <v>6</v>
      </c>
      <c r="V16" s="12">
        <v>48</v>
      </c>
      <c r="W16" s="12">
        <v>8</v>
      </c>
      <c r="X16" s="12">
        <v>28</v>
      </c>
      <c r="Y16" s="12">
        <v>44</v>
      </c>
      <c r="Z16" s="12">
        <v>25</v>
      </c>
      <c r="AA16" s="12">
        <v>94</v>
      </c>
      <c r="AB16" s="12">
        <v>26</v>
      </c>
      <c r="AC16" s="12">
        <v>65</v>
      </c>
      <c r="AD16" s="12">
        <v>48</v>
      </c>
      <c r="AE16" s="12">
        <v>24</v>
      </c>
      <c r="AF16" s="12">
        <v>32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7.0000000000000007E-2</v>
      </c>
      <c r="F17" s="14">
        <v>0.05</v>
      </c>
      <c r="G17" s="14">
        <v>0.06</v>
      </c>
      <c r="H17" s="14">
        <v>0.05</v>
      </c>
      <c r="I17" s="14">
        <v>0.04</v>
      </c>
      <c r="J17" s="14">
        <v>0.03</v>
      </c>
      <c r="K17" s="14">
        <v>0.08</v>
      </c>
      <c r="L17" s="14">
        <v>0.02</v>
      </c>
      <c r="M17" s="14">
        <v>0.02</v>
      </c>
      <c r="N17" s="14">
        <v>0.01</v>
      </c>
      <c r="O17" s="14">
        <v>0.03</v>
      </c>
      <c r="P17" s="14">
        <v>0.05</v>
      </c>
      <c r="Q17" s="14">
        <v>0.03</v>
      </c>
      <c r="R17" s="14">
        <v>0.01</v>
      </c>
      <c r="S17" s="14">
        <v>0.04</v>
      </c>
      <c r="T17" s="14">
        <v>0.04</v>
      </c>
      <c r="U17" s="14">
        <v>0.01</v>
      </c>
      <c r="V17" s="14">
        <v>0.05</v>
      </c>
      <c r="W17" s="14">
        <v>0.01</v>
      </c>
      <c r="X17" s="14">
        <v>0.03</v>
      </c>
      <c r="Y17" s="14">
        <v>0.04</v>
      </c>
      <c r="Z17" s="14">
        <v>0.02</v>
      </c>
      <c r="AA17" s="14">
        <v>0.09</v>
      </c>
      <c r="AB17" s="14">
        <v>0.03</v>
      </c>
      <c r="AC17" s="14">
        <v>7.0000000000000007E-2</v>
      </c>
      <c r="AD17" s="14">
        <v>0.05</v>
      </c>
      <c r="AE17" s="14">
        <v>0.02</v>
      </c>
      <c r="AF17" s="14">
        <v>0.03</v>
      </c>
    </row>
    <row r="18" spans="1:32" x14ac:dyDescent="0.25">
      <c r="A18" s="19"/>
      <c r="B18" s="11" t="s">
        <v>418</v>
      </c>
      <c r="C18" s="12">
        <v>1126</v>
      </c>
      <c r="D18" s="12">
        <v>35</v>
      </c>
      <c r="E18" s="12">
        <v>80</v>
      </c>
      <c r="F18" s="12">
        <v>83</v>
      </c>
      <c r="G18" s="12">
        <v>57</v>
      </c>
      <c r="H18" s="12">
        <v>75</v>
      </c>
      <c r="I18" s="12">
        <v>84</v>
      </c>
      <c r="J18" s="12">
        <v>10</v>
      </c>
      <c r="K18" s="12">
        <v>67</v>
      </c>
      <c r="L18" s="12">
        <v>31</v>
      </c>
      <c r="M18" s="12">
        <v>41</v>
      </c>
      <c r="N18" s="12">
        <v>17</v>
      </c>
      <c r="O18" s="12">
        <v>36</v>
      </c>
      <c r="P18" s="12">
        <v>74</v>
      </c>
      <c r="Q18" s="12">
        <v>34</v>
      </c>
      <c r="R18" s="12">
        <v>12</v>
      </c>
      <c r="S18" s="12">
        <v>80</v>
      </c>
      <c r="T18" s="12">
        <v>54</v>
      </c>
      <c r="U18" s="12">
        <v>5</v>
      </c>
      <c r="V18" s="12">
        <v>80</v>
      </c>
      <c r="W18" s="12">
        <v>14</v>
      </c>
      <c r="X18" s="12">
        <v>41</v>
      </c>
      <c r="Y18" s="12">
        <v>51</v>
      </c>
      <c r="Z18" s="12">
        <v>45</v>
      </c>
      <c r="AA18" s="12">
        <v>38</v>
      </c>
      <c r="AB18" s="12">
        <v>36</v>
      </c>
      <c r="AC18" s="12">
        <v>53</v>
      </c>
      <c r="AD18" s="12">
        <v>40</v>
      </c>
      <c r="AE18" s="12">
        <v>42</v>
      </c>
      <c r="AF18" s="12">
        <v>69</v>
      </c>
    </row>
    <row r="19" spans="1:32" x14ac:dyDescent="0.25">
      <c r="A19" s="19"/>
      <c r="B19" s="13" t="s">
        <v>418</v>
      </c>
      <c r="C19" s="14">
        <v>0.04</v>
      </c>
      <c r="D19" s="14">
        <v>0.03</v>
      </c>
      <c r="E19" s="14">
        <v>0.08</v>
      </c>
      <c r="F19" s="14">
        <v>0.08</v>
      </c>
      <c r="G19" s="14">
        <v>0.06</v>
      </c>
      <c r="H19" s="14">
        <v>0.06</v>
      </c>
      <c r="I19" s="14">
        <v>0.05</v>
      </c>
      <c r="J19" s="14">
        <v>0.03</v>
      </c>
      <c r="K19" s="14">
        <v>7.0000000000000007E-2</v>
      </c>
      <c r="L19" s="14">
        <v>0.03</v>
      </c>
      <c r="M19" s="14">
        <v>0.04</v>
      </c>
      <c r="N19" s="14">
        <v>0.02</v>
      </c>
      <c r="O19" s="14">
        <v>0.04</v>
      </c>
      <c r="P19" s="14">
        <v>7.0000000000000007E-2</v>
      </c>
      <c r="Q19" s="14">
        <v>0.03</v>
      </c>
      <c r="R19" s="14">
        <v>0.02</v>
      </c>
      <c r="S19" s="14">
        <v>0.08</v>
      </c>
      <c r="T19" s="14">
        <v>0.05</v>
      </c>
      <c r="U19" s="14">
        <v>0.01</v>
      </c>
      <c r="V19" s="14">
        <v>0.08</v>
      </c>
      <c r="W19" s="14">
        <v>0.03</v>
      </c>
      <c r="X19" s="14">
        <v>0.04</v>
      </c>
      <c r="Y19" s="14">
        <v>0.05</v>
      </c>
      <c r="Z19" s="14">
        <v>0.04</v>
      </c>
      <c r="AA19" s="14">
        <v>0.04</v>
      </c>
      <c r="AB19" s="14">
        <v>0.03</v>
      </c>
      <c r="AC19" s="14">
        <v>0.05</v>
      </c>
      <c r="AD19" s="14">
        <v>0.04</v>
      </c>
      <c r="AE19" s="14">
        <v>0.04</v>
      </c>
      <c r="AF19" s="14">
        <v>7.0000000000000007E-2</v>
      </c>
    </row>
    <row r="20" spans="1:32" x14ac:dyDescent="0.25">
      <c r="A20" s="19"/>
      <c r="B20" s="11" t="s">
        <v>419</v>
      </c>
      <c r="C20" s="12">
        <v>2387</v>
      </c>
      <c r="D20" s="12">
        <v>90</v>
      </c>
      <c r="E20" s="12">
        <v>119</v>
      </c>
      <c r="F20" s="12">
        <v>172</v>
      </c>
      <c r="G20" s="12">
        <v>107</v>
      </c>
      <c r="H20" s="12">
        <v>130</v>
      </c>
      <c r="I20" s="12">
        <v>166</v>
      </c>
      <c r="J20" s="12">
        <v>36</v>
      </c>
      <c r="K20" s="12">
        <v>126</v>
      </c>
      <c r="L20" s="12">
        <v>58</v>
      </c>
      <c r="M20" s="12">
        <v>92</v>
      </c>
      <c r="N20" s="12">
        <v>71</v>
      </c>
      <c r="O20" s="12">
        <v>93</v>
      </c>
      <c r="P20" s="12">
        <v>117</v>
      </c>
      <c r="Q20" s="12">
        <v>59</v>
      </c>
      <c r="R20" s="12">
        <v>19</v>
      </c>
      <c r="S20" s="12">
        <v>87</v>
      </c>
      <c r="T20" s="12">
        <v>125</v>
      </c>
      <c r="U20" s="12">
        <v>40</v>
      </c>
      <c r="V20" s="12">
        <v>137</v>
      </c>
      <c r="W20" s="12">
        <v>30</v>
      </c>
      <c r="X20" s="12">
        <v>69</v>
      </c>
      <c r="Y20" s="12">
        <v>108</v>
      </c>
      <c r="Z20" s="12">
        <v>98</v>
      </c>
      <c r="AA20" s="12">
        <v>80</v>
      </c>
      <c r="AB20" s="12">
        <v>90</v>
      </c>
      <c r="AC20" s="12">
        <v>103</v>
      </c>
      <c r="AD20" s="12">
        <v>118</v>
      </c>
      <c r="AE20" s="12">
        <v>67</v>
      </c>
      <c r="AF20" s="12">
        <v>97</v>
      </c>
    </row>
    <row r="21" spans="1:32" x14ac:dyDescent="0.25">
      <c r="A21" s="19"/>
      <c r="B21" s="13" t="s">
        <v>419</v>
      </c>
      <c r="C21" s="14">
        <v>0.09</v>
      </c>
      <c r="D21" s="14">
        <v>0.09</v>
      </c>
      <c r="E21" s="14">
        <v>0.11</v>
      </c>
      <c r="F21" s="14">
        <v>0.16</v>
      </c>
      <c r="G21" s="14">
        <v>0.11</v>
      </c>
      <c r="H21" s="14">
        <v>0.11</v>
      </c>
      <c r="I21" s="14">
        <v>0.11</v>
      </c>
      <c r="J21" s="14">
        <v>0.12</v>
      </c>
      <c r="K21" s="14">
        <v>0.12</v>
      </c>
      <c r="L21" s="14">
        <v>0.06</v>
      </c>
      <c r="M21" s="14">
        <v>0.09</v>
      </c>
      <c r="N21" s="14">
        <v>7.0000000000000007E-2</v>
      </c>
      <c r="O21" s="14">
        <v>0.09</v>
      </c>
      <c r="P21" s="14">
        <v>0.12</v>
      </c>
      <c r="Q21" s="14">
        <v>0.06</v>
      </c>
      <c r="R21" s="14">
        <v>0.04</v>
      </c>
      <c r="S21" s="14">
        <v>0.09</v>
      </c>
      <c r="T21" s="14">
        <v>0.12</v>
      </c>
      <c r="U21" s="14">
        <v>0.08</v>
      </c>
      <c r="V21" s="14">
        <v>0.13</v>
      </c>
      <c r="W21" s="14">
        <v>0.06</v>
      </c>
      <c r="X21" s="14">
        <v>7.0000000000000007E-2</v>
      </c>
      <c r="Y21" s="14">
        <v>0.11</v>
      </c>
      <c r="Z21" s="14">
        <v>0.1</v>
      </c>
      <c r="AA21" s="14">
        <v>0.08</v>
      </c>
      <c r="AB21" s="14">
        <v>0.09</v>
      </c>
      <c r="AC21" s="14">
        <v>0.1</v>
      </c>
      <c r="AD21" s="14">
        <v>0.12</v>
      </c>
      <c r="AE21" s="14">
        <v>7.0000000000000007E-2</v>
      </c>
      <c r="AF21" s="14">
        <v>0.1</v>
      </c>
    </row>
    <row r="22" spans="1:32" x14ac:dyDescent="0.25">
      <c r="A22" s="19"/>
      <c r="B22" s="11" t="s">
        <v>420</v>
      </c>
      <c r="C22" s="12">
        <v>2713</v>
      </c>
      <c r="D22" s="12">
        <v>108</v>
      </c>
      <c r="E22" s="12">
        <v>143</v>
      </c>
      <c r="F22" s="12">
        <v>148</v>
      </c>
      <c r="G22" s="12">
        <v>80</v>
      </c>
      <c r="H22" s="12">
        <v>131</v>
      </c>
      <c r="I22" s="12">
        <v>164</v>
      </c>
      <c r="J22" s="12">
        <v>33</v>
      </c>
      <c r="K22" s="12">
        <v>128</v>
      </c>
      <c r="L22" s="12">
        <v>92</v>
      </c>
      <c r="M22" s="12">
        <v>107</v>
      </c>
      <c r="N22" s="12">
        <v>84</v>
      </c>
      <c r="O22" s="12">
        <v>96</v>
      </c>
      <c r="P22" s="12">
        <v>106</v>
      </c>
      <c r="Q22" s="12">
        <v>86</v>
      </c>
      <c r="R22" s="12">
        <v>30</v>
      </c>
      <c r="S22" s="12">
        <v>76</v>
      </c>
      <c r="T22" s="12">
        <v>93</v>
      </c>
      <c r="U22" s="12">
        <v>43</v>
      </c>
      <c r="V22" s="12">
        <v>163</v>
      </c>
      <c r="W22" s="12">
        <v>29</v>
      </c>
      <c r="X22" s="12">
        <v>117</v>
      </c>
      <c r="Y22" s="12">
        <v>123</v>
      </c>
      <c r="Z22" s="12">
        <v>119</v>
      </c>
      <c r="AA22" s="12">
        <v>67</v>
      </c>
      <c r="AB22" s="12">
        <v>143</v>
      </c>
      <c r="AC22" s="12">
        <v>78</v>
      </c>
      <c r="AD22" s="12">
        <v>151</v>
      </c>
      <c r="AE22" s="12">
        <v>94</v>
      </c>
      <c r="AF22" s="12">
        <v>96</v>
      </c>
    </row>
    <row r="23" spans="1:32" x14ac:dyDescent="0.25">
      <c r="A23" s="19"/>
      <c r="B23" s="13" t="s">
        <v>420</v>
      </c>
      <c r="C23" s="14">
        <v>0.1</v>
      </c>
      <c r="D23" s="14">
        <v>0.11</v>
      </c>
      <c r="E23" s="14">
        <v>0.14000000000000001</v>
      </c>
      <c r="F23" s="14">
        <v>0.14000000000000001</v>
      </c>
      <c r="G23" s="14">
        <v>0.08</v>
      </c>
      <c r="H23" s="14">
        <v>0.11</v>
      </c>
      <c r="I23" s="14">
        <v>0.11</v>
      </c>
      <c r="J23" s="14">
        <v>0.11</v>
      </c>
      <c r="K23" s="14">
        <v>0.13</v>
      </c>
      <c r="L23" s="14">
        <v>0.09</v>
      </c>
      <c r="M23" s="14">
        <v>0.11</v>
      </c>
      <c r="N23" s="14">
        <v>0.08</v>
      </c>
      <c r="O23" s="14">
        <v>0.1</v>
      </c>
      <c r="P23" s="14">
        <v>0.11</v>
      </c>
      <c r="Q23" s="14">
        <v>0.08</v>
      </c>
      <c r="R23" s="14">
        <v>0.06</v>
      </c>
      <c r="S23" s="14">
        <v>0.08</v>
      </c>
      <c r="T23" s="14">
        <v>0.09</v>
      </c>
      <c r="U23" s="14">
        <v>0.08</v>
      </c>
      <c r="V23" s="14">
        <v>0.16</v>
      </c>
      <c r="W23" s="14">
        <v>0.06</v>
      </c>
      <c r="X23" s="14">
        <v>0.11</v>
      </c>
      <c r="Y23" s="14">
        <v>0.12</v>
      </c>
      <c r="Z23" s="14">
        <v>0.12</v>
      </c>
      <c r="AA23" s="14">
        <v>0.06</v>
      </c>
      <c r="AB23" s="14">
        <v>0.14000000000000001</v>
      </c>
      <c r="AC23" s="14">
        <v>0.08</v>
      </c>
      <c r="AD23" s="14">
        <v>0.15</v>
      </c>
      <c r="AE23" s="14">
        <v>0.09</v>
      </c>
      <c r="AF23" s="14">
        <v>0.09</v>
      </c>
    </row>
    <row r="24" spans="1:32" x14ac:dyDescent="0.25">
      <c r="A24" s="19"/>
      <c r="B24" s="11" t="s">
        <v>421</v>
      </c>
      <c r="C24" s="12">
        <v>4316</v>
      </c>
      <c r="D24" s="12">
        <v>193</v>
      </c>
      <c r="E24" s="12">
        <v>123</v>
      </c>
      <c r="F24" s="12">
        <v>126</v>
      </c>
      <c r="G24" s="12">
        <v>164</v>
      </c>
      <c r="H24" s="12">
        <v>191</v>
      </c>
      <c r="I24" s="12">
        <v>233</v>
      </c>
      <c r="J24" s="12">
        <v>42</v>
      </c>
      <c r="K24" s="12">
        <v>131</v>
      </c>
      <c r="L24" s="12">
        <v>158</v>
      </c>
      <c r="M24" s="12">
        <v>181</v>
      </c>
      <c r="N24" s="12">
        <v>127</v>
      </c>
      <c r="O24" s="12">
        <v>176</v>
      </c>
      <c r="P24" s="12">
        <v>153</v>
      </c>
      <c r="Q24" s="12">
        <v>166</v>
      </c>
      <c r="R24" s="12">
        <v>73</v>
      </c>
      <c r="S24" s="12">
        <v>131</v>
      </c>
      <c r="T24" s="12">
        <v>142</v>
      </c>
      <c r="U24" s="12">
        <v>83</v>
      </c>
      <c r="V24" s="12">
        <v>197</v>
      </c>
      <c r="W24" s="12">
        <v>55</v>
      </c>
      <c r="X24" s="12">
        <v>192</v>
      </c>
      <c r="Y24" s="12">
        <v>149</v>
      </c>
      <c r="Z24" s="12">
        <v>204</v>
      </c>
      <c r="AA24" s="12">
        <v>126</v>
      </c>
      <c r="AB24" s="12">
        <v>209</v>
      </c>
      <c r="AC24" s="12">
        <v>126</v>
      </c>
      <c r="AD24" s="12">
        <v>211</v>
      </c>
      <c r="AE24" s="12">
        <v>177</v>
      </c>
      <c r="AF24" s="12">
        <v>187</v>
      </c>
    </row>
    <row r="25" spans="1:32" x14ac:dyDescent="0.25">
      <c r="A25" s="19"/>
      <c r="B25" s="13" t="s">
        <v>421</v>
      </c>
      <c r="C25" s="14">
        <v>0.17</v>
      </c>
      <c r="D25" s="14">
        <v>0.19</v>
      </c>
      <c r="E25" s="14">
        <v>0.12</v>
      </c>
      <c r="F25" s="14">
        <v>0.12</v>
      </c>
      <c r="G25" s="14">
        <v>0.16</v>
      </c>
      <c r="H25" s="14">
        <v>0.15</v>
      </c>
      <c r="I25" s="14">
        <v>0.15</v>
      </c>
      <c r="J25" s="14">
        <v>0.14000000000000001</v>
      </c>
      <c r="K25" s="14">
        <v>0.13</v>
      </c>
      <c r="L25" s="14">
        <v>0.16</v>
      </c>
      <c r="M25" s="14">
        <v>0.18</v>
      </c>
      <c r="N25" s="14">
        <v>0.13</v>
      </c>
      <c r="O25" s="14">
        <v>0.17</v>
      </c>
      <c r="P25" s="14">
        <v>0.15</v>
      </c>
      <c r="Q25" s="14">
        <v>0.16</v>
      </c>
      <c r="R25" s="14">
        <v>0.14000000000000001</v>
      </c>
      <c r="S25" s="14">
        <v>0.13</v>
      </c>
      <c r="T25" s="14">
        <v>0.14000000000000001</v>
      </c>
      <c r="U25" s="14">
        <v>0.16</v>
      </c>
      <c r="V25" s="14">
        <v>0.19</v>
      </c>
      <c r="W25" s="14">
        <v>0.11</v>
      </c>
      <c r="X25" s="14">
        <v>0.19</v>
      </c>
      <c r="Y25" s="14">
        <v>0.15</v>
      </c>
      <c r="Z25" s="14">
        <v>0.2</v>
      </c>
      <c r="AA25" s="14">
        <v>0.12</v>
      </c>
      <c r="AB25" s="14">
        <v>0.2</v>
      </c>
      <c r="AC25" s="14">
        <v>0.12</v>
      </c>
      <c r="AD25" s="14">
        <v>0.21</v>
      </c>
      <c r="AE25" s="14">
        <v>0.18</v>
      </c>
      <c r="AF25" s="14">
        <v>0.18</v>
      </c>
    </row>
    <row r="26" spans="1:32" x14ac:dyDescent="0.25">
      <c r="A26" s="19"/>
      <c r="B26" s="11" t="s">
        <v>422</v>
      </c>
      <c r="C26" s="12">
        <v>5323</v>
      </c>
      <c r="D26" s="12">
        <v>268</v>
      </c>
      <c r="E26" s="12">
        <v>127</v>
      </c>
      <c r="F26" s="12">
        <v>172</v>
      </c>
      <c r="G26" s="12">
        <v>208</v>
      </c>
      <c r="H26" s="12">
        <v>184</v>
      </c>
      <c r="I26" s="12">
        <v>241</v>
      </c>
      <c r="J26" s="12">
        <v>57</v>
      </c>
      <c r="K26" s="12">
        <v>124</v>
      </c>
      <c r="L26" s="12">
        <v>200</v>
      </c>
      <c r="M26" s="12">
        <v>239</v>
      </c>
      <c r="N26" s="12">
        <v>202</v>
      </c>
      <c r="O26" s="12">
        <v>189</v>
      </c>
      <c r="P26" s="12">
        <v>180</v>
      </c>
      <c r="Q26" s="12">
        <v>274</v>
      </c>
      <c r="R26" s="12">
        <v>115</v>
      </c>
      <c r="S26" s="12">
        <v>136</v>
      </c>
      <c r="T26" s="12">
        <v>151</v>
      </c>
      <c r="U26" s="12">
        <v>109</v>
      </c>
      <c r="V26" s="12">
        <v>152</v>
      </c>
      <c r="W26" s="12">
        <v>99</v>
      </c>
      <c r="X26" s="12">
        <v>250</v>
      </c>
      <c r="Y26" s="12">
        <v>181</v>
      </c>
      <c r="Z26" s="12">
        <v>230</v>
      </c>
      <c r="AA26" s="12">
        <v>168</v>
      </c>
      <c r="AB26" s="12">
        <v>230</v>
      </c>
      <c r="AC26" s="12">
        <v>134</v>
      </c>
      <c r="AD26" s="12">
        <v>207</v>
      </c>
      <c r="AE26" s="12">
        <v>216</v>
      </c>
      <c r="AF26" s="12">
        <v>213</v>
      </c>
    </row>
    <row r="27" spans="1:32" x14ac:dyDescent="0.25">
      <c r="A27" s="19"/>
      <c r="B27" s="13" t="s">
        <v>422</v>
      </c>
      <c r="C27" s="14">
        <v>0.2</v>
      </c>
      <c r="D27" s="14">
        <v>0.26</v>
      </c>
      <c r="E27" s="14">
        <v>0.12</v>
      </c>
      <c r="F27" s="14">
        <v>0.16</v>
      </c>
      <c r="G27" s="14">
        <v>0.2</v>
      </c>
      <c r="H27" s="14">
        <v>0.15</v>
      </c>
      <c r="I27" s="14">
        <v>0.16</v>
      </c>
      <c r="J27" s="14">
        <v>0.19</v>
      </c>
      <c r="K27" s="14">
        <v>0.12</v>
      </c>
      <c r="L27" s="14">
        <v>0.2</v>
      </c>
      <c r="M27" s="14">
        <v>0.24</v>
      </c>
      <c r="N27" s="14">
        <v>0.2</v>
      </c>
      <c r="O27" s="14">
        <v>0.19</v>
      </c>
      <c r="P27" s="14">
        <v>0.18</v>
      </c>
      <c r="Q27" s="14">
        <v>0.27</v>
      </c>
      <c r="R27" s="14">
        <v>0.23</v>
      </c>
      <c r="S27" s="14">
        <v>0.13</v>
      </c>
      <c r="T27" s="14">
        <v>0.15</v>
      </c>
      <c r="U27" s="14">
        <v>0.22</v>
      </c>
      <c r="V27" s="14">
        <v>0.15</v>
      </c>
      <c r="W27" s="14">
        <v>0.2</v>
      </c>
      <c r="X27" s="14">
        <v>0.25</v>
      </c>
      <c r="Y27" s="14">
        <v>0.18</v>
      </c>
      <c r="Z27" s="14">
        <v>0.23</v>
      </c>
      <c r="AA27" s="14">
        <v>0.16</v>
      </c>
      <c r="AB27" s="14">
        <v>0.22</v>
      </c>
      <c r="AC27" s="14">
        <v>0.13</v>
      </c>
      <c r="AD27" s="14">
        <v>0.2</v>
      </c>
      <c r="AE27" s="14">
        <v>0.22</v>
      </c>
      <c r="AF27" s="14">
        <v>0.21</v>
      </c>
    </row>
    <row r="28" spans="1:32" x14ac:dyDescent="0.25">
      <c r="A28" s="19"/>
      <c r="B28" s="11" t="s">
        <v>423</v>
      </c>
      <c r="C28" s="12">
        <v>3395</v>
      </c>
      <c r="D28" s="12">
        <v>125</v>
      </c>
      <c r="E28" s="12">
        <v>82</v>
      </c>
      <c r="F28" s="12">
        <v>72</v>
      </c>
      <c r="G28" s="12">
        <v>88</v>
      </c>
      <c r="H28" s="12">
        <v>118</v>
      </c>
      <c r="I28" s="12">
        <v>156</v>
      </c>
      <c r="J28" s="12">
        <v>38</v>
      </c>
      <c r="K28" s="12">
        <v>86</v>
      </c>
      <c r="L28" s="12">
        <v>136</v>
      </c>
      <c r="M28" s="12">
        <v>148</v>
      </c>
      <c r="N28" s="12">
        <v>190</v>
      </c>
      <c r="O28" s="12">
        <v>118</v>
      </c>
      <c r="P28" s="12">
        <v>94</v>
      </c>
      <c r="Q28" s="12">
        <v>167</v>
      </c>
      <c r="R28" s="12">
        <v>93</v>
      </c>
      <c r="S28" s="12">
        <v>112</v>
      </c>
      <c r="T28" s="12">
        <v>76</v>
      </c>
      <c r="U28" s="12">
        <v>72</v>
      </c>
      <c r="V28" s="12">
        <v>90</v>
      </c>
      <c r="W28" s="12">
        <v>115</v>
      </c>
      <c r="X28" s="12">
        <v>152</v>
      </c>
      <c r="Y28" s="12">
        <v>101</v>
      </c>
      <c r="Z28" s="12">
        <v>133</v>
      </c>
      <c r="AA28" s="12">
        <v>154</v>
      </c>
      <c r="AB28" s="12">
        <v>108</v>
      </c>
      <c r="AC28" s="12">
        <v>86</v>
      </c>
      <c r="AD28" s="12">
        <v>88</v>
      </c>
      <c r="AE28" s="12">
        <v>146</v>
      </c>
      <c r="AF28" s="12">
        <v>117</v>
      </c>
    </row>
    <row r="29" spans="1:32" x14ac:dyDescent="0.25">
      <c r="A29" s="19"/>
      <c r="B29" s="13" t="s">
        <v>423</v>
      </c>
      <c r="C29" s="14">
        <v>0.13</v>
      </c>
      <c r="D29" s="14">
        <v>0.12</v>
      </c>
      <c r="E29" s="14">
        <v>0.08</v>
      </c>
      <c r="F29" s="14">
        <v>7.0000000000000007E-2</v>
      </c>
      <c r="G29" s="14">
        <v>0.09</v>
      </c>
      <c r="H29" s="14">
        <v>0.1</v>
      </c>
      <c r="I29" s="14">
        <v>0.1</v>
      </c>
      <c r="J29" s="14">
        <v>0.13</v>
      </c>
      <c r="K29" s="14">
        <v>0.09</v>
      </c>
      <c r="L29" s="14">
        <v>0.13</v>
      </c>
      <c r="M29" s="14">
        <v>0.15</v>
      </c>
      <c r="N29" s="14">
        <v>0.19</v>
      </c>
      <c r="O29" s="14">
        <v>0.12</v>
      </c>
      <c r="P29" s="14">
        <v>0.09</v>
      </c>
      <c r="Q29" s="14">
        <v>0.16</v>
      </c>
      <c r="R29" s="14">
        <v>0.19</v>
      </c>
      <c r="S29" s="14">
        <v>0.11</v>
      </c>
      <c r="T29" s="14">
        <v>0.08</v>
      </c>
      <c r="U29" s="14">
        <v>0.14000000000000001</v>
      </c>
      <c r="V29" s="14">
        <v>0.09</v>
      </c>
      <c r="W29" s="14">
        <v>0.23</v>
      </c>
      <c r="X29" s="14">
        <v>0.15</v>
      </c>
      <c r="Y29" s="14">
        <v>0.1</v>
      </c>
      <c r="Z29" s="14">
        <v>0.13</v>
      </c>
      <c r="AA29" s="14">
        <v>0.15</v>
      </c>
      <c r="AB29" s="14">
        <v>0.1</v>
      </c>
      <c r="AC29" s="14">
        <v>0.09</v>
      </c>
      <c r="AD29" s="14">
        <v>0.09</v>
      </c>
      <c r="AE29" s="14">
        <v>0.15</v>
      </c>
      <c r="AF29" s="14">
        <v>0.11</v>
      </c>
    </row>
    <row r="30" spans="1:32" ht="23.25" x14ac:dyDescent="0.25">
      <c r="A30" s="19"/>
      <c r="B30" s="11" t="s">
        <v>424</v>
      </c>
      <c r="C30" s="12">
        <v>4693</v>
      </c>
      <c r="D30" s="12">
        <v>141</v>
      </c>
      <c r="E30" s="12">
        <v>167</v>
      </c>
      <c r="F30" s="12">
        <v>123</v>
      </c>
      <c r="G30" s="12">
        <v>194</v>
      </c>
      <c r="H30" s="12">
        <v>198</v>
      </c>
      <c r="I30" s="12">
        <v>254</v>
      </c>
      <c r="J30" s="12">
        <v>55</v>
      </c>
      <c r="K30" s="12">
        <v>129</v>
      </c>
      <c r="L30" s="12">
        <v>266</v>
      </c>
      <c r="M30" s="12">
        <v>135</v>
      </c>
      <c r="N30" s="12">
        <v>257</v>
      </c>
      <c r="O30" s="12">
        <v>210</v>
      </c>
      <c r="P30" s="12">
        <v>166</v>
      </c>
      <c r="Q30" s="12">
        <v>188</v>
      </c>
      <c r="R30" s="12">
        <v>139</v>
      </c>
      <c r="S30" s="12">
        <v>218</v>
      </c>
      <c r="T30" s="12">
        <v>173</v>
      </c>
      <c r="U30" s="12">
        <v>138</v>
      </c>
      <c r="V30" s="12">
        <v>125</v>
      </c>
      <c r="W30" s="12">
        <v>125</v>
      </c>
      <c r="X30" s="12">
        <v>144</v>
      </c>
      <c r="Y30" s="12">
        <v>176</v>
      </c>
      <c r="Z30" s="12">
        <v>140</v>
      </c>
      <c r="AA30" s="12">
        <v>194</v>
      </c>
      <c r="AB30" s="12">
        <v>105</v>
      </c>
      <c r="AC30" s="12">
        <v>280</v>
      </c>
      <c r="AD30" s="12">
        <v>78</v>
      </c>
      <c r="AE30" s="12">
        <v>183</v>
      </c>
      <c r="AF30" s="12">
        <v>188</v>
      </c>
    </row>
    <row r="31" spans="1:32" x14ac:dyDescent="0.25">
      <c r="A31" s="19"/>
      <c r="B31" s="13" t="s">
        <v>425</v>
      </c>
      <c r="C31" s="14">
        <v>0.18</v>
      </c>
      <c r="D31" s="14">
        <v>0.14000000000000001</v>
      </c>
      <c r="E31" s="14">
        <v>0.16</v>
      </c>
      <c r="F31" s="14">
        <v>0.12</v>
      </c>
      <c r="G31" s="14">
        <v>0.19</v>
      </c>
      <c r="H31" s="14">
        <v>0.16</v>
      </c>
      <c r="I31" s="14">
        <v>0.17</v>
      </c>
      <c r="J31" s="14">
        <v>0.19</v>
      </c>
      <c r="K31" s="14">
        <v>0.13</v>
      </c>
      <c r="L31" s="14">
        <v>0.26</v>
      </c>
      <c r="M31" s="14">
        <v>0.13</v>
      </c>
      <c r="N31" s="14">
        <v>0.25</v>
      </c>
      <c r="O31" s="14">
        <v>0.21</v>
      </c>
      <c r="P31" s="14">
        <v>0.17</v>
      </c>
      <c r="Q31" s="14">
        <v>0.18</v>
      </c>
      <c r="R31" s="14">
        <v>0.28000000000000003</v>
      </c>
      <c r="S31" s="14">
        <v>0.22</v>
      </c>
      <c r="T31" s="14">
        <v>0.17</v>
      </c>
      <c r="U31" s="14">
        <v>0.27</v>
      </c>
      <c r="V31" s="14">
        <v>0.12</v>
      </c>
      <c r="W31" s="14">
        <v>0.25</v>
      </c>
      <c r="X31" s="14">
        <v>0.14000000000000001</v>
      </c>
      <c r="Y31" s="14">
        <v>0.18</v>
      </c>
      <c r="Z31" s="14">
        <v>0.14000000000000001</v>
      </c>
      <c r="AA31" s="14">
        <v>0.19</v>
      </c>
      <c r="AB31" s="14">
        <v>0.1</v>
      </c>
      <c r="AC31" s="14">
        <v>0.28000000000000003</v>
      </c>
      <c r="AD31" s="14">
        <v>0.08</v>
      </c>
      <c r="AE31" s="14">
        <v>0.18</v>
      </c>
      <c r="AF31" s="14">
        <v>0.18</v>
      </c>
    </row>
    <row r="32" spans="1:32" x14ac:dyDescent="0.25">
      <c r="A32" s="19"/>
      <c r="B32" s="11" t="s">
        <v>224</v>
      </c>
      <c r="C32" s="12">
        <v>485</v>
      </c>
      <c r="D32" s="12">
        <v>1</v>
      </c>
      <c r="E32" s="12">
        <v>44</v>
      </c>
      <c r="F32" s="12">
        <v>15</v>
      </c>
      <c r="G32" s="12">
        <v>13</v>
      </c>
      <c r="H32" s="12">
        <v>18</v>
      </c>
      <c r="I32" s="12">
        <v>27</v>
      </c>
      <c r="J32" s="12">
        <v>9</v>
      </c>
      <c r="K32" s="12">
        <v>35</v>
      </c>
      <c r="L32" s="12">
        <v>9</v>
      </c>
      <c r="M32" s="12">
        <v>25</v>
      </c>
      <c r="N32" s="12">
        <v>24</v>
      </c>
      <c r="O32" s="12">
        <v>14</v>
      </c>
      <c r="P32" s="12">
        <v>19</v>
      </c>
      <c r="Q32" s="12">
        <v>13</v>
      </c>
      <c r="R32" s="12">
        <v>7</v>
      </c>
      <c r="S32" s="12">
        <v>31</v>
      </c>
      <c r="T32" s="12">
        <v>64</v>
      </c>
      <c r="U32" s="12">
        <v>4</v>
      </c>
      <c r="V32" s="12">
        <v>12</v>
      </c>
      <c r="W32" s="12">
        <v>5</v>
      </c>
      <c r="X32" s="12">
        <v>7</v>
      </c>
      <c r="Y32" s="12">
        <v>35</v>
      </c>
      <c r="Z32" s="12">
        <v>16</v>
      </c>
      <c r="AA32" s="12">
        <v>63</v>
      </c>
      <c r="AB32" s="12">
        <v>37</v>
      </c>
      <c r="AC32" s="12">
        <v>8</v>
      </c>
      <c r="AD32" s="12">
        <v>10</v>
      </c>
      <c r="AE32" s="12">
        <v>21</v>
      </c>
      <c r="AF32" s="12">
        <v>3</v>
      </c>
    </row>
    <row r="33" spans="1:32" x14ac:dyDescent="0.25">
      <c r="A33" s="19"/>
      <c r="B33" s="13" t="s">
        <v>237</v>
      </c>
      <c r="C33" s="14">
        <v>0.02</v>
      </c>
      <c r="D33" s="15" t="s">
        <v>213</v>
      </c>
      <c r="E33" s="14">
        <v>0.04</v>
      </c>
      <c r="F33" s="14">
        <v>0.01</v>
      </c>
      <c r="G33" s="14">
        <v>0.01</v>
      </c>
      <c r="H33" s="14">
        <v>0.01</v>
      </c>
      <c r="I33" s="14">
        <v>0.02</v>
      </c>
      <c r="J33" s="14">
        <v>0.03</v>
      </c>
      <c r="K33" s="14">
        <v>0.03</v>
      </c>
      <c r="L33" s="14">
        <v>0.01</v>
      </c>
      <c r="M33" s="14">
        <v>0.02</v>
      </c>
      <c r="N33" s="14">
        <v>0.02</v>
      </c>
      <c r="O33" s="14">
        <v>0.01</v>
      </c>
      <c r="P33" s="14">
        <v>0.02</v>
      </c>
      <c r="Q33" s="14">
        <v>0.01</v>
      </c>
      <c r="R33" s="14">
        <v>0.01</v>
      </c>
      <c r="S33" s="14">
        <v>0.03</v>
      </c>
      <c r="T33" s="14">
        <v>0.06</v>
      </c>
      <c r="U33" s="14">
        <v>0.01</v>
      </c>
      <c r="V33" s="14">
        <v>0.01</v>
      </c>
      <c r="W33" s="14">
        <v>0.01</v>
      </c>
      <c r="X33" s="14">
        <v>0.01</v>
      </c>
      <c r="Y33" s="14">
        <v>0.03</v>
      </c>
      <c r="Z33" s="14">
        <v>0.02</v>
      </c>
      <c r="AA33" s="14">
        <v>0.06</v>
      </c>
      <c r="AB33" s="14">
        <v>0.04</v>
      </c>
      <c r="AC33" s="14">
        <v>0.01</v>
      </c>
      <c r="AD33" s="14">
        <v>0.01</v>
      </c>
      <c r="AE33" s="14">
        <v>0.02</v>
      </c>
      <c r="AF33" s="15" t="s">
        <v>213</v>
      </c>
    </row>
    <row r="34" spans="1:32" ht="23.25" x14ac:dyDescent="0.25">
      <c r="A34" s="19"/>
      <c r="B34" s="11" t="s">
        <v>426</v>
      </c>
      <c r="C34" s="12">
        <v>3142</v>
      </c>
      <c r="D34" s="12">
        <v>97</v>
      </c>
      <c r="E34" s="12">
        <v>239</v>
      </c>
      <c r="F34" s="12">
        <v>236</v>
      </c>
      <c r="G34" s="12">
        <v>162</v>
      </c>
      <c r="H34" s="12">
        <v>260</v>
      </c>
      <c r="I34" s="12">
        <v>287</v>
      </c>
      <c r="J34" s="12">
        <v>28</v>
      </c>
      <c r="K34" s="12">
        <v>247</v>
      </c>
      <c r="L34" s="12">
        <v>87</v>
      </c>
      <c r="M34" s="12">
        <v>80</v>
      </c>
      <c r="N34" s="12">
        <v>56</v>
      </c>
      <c r="O34" s="12">
        <v>107</v>
      </c>
      <c r="P34" s="12">
        <v>167</v>
      </c>
      <c r="Q34" s="12">
        <v>78</v>
      </c>
      <c r="R34" s="12">
        <v>25</v>
      </c>
      <c r="S34" s="12">
        <v>213</v>
      </c>
      <c r="T34" s="12">
        <v>197</v>
      </c>
      <c r="U34" s="12">
        <v>20</v>
      </c>
      <c r="V34" s="12">
        <v>150</v>
      </c>
      <c r="W34" s="12">
        <v>44</v>
      </c>
      <c r="X34" s="12">
        <v>79</v>
      </c>
      <c r="Y34" s="12">
        <v>131</v>
      </c>
      <c r="Z34" s="12">
        <v>77</v>
      </c>
      <c r="AA34" s="12">
        <v>183</v>
      </c>
      <c r="AB34" s="12">
        <v>119</v>
      </c>
      <c r="AC34" s="12">
        <v>191</v>
      </c>
      <c r="AD34" s="12">
        <v>141</v>
      </c>
      <c r="AE34" s="12">
        <v>98</v>
      </c>
      <c r="AF34" s="12">
        <v>132</v>
      </c>
    </row>
    <row r="35" spans="1:32" ht="23.25" x14ac:dyDescent="0.25">
      <c r="A35" s="19"/>
      <c r="B35" s="13" t="s">
        <v>427</v>
      </c>
      <c r="C35" s="14">
        <v>0.11</v>
      </c>
      <c r="D35" s="14">
        <v>0.09</v>
      </c>
      <c r="E35" s="14">
        <v>0.23</v>
      </c>
      <c r="F35" s="14">
        <v>0.22</v>
      </c>
      <c r="G35" s="14">
        <v>0.16</v>
      </c>
      <c r="H35" s="14">
        <v>0.21</v>
      </c>
      <c r="I35" s="14">
        <v>0.18</v>
      </c>
      <c r="J35" s="14">
        <v>0.09</v>
      </c>
      <c r="K35" s="14">
        <v>0.25</v>
      </c>
      <c r="L35" s="14">
        <v>0.09</v>
      </c>
      <c r="M35" s="14">
        <v>0.08</v>
      </c>
      <c r="N35" s="14">
        <v>0.06</v>
      </c>
      <c r="O35" s="14">
        <v>0.11</v>
      </c>
      <c r="P35" s="14">
        <v>0.16</v>
      </c>
      <c r="Q35" s="14">
        <v>0.08</v>
      </c>
      <c r="R35" s="14">
        <v>0.05</v>
      </c>
      <c r="S35" s="14">
        <v>0.21</v>
      </c>
      <c r="T35" s="14">
        <v>0.19</v>
      </c>
      <c r="U35" s="14">
        <v>0.04</v>
      </c>
      <c r="V35" s="14">
        <v>0.15</v>
      </c>
      <c r="W35" s="14">
        <v>0.08</v>
      </c>
      <c r="X35" s="14">
        <v>0.08</v>
      </c>
      <c r="Y35" s="14">
        <v>0.13</v>
      </c>
      <c r="Z35" s="14">
        <v>0.06</v>
      </c>
      <c r="AA35" s="14">
        <v>0.18</v>
      </c>
      <c r="AB35" s="14">
        <v>0.11</v>
      </c>
      <c r="AC35" s="14">
        <v>0.19</v>
      </c>
      <c r="AD35" s="14">
        <v>0.14000000000000001</v>
      </c>
      <c r="AE35" s="14">
        <v>0.09</v>
      </c>
      <c r="AF35" s="14">
        <v>0.13</v>
      </c>
    </row>
    <row r="36" spans="1:32" ht="23.25" x14ac:dyDescent="0.25">
      <c r="A36" s="19"/>
      <c r="B36" s="11" t="s">
        <v>428</v>
      </c>
      <c r="C36" s="12">
        <v>5100</v>
      </c>
      <c r="D36" s="12">
        <v>198</v>
      </c>
      <c r="E36" s="12">
        <v>262</v>
      </c>
      <c r="F36" s="12">
        <v>320</v>
      </c>
      <c r="G36" s="12">
        <v>187</v>
      </c>
      <c r="H36" s="12">
        <v>261</v>
      </c>
      <c r="I36" s="12">
        <v>330</v>
      </c>
      <c r="J36" s="12">
        <v>69</v>
      </c>
      <c r="K36" s="12">
        <v>254</v>
      </c>
      <c r="L36" s="12">
        <v>150</v>
      </c>
      <c r="M36" s="12">
        <v>199</v>
      </c>
      <c r="N36" s="12">
        <v>155</v>
      </c>
      <c r="O36" s="12">
        <v>189</v>
      </c>
      <c r="P36" s="12">
        <v>223</v>
      </c>
      <c r="Q36" s="12">
        <v>145</v>
      </c>
      <c r="R36" s="12">
        <v>49</v>
      </c>
      <c r="S36" s="12">
        <v>163</v>
      </c>
      <c r="T36" s="12">
        <v>218</v>
      </c>
      <c r="U36" s="12">
        <v>83</v>
      </c>
      <c r="V36" s="12">
        <v>300</v>
      </c>
      <c r="W36" s="12">
        <v>59</v>
      </c>
      <c r="X36" s="12">
        <v>186</v>
      </c>
      <c r="Y36" s="12">
        <v>231</v>
      </c>
      <c r="Z36" s="12">
        <v>217</v>
      </c>
      <c r="AA36" s="12">
        <v>147</v>
      </c>
      <c r="AB36" s="12">
        <v>233</v>
      </c>
      <c r="AC36" s="12">
        <v>181</v>
      </c>
      <c r="AD36" s="12">
        <v>269</v>
      </c>
      <c r="AE36" s="12">
        <v>161</v>
      </c>
      <c r="AF36" s="12">
        <v>193</v>
      </c>
    </row>
    <row r="37" spans="1:32" ht="23.25" x14ac:dyDescent="0.25">
      <c r="A37" s="19"/>
      <c r="B37" s="13" t="s">
        <v>429</v>
      </c>
      <c r="C37" s="14">
        <v>0.19</v>
      </c>
      <c r="D37" s="14">
        <v>0.2</v>
      </c>
      <c r="E37" s="14">
        <v>0.25</v>
      </c>
      <c r="F37" s="14">
        <v>0.3</v>
      </c>
      <c r="G37" s="14">
        <v>0.19</v>
      </c>
      <c r="H37" s="14">
        <v>0.22</v>
      </c>
      <c r="I37" s="14">
        <v>0.22</v>
      </c>
      <c r="J37" s="14">
        <v>0.23</v>
      </c>
      <c r="K37" s="14">
        <v>0.25</v>
      </c>
      <c r="L37" s="14">
        <v>0.15</v>
      </c>
      <c r="M37" s="14">
        <v>0.2</v>
      </c>
      <c r="N37" s="14">
        <v>0.15</v>
      </c>
      <c r="O37" s="14">
        <v>0.19</v>
      </c>
      <c r="P37" s="14">
        <v>0.23</v>
      </c>
      <c r="Q37" s="14">
        <v>0.14000000000000001</v>
      </c>
      <c r="R37" s="14">
        <v>0.1</v>
      </c>
      <c r="S37" s="14">
        <v>0.17</v>
      </c>
      <c r="T37" s="14">
        <v>0.21</v>
      </c>
      <c r="U37" s="14">
        <v>0.16</v>
      </c>
      <c r="V37" s="14">
        <v>0.28999999999999998</v>
      </c>
      <c r="W37" s="14">
        <v>0.12</v>
      </c>
      <c r="X37" s="14">
        <v>0.18</v>
      </c>
      <c r="Y37" s="14">
        <v>0.23</v>
      </c>
      <c r="Z37" s="14">
        <v>0.22</v>
      </c>
      <c r="AA37" s="14">
        <v>0.14000000000000001</v>
      </c>
      <c r="AB37" s="14">
        <v>0.23</v>
      </c>
      <c r="AC37" s="14">
        <v>0.18</v>
      </c>
      <c r="AD37" s="14">
        <v>0.27</v>
      </c>
      <c r="AE37" s="14">
        <v>0.16</v>
      </c>
      <c r="AF37" s="14">
        <v>0.19</v>
      </c>
    </row>
    <row r="38" spans="1:32" ht="23.25" x14ac:dyDescent="0.25">
      <c r="A38" s="19"/>
      <c r="B38" s="11" t="s">
        <v>430</v>
      </c>
      <c r="C38" s="12">
        <v>17727</v>
      </c>
      <c r="D38" s="12">
        <v>727</v>
      </c>
      <c r="E38" s="12">
        <v>499</v>
      </c>
      <c r="F38" s="12">
        <v>493</v>
      </c>
      <c r="G38" s="12">
        <v>654</v>
      </c>
      <c r="H38" s="12">
        <v>691</v>
      </c>
      <c r="I38" s="12">
        <v>884</v>
      </c>
      <c r="J38" s="12">
        <v>192</v>
      </c>
      <c r="K38" s="12">
        <v>470</v>
      </c>
      <c r="L38" s="12">
        <v>760</v>
      </c>
      <c r="M38" s="12">
        <v>703</v>
      </c>
      <c r="N38" s="12">
        <v>776</v>
      </c>
      <c r="O38" s="12">
        <v>693</v>
      </c>
      <c r="P38" s="12">
        <v>593</v>
      </c>
      <c r="Q38" s="12">
        <v>795</v>
      </c>
      <c r="R38" s="12">
        <v>420</v>
      </c>
      <c r="S38" s="12">
        <v>597</v>
      </c>
      <c r="T38" s="12">
        <v>542</v>
      </c>
      <c r="U38" s="12">
        <v>402</v>
      </c>
      <c r="V38" s="12">
        <v>564</v>
      </c>
      <c r="W38" s="12">
        <v>394</v>
      </c>
      <c r="X38" s="12">
        <v>738</v>
      </c>
      <c r="Y38" s="12">
        <v>607</v>
      </c>
      <c r="Z38" s="12">
        <v>707</v>
      </c>
      <c r="AA38" s="12">
        <v>642</v>
      </c>
      <c r="AB38" s="12">
        <v>652</v>
      </c>
      <c r="AC38" s="12">
        <v>626</v>
      </c>
      <c r="AD38" s="12">
        <v>584</v>
      </c>
      <c r="AE38" s="12">
        <v>722</v>
      </c>
      <c r="AF38" s="12">
        <v>705</v>
      </c>
    </row>
    <row r="39" spans="1:32" ht="23.25" x14ac:dyDescent="0.25">
      <c r="A39" s="19"/>
      <c r="B39" s="13" t="s">
        <v>431</v>
      </c>
      <c r="C39" s="14">
        <v>0.68</v>
      </c>
      <c r="D39" s="14">
        <v>0.71</v>
      </c>
      <c r="E39" s="14">
        <v>0.48</v>
      </c>
      <c r="F39" s="14">
        <v>0.47</v>
      </c>
      <c r="G39" s="14">
        <v>0.64</v>
      </c>
      <c r="H39" s="14">
        <v>0.56000000000000005</v>
      </c>
      <c r="I39" s="14">
        <v>0.57999999999999996</v>
      </c>
      <c r="J39" s="14">
        <v>0.65</v>
      </c>
      <c r="K39" s="14">
        <v>0.47</v>
      </c>
      <c r="L39" s="14">
        <v>0.75</v>
      </c>
      <c r="M39" s="14">
        <v>0.70000000000000007</v>
      </c>
      <c r="N39" s="14">
        <v>0.77</v>
      </c>
      <c r="O39" s="14">
        <v>0.69000000000000006</v>
      </c>
      <c r="P39" s="14">
        <v>0.59</v>
      </c>
      <c r="Q39" s="14">
        <v>0.77</v>
      </c>
      <c r="R39" s="14">
        <v>0.84</v>
      </c>
      <c r="S39" s="14">
        <v>0.59</v>
      </c>
      <c r="T39" s="14">
        <v>0.54</v>
      </c>
      <c r="U39" s="14">
        <v>0.79</v>
      </c>
      <c r="V39" s="14">
        <v>0.55000000000000004</v>
      </c>
      <c r="W39" s="14">
        <v>0.79</v>
      </c>
      <c r="X39" s="14">
        <v>0.73</v>
      </c>
      <c r="Y39" s="14">
        <v>0.61</v>
      </c>
      <c r="Z39" s="14">
        <v>0.70000000000000007</v>
      </c>
      <c r="AA39" s="14">
        <v>0.62</v>
      </c>
      <c r="AB39" s="14">
        <v>0.62</v>
      </c>
      <c r="AC39" s="14">
        <v>0.62</v>
      </c>
      <c r="AD39" s="14">
        <v>0.57999999999999996</v>
      </c>
      <c r="AE39" s="14">
        <v>0.73</v>
      </c>
      <c r="AF39" s="14">
        <v>0.68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488</v>
      </c>
      <c r="C3" s="18"/>
      <c r="D3" s="18"/>
      <c r="E3" s="18"/>
      <c r="F3" s="18"/>
      <c r="H3" s="18" t="s">
        <v>489</v>
      </c>
      <c r="I3" s="18"/>
      <c r="J3" s="18"/>
      <c r="K3" s="18"/>
      <c r="L3" s="18"/>
    </row>
    <row r="4" spans="1:32" ht="27" customHeight="1" x14ac:dyDescent="0.25">
      <c r="B4" s="18" t="s">
        <v>490</v>
      </c>
      <c r="C4" s="18"/>
      <c r="D4" s="18"/>
      <c r="E4" s="18"/>
      <c r="F4" s="18"/>
      <c r="H4" s="18" t="s">
        <v>491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721</v>
      </c>
      <c r="D12" s="12">
        <v>24</v>
      </c>
      <c r="E12" s="12">
        <v>76</v>
      </c>
      <c r="F12" s="12">
        <v>53</v>
      </c>
      <c r="G12" s="12">
        <v>60</v>
      </c>
      <c r="H12" s="12">
        <v>44</v>
      </c>
      <c r="I12" s="12">
        <v>54</v>
      </c>
      <c r="J12" s="12">
        <v>9</v>
      </c>
      <c r="K12" s="12">
        <v>96</v>
      </c>
      <c r="L12" s="12">
        <v>49</v>
      </c>
      <c r="M12" s="12">
        <v>12</v>
      </c>
      <c r="N12" s="12">
        <v>24</v>
      </c>
      <c r="O12" s="12">
        <v>18</v>
      </c>
      <c r="P12" s="12">
        <v>19</v>
      </c>
      <c r="Q12" s="12">
        <v>27</v>
      </c>
      <c r="R12" s="12">
        <v>2</v>
      </c>
      <c r="S12" s="12">
        <v>76</v>
      </c>
      <c r="T12" s="12">
        <v>68</v>
      </c>
      <c r="U12" s="12">
        <v>9</v>
      </c>
      <c r="V12" s="12">
        <v>19</v>
      </c>
      <c r="W12" s="12">
        <v>16</v>
      </c>
      <c r="X12" s="12">
        <v>13</v>
      </c>
      <c r="Y12" s="12">
        <v>24</v>
      </c>
      <c r="Z12" s="12">
        <v>8</v>
      </c>
      <c r="AA12" s="12">
        <v>12</v>
      </c>
      <c r="AB12" s="12">
        <v>56</v>
      </c>
      <c r="AC12" s="12">
        <v>52</v>
      </c>
      <c r="AD12" s="12">
        <v>45</v>
      </c>
      <c r="AE12" s="12">
        <v>34</v>
      </c>
      <c r="AF12" s="12">
        <v>21</v>
      </c>
    </row>
    <row r="13" spans="1:32" x14ac:dyDescent="0.25">
      <c r="A13" s="19"/>
      <c r="B13" s="13" t="s">
        <v>415</v>
      </c>
      <c r="C13" s="14">
        <v>0.03</v>
      </c>
      <c r="D13" s="14">
        <v>0.02</v>
      </c>
      <c r="E13" s="14">
        <v>7.0000000000000007E-2</v>
      </c>
      <c r="F13" s="14">
        <v>0.05</v>
      </c>
      <c r="G13" s="14">
        <v>0.06</v>
      </c>
      <c r="H13" s="14">
        <v>0.04</v>
      </c>
      <c r="I13" s="14">
        <v>0.04</v>
      </c>
      <c r="J13" s="14">
        <v>0.03</v>
      </c>
      <c r="K13" s="14">
        <v>0.1</v>
      </c>
      <c r="L13" s="14">
        <v>0.05</v>
      </c>
      <c r="M13" s="14">
        <v>0.01</v>
      </c>
      <c r="N13" s="14">
        <v>0.02</v>
      </c>
      <c r="O13" s="14">
        <v>0.02</v>
      </c>
      <c r="P13" s="14">
        <v>0.02</v>
      </c>
      <c r="Q13" s="14">
        <v>0.03</v>
      </c>
      <c r="R13" s="15" t="s">
        <v>213</v>
      </c>
      <c r="S13" s="14">
        <v>7.0000000000000007E-2</v>
      </c>
      <c r="T13" s="14">
        <v>7.0000000000000007E-2</v>
      </c>
      <c r="U13" s="14">
        <v>0.02</v>
      </c>
      <c r="V13" s="14">
        <v>0.02</v>
      </c>
      <c r="W13" s="14">
        <v>0.03</v>
      </c>
      <c r="X13" s="14">
        <v>0.01</v>
      </c>
      <c r="Y13" s="14">
        <v>0.02</v>
      </c>
      <c r="Z13" s="14">
        <v>0.01</v>
      </c>
      <c r="AA13" s="14">
        <v>0.01</v>
      </c>
      <c r="AB13" s="14">
        <v>0.05</v>
      </c>
      <c r="AC13" s="14">
        <v>0.05</v>
      </c>
      <c r="AD13" s="14">
        <v>0.04</v>
      </c>
      <c r="AE13" s="14">
        <v>0.03</v>
      </c>
      <c r="AF13" s="14">
        <v>0.02</v>
      </c>
    </row>
    <row r="14" spans="1:32" x14ac:dyDescent="0.25">
      <c r="A14" s="19"/>
      <c r="B14" s="11" t="s">
        <v>416</v>
      </c>
      <c r="C14" s="12">
        <v>622</v>
      </c>
      <c r="D14" s="12">
        <v>18</v>
      </c>
      <c r="E14" s="12">
        <v>30</v>
      </c>
      <c r="F14" s="12">
        <v>31</v>
      </c>
      <c r="G14" s="12">
        <v>45</v>
      </c>
      <c r="H14" s="12">
        <v>73</v>
      </c>
      <c r="I14" s="12">
        <v>84</v>
      </c>
      <c r="J14" s="12">
        <v>11</v>
      </c>
      <c r="K14" s="12">
        <v>58</v>
      </c>
      <c r="L14" s="12">
        <v>16</v>
      </c>
      <c r="M14" s="12">
        <v>13</v>
      </c>
      <c r="N14" s="12">
        <v>17</v>
      </c>
      <c r="O14" s="12">
        <v>16</v>
      </c>
      <c r="P14" s="12">
        <v>9</v>
      </c>
      <c r="Q14" s="12">
        <v>4</v>
      </c>
      <c r="R14" s="12">
        <v>8</v>
      </c>
      <c r="S14" s="12">
        <v>26</v>
      </c>
      <c r="T14" s="12">
        <v>43</v>
      </c>
      <c r="U14" s="12">
        <v>6</v>
      </c>
      <c r="V14" s="12">
        <v>28</v>
      </c>
      <c r="W14" s="12">
        <v>4</v>
      </c>
      <c r="X14" s="12">
        <v>14</v>
      </c>
      <c r="Y14" s="12">
        <v>22</v>
      </c>
      <c r="Z14" s="12">
        <v>10</v>
      </c>
      <c r="AA14" s="12">
        <v>24</v>
      </c>
      <c r="AB14" s="12">
        <v>15</v>
      </c>
      <c r="AC14" s="12">
        <v>37</v>
      </c>
      <c r="AD14" s="12">
        <v>25</v>
      </c>
      <c r="AE14" s="12">
        <v>32</v>
      </c>
      <c r="AF14" s="12">
        <v>40</v>
      </c>
    </row>
    <row r="15" spans="1:32" x14ac:dyDescent="0.25">
      <c r="A15" s="19"/>
      <c r="B15" s="13" t="s">
        <v>416</v>
      </c>
      <c r="C15" s="14">
        <v>0.02</v>
      </c>
      <c r="D15" s="14">
        <v>0.02</v>
      </c>
      <c r="E15" s="14">
        <v>0.03</v>
      </c>
      <c r="F15" s="14">
        <v>0.03</v>
      </c>
      <c r="G15" s="14">
        <v>0.04</v>
      </c>
      <c r="H15" s="14">
        <v>0.06</v>
      </c>
      <c r="I15" s="14">
        <v>0.05</v>
      </c>
      <c r="J15" s="14">
        <v>0.04</v>
      </c>
      <c r="K15" s="14">
        <v>0.06</v>
      </c>
      <c r="L15" s="14">
        <v>0.02</v>
      </c>
      <c r="M15" s="14">
        <v>0.01</v>
      </c>
      <c r="N15" s="14">
        <v>0.02</v>
      </c>
      <c r="O15" s="14">
        <v>0.02</v>
      </c>
      <c r="P15" s="14">
        <v>0.01</v>
      </c>
      <c r="Q15" s="15" t="s">
        <v>213</v>
      </c>
      <c r="R15" s="14">
        <v>0.02</v>
      </c>
      <c r="S15" s="14">
        <v>0.03</v>
      </c>
      <c r="T15" s="14">
        <v>0.04</v>
      </c>
      <c r="U15" s="14">
        <v>0.01</v>
      </c>
      <c r="V15" s="14">
        <v>0.03</v>
      </c>
      <c r="W15" s="14">
        <v>0.01</v>
      </c>
      <c r="X15" s="14">
        <v>0.01</v>
      </c>
      <c r="Y15" s="14">
        <v>0.02</v>
      </c>
      <c r="Z15" s="14">
        <v>0.01</v>
      </c>
      <c r="AA15" s="14">
        <v>0.02</v>
      </c>
      <c r="AB15" s="14">
        <v>0.02</v>
      </c>
      <c r="AC15" s="14">
        <v>0.04</v>
      </c>
      <c r="AD15" s="14">
        <v>0.02</v>
      </c>
      <c r="AE15" s="14">
        <v>0.03</v>
      </c>
      <c r="AF15" s="14">
        <v>0.04</v>
      </c>
    </row>
    <row r="16" spans="1:32" x14ac:dyDescent="0.25">
      <c r="A16" s="19"/>
      <c r="B16" s="11" t="s">
        <v>417</v>
      </c>
      <c r="C16" s="12">
        <v>935</v>
      </c>
      <c r="D16" s="12">
        <v>30</v>
      </c>
      <c r="E16" s="12">
        <v>59</v>
      </c>
      <c r="F16" s="12">
        <v>73</v>
      </c>
      <c r="G16" s="12">
        <v>72</v>
      </c>
      <c r="H16" s="12">
        <v>48</v>
      </c>
      <c r="I16" s="12">
        <v>66</v>
      </c>
      <c r="J16" s="12">
        <v>18</v>
      </c>
      <c r="K16" s="12">
        <v>84</v>
      </c>
      <c r="L16" s="12">
        <v>21</v>
      </c>
      <c r="M16" s="12">
        <v>21</v>
      </c>
      <c r="N16" s="12">
        <v>16</v>
      </c>
      <c r="O16" s="12">
        <v>37</v>
      </c>
      <c r="P16" s="12">
        <v>40</v>
      </c>
      <c r="Q16" s="12">
        <v>15</v>
      </c>
      <c r="R16" s="12">
        <v>17</v>
      </c>
      <c r="S16" s="12">
        <v>47</v>
      </c>
      <c r="T16" s="12">
        <v>53</v>
      </c>
      <c r="U16" s="12">
        <v>9</v>
      </c>
      <c r="V16" s="12">
        <v>66</v>
      </c>
      <c r="W16" s="12">
        <v>10</v>
      </c>
      <c r="X16" s="12">
        <v>27</v>
      </c>
      <c r="Y16" s="12">
        <v>48</v>
      </c>
      <c r="Z16" s="12">
        <v>28</v>
      </c>
      <c r="AA16" s="12">
        <v>90</v>
      </c>
      <c r="AB16" s="12">
        <v>24</v>
      </c>
      <c r="AC16" s="12">
        <v>78</v>
      </c>
      <c r="AD16" s="12">
        <v>88</v>
      </c>
      <c r="AE16" s="12">
        <v>53</v>
      </c>
      <c r="AF16" s="12">
        <v>55</v>
      </c>
    </row>
    <row r="17" spans="1:32" x14ac:dyDescent="0.25">
      <c r="A17" s="19"/>
      <c r="B17" s="13" t="s">
        <v>417</v>
      </c>
      <c r="C17" s="14">
        <v>0.04</v>
      </c>
      <c r="D17" s="14">
        <v>0.03</v>
      </c>
      <c r="E17" s="14">
        <v>0.06</v>
      </c>
      <c r="F17" s="14">
        <v>7.0000000000000007E-2</v>
      </c>
      <c r="G17" s="14">
        <v>7.0000000000000007E-2</v>
      </c>
      <c r="H17" s="14">
        <v>0.04</v>
      </c>
      <c r="I17" s="14">
        <v>0.04</v>
      </c>
      <c r="J17" s="14">
        <v>0.06</v>
      </c>
      <c r="K17" s="14">
        <v>0.08</v>
      </c>
      <c r="L17" s="14">
        <v>0.02</v>
      </c>
      <c r="M17" s="14">
        <v>0.02</v>
      </c>
      <c r="N17" s="14">
        <v>0.02</v>
      </c>
      <c r="O17" s="14">
        <v>0.04</v>
      </c>
      <c r="P17" s="14">
        <v>0.04</v>
      </c>
      <c r="Q17" s="14">
        <v>0.01</v>
      </c>
      <c r="R17" s="14">
        <v>0.04</v>
      </c>
      <c r="S17" s="14">
        <v>0.05</v>
      </c>
      <c r="T17" s="14">
        <v>0.05</v>
      </c>
      <c r="U17" s="14">
        <v>0.02</v>
      </c>
      <c r="V17" s="14">
        <v>0.06</v>
      </c>
      <c r="W17" s="14">
        <v>0.02</v>
      </c>
      <c r="X17" s="14">
        <v>0.03</v>
      </c>
      <c r="Y17" s="14">
        <v>0.05</v>
      </c>
      <c r="Z17" s="14">
        <v>0.03</v>
      </c>
      <c r="AA17" s="14">
        <v>0.09</v>
      </c>
      <c r="AB17" s="14">
        <v>0.02</v>
      </c>
      <c r="AC17" s="14">
        <v>0.08</v>
      </c>
      <c r="AD17" s="14">
        <v>0.09</v>
      </c>
      <c r="AE17" s="14">
        <v>0.05</v>
      </c>
      <c r="AF17" s="14">
        <v>0.05</v>
      </c>
    </row>
    <row r="18" spans="1:32" x14ac:dyDescent="0.25">
      <c r="A18" s="19"/>
      <c r="B18" s="11" t="s">
        <v>418</v>
      </c>
      <c r="C18" s="12">
        <v>1180</v>
      </c>
      <c r="D18" s="12">
        <v>59</v>
      </c>
      <c r="E18" s="12">
        <v>84</v>
      </c>
      <c r="F18" s="12">
        <v>84</v>
      </c>
      <c r="G18" s="12">
        <v>72</v>
      </c>
      <c r="H18" s="12">
        <v>59</v>
      </c>
      <c r="I18" s="12">
        <v>77</v>
      </c>
      <c r="J18" s="12">
        <v>18</v>
      </c>
      <c r="K18" s="12">
        <v>90</v>
      </c>
      <c r="L18" s="12">
        <v>27</v>
      </c>
      <c r="M18" s="12">
        <v>27</v>
      </c>
      <c r="N18" s="12">
        <v>23</v>
      </c>
      <c r="O18" s="12">
        <v>38</v>
      </c>
      <c r="P18" s="12">
        <v>54</v>
      </c>
      <c r="Q18" s="12">
        <v>36</v>
      </c>
      <c r="R18" s="12">
        <v>16</v>
      </c>
      <c r="S18" s="12">
        <v>80</v>
      </c>
      <c r="T18" s="12">
        <v>66</v>
      </c>
      <c r="U18" s="12">
        <v>25</v>
      </c>
      <c r="V18" s="12">
        <v>91</v>
      </c>
      <c r="W18" s="12">
        <v>29</v>
      </c>
      <c r="X18" s="12">
        <v>43</v>
      </c>
      <c r="Y18" s="12">
        <v>69</v>
      </c>
      <c r="Z18" s="12">
        <v>33</v>
      </c>
      <c r="AA18" s="12">
        <v>61</v>
      </c>
      <c r="AB18" s="12">
        <v>39</v>
      </c>
      <c r="AC18" s="12">
        <v>62</v>
      </c>
      <c r="AD18" s="12">
        <v>78</v>
      </c>
      <c r="AE18" s="12">
        <v>80</v>
      </c>
      <c r="AF18" s="12">
        <v>63</v>
      </c>
    </row>
    <row r="19" spans="1:32" x14ac:dyDescent="0.25">
      <c r="A19" s="19"/>
      <c r="B19" s="13" t="s">
        <v>418</v>
      </c>
      <c r="C19" s="14">
        <v>0.04</v>
      </c>
      <c r="D19" s="14">
        <v>0.06</v>
      </c>
      <c r="E19" s="14">
        <v>0.08</v>
      </c>
      <c r="F19" s="14">
        <v>0.08</v>
      </c>
      <c r="G19" s="14">
        <v>7.0000000000000007E-2</v>
      </c>
      <c r="H19" s="14">
        <v>0.05</v>
      </c>
      <c r="I19" s="14">
        <v>0.05</v>
      </c>
      <c r="J19" s="14">
        <v>0.06</v>
      </c>
      <c r="K19" s="14">
        <v>0.09</v>
      </c>
      <c r="L19" s="14">
        <v>0.03</v>
      </c>
      <c r="M19" s="14">
        <v>0.03</v>
      </c>
      <c r="N19" s="14">
        <v>0.02</v>
      </c>
      <c r="O19" s="14">
        <v>0.04</v>
      </c>
      <c r="P19" s="14">
        <v>0.05</v>
      </c>
      <c r="Q19" s="14">
        <v>0.04</v>
      </c>
      <c r="R19" s="14">
        <v>0.03</v>
      </c>
      <c r="S19" s="14">
        <v>0.08</v>
      </c>
      <c r="T19" s="14">
        <v>0.06</v>
      </c>
      <c r="U19" s="14">
        <v>0.05</v>
      </c>
      <c r="V19" s="14">
        <v>0.09</v>
      </c>
      <c r="W19" s="14">
        <v>0.06</v>
      </c>
      <c r="X19" s="14">
        <v>0.04</v>
      </c>
      <c r="Y19" s="14">
        <v>7.0000000000000007E-2</v>
      </c>
      <c r="Z19" s="14">
        <v>0.03</v>
      </c>
      <c r="AA19" s="14">
        <v>0.06</v>
      </c>
      <c r="AB19" s="14">
        <v>0.04</v>
      </c>
      <c r="AC19" s="14">
        <v>0.06</v>
      </c>
      <c r="AD19" s="14">
        <v>0.08</v>
      </c>
      <c r="AE19" s="14">
        <v>0.08</v>
      </c>
      <c r="AF19" s="14">
        <v>0.06</v>
      </c>
    </row>
    <row r="20" spans="1:32" x14ac:dyDescent="0.25">
      <c r="A20" s="19"/>
      <c r="B20" s="11" t="s">
        <v>419</v>
      </c>
      <c r="C20" s="12">
        <v>2796</v>
      </c>
      <c r="D20" s="12">
        <v>110</v>
      </c>
      <c r="E20" s="12">
        <v>118</v>
      </c>
      <c r="F20" s="12">
        <v>163</v>
      </c>
      <c r="G20" s="12">
        <v>136</v>
      </c>
      <c r="H20" s="12">
        <v>197</v>
      </c>
      <c r="I20" s="12">
        <v>237</v>
      </c>
      <c r="J20" s="12">
        <v>40</v>
      </c>
      <c r="K20" s="12">
        <v>136</v>
      </c>
      <c r="L20" s="12">
        <v>64</v>
      </c>
      <c r="M20" s="12">
        <v>79</v>
      </c>
      <c r="N20" s="12">
        <v>66</v>
      </c>
      <c r="O20" s="12">
        <v>118</v>
      </c>
      <c r="P20" s="12">
        <v>103</v>
      </c>
      <c r="Q20" s="12">
        <v>60</v>
      </c>
      <c r="R20" s="12">
        <v>27</v>
      </c>
      <c r="S20" s="12">
        <v>154</v>
      </c>
      <c r="T20" s="12">
        <v>173</v>
      </c>
      <c r="U20" s="12">
        <v>35</v>
      </c>
      <c r="V20" s="12">
        <v>130</v>
      </c>
      <c r="W20" s="12">
        <v>37</v>
      </c>
      <c r="X20" s="12">
        <v>83</v>
      </c>
      <c r="Y20" s="12">
        <v>110</v>
      </c>
      <c r="Z20" s="12">
        <v>100</v>
      </c>
      <c r="AA20" s="12">
        <v>87</v>
      </c>
      <c r="AB20" s="12">
        <v>100</v>
      </c>
      <c r="AC20" s="12">
        <v>127</v>
      </c>
      <c r="AD20" s="12">
        <v>149</v>
      </c>
      <c r="AE20" s="12">
        <v>112</v>
      </c>
      <c r="AF20" s="12">
        <v>111</v>
      </c>
    </row>
    <row r="21" spans="1:32" x14ac:dyDescent="0.25">
      <c r="A21" s="19"/>
      <c r="B21" s="13" t="s">
        <v>419</v>
      </c>
      <c r="C21" s="14">
        <v>0.11</v>
      </c>
      <c r="D21" s="14">
        <v>0.11</v>
      </c>
      <c r="E21" s="14">
        <v>0.11</v>
      </c>
      <c r="F21" s="14">
        <v>0.15</v>
      </c>
      <c r="G21" s="14">
        <v>0.13</v>
      </c>
      <c r="H21" s="14">
        <v>0.16</v>
      </c>
      <c r="I21" s="14">
        <v>0.15</v>
      </c>
      <c r="J21" s="14">
        <v>0.13</v>
      </c>
      <c r="K21" s="14">
        <v>0.13</v>
      </c>
      <c r="L21" s="14">
        <v>0.06</v>
      </c>
      <c r="M21" s="14">
        <v>0.08</v>
      </c>
      <c r="N21" s="14">
        <v>7.0000000000000007E-2</v>
      </c>
      <c r="O21" s="14">
        <v>0.12</v>
      </c>
      <c r="P21" s="14">
        <v>0.1</v>
      </c>
      <c r="Q21" s="14">
        <v>0.06</v>
      </c>
      <c r="R21" s="14">
        <v>0.05</v>
      </c>
      <c r="S21" s="14">
        <v>0.15</v>
      </c>
      <c r="T21" s="14">
        <v>0.17</v>
      </c>
      <c r="U21" s="14">
        <v>7.0000000000000007E-2</v>
      </c>
      <c r="V21" s="14">
        <v>0.13</v>
      </c>
      <c r="W21" s="14">
        <v>7.0000000000000007E-2</v>
      </c>
      <c r="X21" s="14">
        <v>0.08</v>
      </c>
      <c r="Y21" s="14">
        <v>0.11</v>
      </c>
      <c r="Z21" s="14">
        <v>0.1</v>
      </c>
      <c r="AA21" s="14">
        <v>0.08</v>
      </c>
      <c r="AB21" s="14">
        <v>0.1</v>
      </c>
      <c r="AC21" s="14">
        <v>0.12</v>
      </c>
      <c r="AD21" s="14">
        <v>0.15</v>
      </c>
      <c r="AE21" s="14">
        <v>0.11</v>
      </c>
      <c r="AF21" s="14">
        <v>0.11</v>
      </c>
    </row>
    <row r="22" spans="1:32" x14ac:dyDescent="0.25">
      <c r="A22" s="19"/>
      <c r="B22" s="11" t="s">
        <v>420</v>
      </c>
      <c r="C22" s="12">
        <v>3034</v>
      </c>
      <c r="D22" s="12">
        <v>139</v>
      </c>
      <c r="E22" s="12">
        <v>128</v>
      </c>
      <c r="F22" s="12">
        <v>191</v>
      </c>
      <c r="G22" s="12">
        <v>83</v>
      </c>
      <c r="H22" s="12">
        <v>168</v>
      </c>
      <c r="I22" s="12">
        <v>213</v>
      </c>
      <c r="J22" s="12">
        <v>44</v>
      </c>
      <c r="K22" s="12">
        <v>106</v>
      </c>
      <c r="L22" s="12">
        <v>80</v>
      </c>
      <c r="M22" s="12">
        <v>94</v>
      </c>
      <c r="N22" s="12">
        <v>98</v>
      </c>
      <c r="O22" s="12">
        <v>100</v>
      </c>
      <c r="P22" s="12">
        <v>133</v>
      </c>
      <c r="Q22" s="12">
        <v>85</v>
      </c>
      <c r="R22" s="12">
        <v>55</v>
      </c>
      <c r="S22" s="12">
        <v>79</v>
      </c>
      <c r="T22" s="12">
        <v>133</v>
      </c>
      <c r="U22" s="12">
        <v>54</v>
      </c>
      <c r="V22" s="12">
        <v>148</v>
      </c>
      <c r="W22" s="12">
        <v>50</v>
      </c>
      <c r="X22" s="12">
        <v>154</v>
      </c>
      <c r="Y22" s="12">
        <v>113</v>
      </c>
      <c r="Z22" s="12">
        <v>121</v>
      </c>
      <c r="AA22" s="12">
        <v>80</v>
      </c>
      <c r="AB22" s="12">
        <v>138</v>
      </c>
      <c r="AC22" s="12">
        <v>89</v>
      </c>
      <c r="AD22" s="12">
        <v>136</v>
      </c>
      <c r="AE22" s="12">
        <v>136</v>
      </c>
      <c r="AF22" s="12">
        <v>132</v>
      </c>
    </row>
    <row r="23" spans="1:32" x14ac:dyDescent="0.25">
      <c r="A23" s="19"/>
      <c r="B23" s="13" t="s">
        <v>420</v>
      </c>
      <c r="C23" s="14">
        <v>0.11</v>
      </c>
      <c r="D23" s="14">
        <v>0.14000000000000001</v>
      </c>
      <c r="E23" s="14">
        <v>0.12</v>
      </c>
      <c r="F23" s="14">
        <v>0.18</v>
      </c>
      <c r="G23" s="14">
        <v>0.08</v>
      </c>
      <c r="H23" s="14">
        <v>0.14000000000000001</v>
      </c>
      <c r="I23" s="14">
        <v>0.14000000000000001</v>
      </c>
      <c r="J23" s="14">
        <v>0.15</v>
      </c>
      <c r="K23" s="14">
        <v>0.11</v>
      </c>
      <c r="L23" s="14">
        <v>0.08</v>
      </c>
      <c r="M23" s="14">
        <v>0.09</v>
      </c>
      <c r="N23" s="14">
        <v>0.1</v>
      </c>
      <c r="O23" s="14">
        <v>0.1</v>
      </c>
      <c r="P23" s="14">
        <v>0.13</v>
      </c>
      <c r="Q23" s="14">
        <v>0.08</v>
      </c>
      <c r="R23" s="14">
        <v>0.11</v>
      </c>
      <c r="S23" s="14">
        <v>0.08</v>
      </c>
      <c r="T23" s="14">
        <v>0.13</v>
      </c>
      <c r="U23" s="14">
        <v>0.1</v>
      </c>
      <c r="V23" s="14">
        <v>0.14000000000000001</v>
      </c>
      <c r="W23" s="14">
        <v>0.1</v>
      </c>
      <c r="X23" s="14">
        <v>0.15</v>
      </c>
      <c r="Y23" s="14">
        <v>0.11</v>
      </c>
      <c r="Z23" s="14">
        <v>0.12</v>
      </c>
      <c r="AA23" s="14">
        <v>0.08</v>
      </c>
      <c r="AB23" s="14">
        <v>0.13</v>
      </c>
      <c r="AC23" s="14">
        <v>0.09</v>
      </c>
      <c r="AD23" s="14">
        <v>0.14000000000000001</v>
      </c>
      <c r="AE23" s="14">
        <v>0.14000000000000001</v>
      </c>
      <c r="AF23" s="14">
        <v>0.13</v>
      </c>
    </row>
    <row r="24" spans="1:32" x14ac:dyDescent="0.25">
      <c r="A24" s="19"/>
      <c r="B24" s="11" t="s">
        <v>421</v>
      </c>
      <c r="C24" s="12">
        <v>4381</v>
      </c>
      <c r="D24" s="12">
        <v>196</v>
      </c>
      <c r="E24" s="12">
        <v>131</v>
      </c>
      <c r="F24" s="12">
        <v>139</v>
      </c>
      <c r="G24" s="12">
        <v>159</v>
      </c>
      <c r="H24" s="12">
        <v>192</v>
      </c>
      <c r="I24" s="12">
        <v>241</v>
      </c>
      <c r="J24" s="12">
        <v>49</v>
      </c>
      <c r="K24" s="12">
        <v>133</v>
      </c>
      <c r="L24" s="12">
        <v>166</v>
      </c>
      <c r="M24" s="12">
        <v>174</v>
      </c>
      <c r="N24" s="12">
        <v>141</v>
      </c>
      <c r="O24" s="12">
        <v>180</v>
      </c>
      <c r="P24" s="12">
        <v>156</v>
      </c>
      <c r="Q24" s="12">
        <v>168</v>
      </c>
      <c r="R24" s="12">
        <v>92</v>
      </c>
      <c r="S24" s="12">
        <v>116</v>
      </c>
      <c r="T24" s="12">
        <v>148</v>
      </c>
      <c r="U24" s="12">
        <v>105</v>
      </c>
      <c r="V24" s="12">
        <v>172</v>
      </c>
      <c r="W24" s="12">
        <v>80</v>
      </c>
      <c r="X24" s="12">
        <v>178</v>
      </c>
      <c r="Y24" s="12">
        <v>147</v>
      </c>
      <c r="Z24" s="12">
        <v>203</v>
      </c>
      <c r="AA24" s="12">
        <v>156</v>
      </c>
      <c r="AB24" s="12">
        <v>211</v>
      </c>
      <c r="AC24" s="12">
        <v>129</v>
      </c>
      <c r="AD24" s="12">
        <v>177</v>
      </c>
      <c r="AE24" s="12">
        <v>131</v>
      </c>
      <c r="AF24" s="12">
        <v>187</v>
      </c>
    </row>
    <row r="25" spans="1:32" x14ac:dyDescent="0.25">
      <c r="A25" s="19"/>
      <c r="B25" s="13" t="s">
        <v>421</v>
      </c>
      <c r="C25" s="14">
        <v>0.17</v>
      </c>
      <c r="D25" s="14">
        <v>0.19</v>
      </c>
      <c r="E25" s="14">
        <v>0.12</v>
      </c>
      <c r="F25" s="14">
        <v>0.13</v>
      </c>
      <c r="G25" s="14">
        <v>0.16</v>
      </c>
      <c r="H25" s="14">
        <v>0.15</v>
      </c>
      <c r="I25" s="14">
        <v>0.16</v>
      </c>
      <c r="J25" s="14">
        <v>0.17</v>
      </c>
      <c r="K25" s="14">
        <v>0.13</v>
      </c>
      <c r="L25" s="14">
        <v>0.16</v>
      </c>
      <c r="M25" s="14">
        <v>0.17</v>
      </c>
      <c r="N25" s="14">
        <v>0.14000000000000001</v>
      </c>
      <c r="O25" s="14">
        <v>0.18</v>
      </c>
      <c r="P25" s="14">
        <v>0.16</v>
      </c>
      <c r="Q25" s="14">
        <v>0.16</v>
      </c>
      <c r="R25" s="14">
        <v>0.18</v>
      </c>
      <c r="S25" s="14">
        <v>0.11</v>
      </c>
      <c r="T25" s="14">
        <v>0.15</v>
      </c>
      <c r="U25" s="14">
        <v>0.21</v>
      </c>
      <c r="V25" s="14">
        <v>0.17</v>
      </c>
      <c r="W25" s="14">
        <v>0.16</v>
      </c>
      <c r="X25" s="14">
        <v>0.18</v>
      </c>
      <c r="Y25" s="14">
        <v>0.15</v>
      </c>
      <c r="Z25" s="14">
        <v>0.2</v>
      </c>
      <c r="AA25" s="14">
        <v>0.15</v>
      </c>
      <c r="AB25" s="14">
        <v>0.2</v>
      </c>
      <c r="AC25" s="14">
        <v>0.13</v>
      </c>
      <c r="AD25" s="14">
        <v>0.18</v>
      </c>
      <c r="AE25" s="14">
        <v>0.13</v>
      </c>
      <c r="AF25" s="14">
        <v>0.18</v>
      </c>
    </row>
    <row r="26" spans="1:32" x14ac:dyDescent="0.25">
      <c r="A26" s="19"/>
      <c r="B26" s="11" t="s">
        <v>422</v>
      </c>
      <c r="C26" s="12">
        <v>5656</v>
      </c>
      <c r="D26" s="12">
        <v>232</v>
      </c>
      <c r="E26" s="12">
        <v>144</v>
      </c>
      <c r="F26" s="12">
        <v>135</v>
      </c>
      <c r="G26" s="12">
        <v>172</v>
      </c>
      <c r="H26" s="12">
        <v>198</v>
      </c>
      <c r="I26" s="12">
        <v>253</v>
      </c>
      <c r="J26" s="12">
        <v>55</v>
      </c>
      <c r="K26" s="12">
        <v>103</v>
      </c>
      <c r="L26" s="12">
        <v>212</v>
      </c>
      <c r="M26" s="12">
        <v>266</v>
      </c>
      <c r="N26" s="12">
        <v>225</v>
      </c>
      <c r="O26" s="12">
        <v>225</v>
      </c>
      <c r="P26" s="12">
        <v>172</v>
      </c>
      <c r="Q26" s="12">
        <v>306</v>
      </c>
      <c r="R26" s="12">
        <v>111</v>
      </c>
      <c r="S26" s="12">
        <v>148</v>
      </c>
      <c r="T26" s="12">
        <v>117</v>
      </c>
      <c r="U26" s="12">
        <v>97</v>
      </c>
      <c r="V26" s="12">
        <v>187</v>
      </c>
      <c r="W26" s="12">
        <v>94</v>
      </c>
      <c r="X26" s="12">
        <v>231</v>
      </c>
      <c r="Y26" s="12">
        <v>184</v>
      </c>
      <c r="Z26" s="12">
        <v>260</v>
      </c>
      <c r="AA26" s="12">
        <v>188</v>
      </c>
      <c r="AB26" s="12">
        <v>216</v>
      </c>
      <c r="AC26" s="12">
        <v>131</v>
      </c>
      <c r="AD26" s="12">
        <v>142</v>
      </c>
      <c r="AE26" s="12">
        <v>186</v>
      </c>
      <c r="AF26" s="12">
        <v>185</v>
      </c>
    </row>
    <row r="27" spans="1:32" x14ac:dyDescent="0.25">
      <c r="A27" s="19"/>
      <c r="B27" s="13" t="s">
        <v>422</v>
      </c>
      <c r="C27" s="14">
        <v>0.21</v>
      </c>
      <c r="D27" s="14">
        <v>0.23</v>
      </c>
      <c r="E27" s="14">
        <v>0.14000000000000001</v>
      </c>
      <c r="F27" s="14">
        <v>0.13</v>
      </c>
      <c r="G27" s="14">
        <v>0.17</v>
      </c>
      <c r="H27" s="14">
        <v>0.16</v>
      </c>
      <c r="I27" s="14">
        <v>0.17</v>
      </c>
      <c r="J27" s="14">
        <v>0.18</v>
      </c>
      <c r="K27" s="14">
        <v>0.1</v>
      </c>
      <c r="L27" s="14">
        <v>0.21</v>
      </c>
      <c r="M27" s="14">
        <v>0.27</v>
      </c>
      <c r="N27" s="14">
        <v>0.22</v>
      </c>
      <c r="O27" s="14">
        <v>0.22</v>
      </c>
      <c r="P27" s="14">
        <v>0.17</v>
      </c>
      <c r="Q27" s="14">
        <v>0.3</v>
      </c>
      <c r="R27" s="14">
        <v>0.22</v>
      </c>
      <c r="S27" s="14">
        <v>0.15</v>
      </c>
      <c r="T27" s="14">
        <v>0.11</v>
      </c>
      <c r="U27" s="14">
        <v>0.19</v>
      </c>
      <c r="V27" s="14">
        <v>0.18</v>
      </c>
      <c r="W27" s="14">
        <v>0.19</v>
      </c>
      <c r="X27" s="14">
        <v>0.23</v>
      </c>
      <c r="Y27" s="14">
        <v>0.18</v>
      </c>
      <c r="Z27" s="14">
        <v>0.25</v>
      </c>
      <c r="AA27" s="14">
        <v>0.18</v>
      </c>
      <c r="AB27" s="14">
        <v>0.21</v>
      </c>
      <c r="AC27" s="14">
        <v>0.13</v>
      </c>
      <c r="AD27" s="14">
        <v>0.14000000000000001</v>
      </c>
      <c r="AE27" s="14">
        <v>0.19</v>
      </c>
      <c r="AF27" s="14">
        <v>0.18</v>
      </c>
    </row>
    <row r="28" spans="1:32" x14ac:dyDescent="0.25">
      <c r="A28" s="19"/>
      <c r="B28" s="11" t="s">
        <v>423</v>
      </c>
      <c r="C28" s="12">
        <v>3067</v>
      </c>
      <c r="D28" s="12">
        <v>106</v>
      </c>
      <c r="E28" s="12">
        <v>80</v>
      </c>
      <c r="F28" s="12">
        <v>81</v>
      </c>
      <c r="G28" s="12">
        <v>77</v>
      </c>
      <c r="H28" s="12">
        <v>101</v>
      </c>
      <c r="I28" s="12">
        <v>121</v>
      </c>
      <c r="J28" s="12">
        <v>20</v>
      </c>
      <c r="K28" s="12">
        <v>60</v>
      </c>
      <c r="L28" s="12">
        <v>140</v>
      </c>
      <c r="M28" s="12">
        <v>161</v>
      </c>
      <c r="N28" s="12">
        <v>159</v>
      </c>
      <c r="O28" s="12">
        <v>104</v>
      </c>
      <c r="P28" s="12">
        <v>108</v>
      </c>
      <c r="Q28" s="12">
        <v>165</v>
      </c>
      <c r="R28" s="12">
        <v>57</v>
      </c>
      <c r="S28" s="12">
        <v>98</v>
      </c>
      <c r="T28" s="12">
        <v>47</v>
      </c>
      <c r="U28" s="12">
        <v>66</v>
      </c>
      <c r="V28" s="12">
        <v>79</v>
      </c>
      <c r="W28" s="12">
        <v>80</v>
      </c>
      <c r="X28" s="12">
        <v>144</v>
      </c>
      <c r="Y28" s="12">
        <v>105</v>
      </c>
      <c r="Z28" s="12">
        <v>121</v>
      </c>
      <c r="AA28" s="12">
        <v>121</v>
      </c>
      <c r="AB28" s="12">
        <v>135</v>
      </c>
      <c r="AC28" s="12">
        <v>80</v>
      </c>
      <c r="AD28" s="12">
        <v>73</v>
      </c>
      <c r="AE28" s="12">
        <v>103</v>
      </c>
      <c r="AF28" s="12">
        <v>113</v>
      </c>
    </row>
    <row r="29" spans="1:32" x14ac:dyDescent="0.25">
      <c r="A29" s="19"/>
      <c r="B29" s="13" t="s">
        <v>423</v>
      </c>
      <c r="C29" s="14">
        <v>0.12</v>
      </c>
      <c r="D29" s="14">
        <v>0.1</v>
      </c>
      <c r="E29" s="14">
        <v>0.08</v>
      </c>
      <c r="F29" s="14">
        <v>7.0000000000000007E-2</v>
      </c>
      <c r="G29" s="14">
        <v>0.08</v>
      </c>
      <c r="H29" s="14">
        <v>0.08</v>
      </c>
      <c r="I29" s="14">
        <v>0.08</v>
      </c>
      <c r="J29" s="14">
        <v>7.0000000000000007E-2</v>
      </c>
      <c r="K29" s="14">
        <v>0.06</v>
      </c>
      <c r="L29" s="14">
        <v>0.14000000000000001</v>
      </c>
      <c r="M29" s="14">
        <v>0.16</v>
      </c>
      <c r="N29" s="14">
        <v>0.16</v>
      </c>
      <c r="O29" s="14">
        <v>0.1</v>
      </c>
      <c r="P29" s="14">
        <v>0.11</v>
      </c>
      <c r="Q29" s="14">
        <v>0.16</v>
      </c>
      <c r="R29" s="14">
        <v>0.11</v>
      </c>
      <c r="S29" s="14">
        <v>0.1</v>
      </c>
      <c r="T29" s="14">
        <v>0.05</v>
      </c>
      <c r="U29" s="14">
        <v>0.13</v>
      </c>
      <c r="V29" s="14">
        <v>0.08</v>
      </c>
      <c r="W29" s="14">
        <v>0.16</v>
      </c>
      <c r="X29" s="14">
        <v>0.14000000000000001</v>
      </c>
      <c r="Y29" s="14">
        <v>0.11</v>
      </c>
      <c r="Z29" s="14">
        <v>0.12</v>
      </c>
      <c r="AA29" s="14">
        <v>0.12</v>
      </c>
      <c r="AB29" s="14">
        <v>0.13</v>
      </c>
      <c r="AC29" s="14">
        <v>0.08</v>
      </c>
      <c r="AD29" s="14">
        <v>7.0000000000000007E-2</v>
      </c>
      <c r="AE29" s="14">
        <v>0.1</v>
      </c>
      <c r="AF29" s="14">
        <v>0.11</v>
      </c>
    </row>
    <row r="30" spans="1:32" ht="23.25" x14ac:dyDescent="0.25">
      <c r="A30" s="19"/>
      <c r="B30" s="11" t="s">
        <v>424</v>
      </c>
      <c r="C30" s="12">
        <v>3445</v>
      </c>
      <c r="D30" s="12">
        <v>104</v>
      </c>
      <c r="E30" s="12">
        <v>144</v>
      </c>
      <c r="F30" s="12">
        <v>97</v>
      </c>
      <c r="G30" s="12">
        <v>122</v>
      </c>
      <c r="H30" s="12">
        <v>119</v>
      </c>
      <c r="I30" s="12">
        <v>150</v>
      </c>
      <c r="J30" s="12">
        <v>31</v>
      </c>
      <c r="K30" s="12">
        <v>86</v>
      </c>
      <c r="L30" s="12">
        <v>220</v>
      </c>
      <c r="M30" s="12">
        <v>120</v>
      </c>
      <c r="N30" s="12">
        <v>208</v>
      </c>
      <c r="O30" s="12">
        <v>142</v>
      </c>
      <c r="P30" s="12">
        <v>196</v>
      </c>
      <c r="Q30" s="12">
        <v>151</v>
      </c>
      <c r="R30" s="12">
        <v>104</v>
      </c>
      <c r="S30" s="12">
        <v>131</v>
      </c>
      <c r="T30" s="12">
        <v>95</v>
      </c>
      <c r="U30" s="12">
        <v>98</v>
      </c>
      <c r="V30" s="12">
        <v>92</v>
      </c>
      <c r="W30" s="12">
        <v>91</v>
      </c>
      <c r="X30" s="12">
        <v>120</v>
      </c>
      <c r="Y30" s="12">
        <v>151</v>
      </c>
      <c r="Z30" s="12">
        <v>113</v>
      </c>
      <c r="AA30" s="12">
        <v>141</v>
      </c>
      <c r="AB30" s="12">
        <v>76</v>
      </c>
      <c r="AC30" s="12">
        <v>203</v>
      </c>
      <c r="AD30" s="12">
        <v>65</v>
      </c>
      <c r="AE30" s="12">
        <v>107</v>
      </c>
      <c r="AF30" s="12">
        <v>120</v>
      </c>
    </row>
    <row r="31" spans="1:32" x14ac:dyDescent="0.25">
      <c r="A31" s="19"/>
      <c r="B31" s="13" t="s">
        <v>425</v>
      </c>
      <c r="C31" s="14">
        <v>0.13</v>
      </c>
      <c r="D31" s="14">
        <v>0.1</v>
      </c>
      <c r="E31" s="14">
        <v>0.14000000000000001</v>
      </c>
      <c r="F31" s="14">
        <v>0.09</v>
      </c>
      <c r="G31" s="14">
        <v>0.12</v>
      </c>
      <c r="H31" s="14">
        <v>0.1</v>
      </c>
      <c r="I31" s="14">
        <v>0.1</v>
      </c>
      <c r="J31" s="14">
        <v>0.1</v>
      </c>
      <c r="K31" s="14">
        <v>0.09</v>
      </c>
      <c r="L31" s="14">
        <v>0.22</v>
      </c>
      <c r="M31" s="14">
        <v>0.12</v>
      </c>
      <c r="N31" s="14">
        <v>0.2</v>
      </c>
      <c r="O31" s="14">
        <v>0.14000000000000001</v>
      </c>
      <c r="P31" s="14">
        <v>0.2</v>
      </c>
      <c r="Q31" s="14">
        <v>0.15</v>
      </c>
      <c r="R31" s="14">
        <v>0.21</v>
      </c>
      <c r="S31" s="14">
        <v>0.13</v>
      </c>
      <c r="T31" s="14">
        <v>0.09</v>
      </c>
      <c r="U31" s="14">
        <v>0.19</v>
      </c>
      <c r="V31" s="14">
        <v>0.09</v>
      </c>
      <c r="W31" s="14">
        <v>0.18</v>
      </c>
      <c r="X31" s="14">
        <v>0.12</v>
      </c>
      <c r="Y31" s="14">
        <v>0.15</v>
      </c>
      <c r="Z31" s="14">
        <v>0.11</v>
      </c>
      <c r="AA31" s="14">
        <v>0.14000000000000001</v>
      </c>
      <c r="AB31" s="14">
        <v>7.0000000000000007E-2</v>
      </c>
      <c r="AC31" s="14">
        <v>0.2</v>
      </c>
      <c r="AD31" s="14">
        <v>0.06</v>
      </c>
      <c r="AE31" s="14">
        <v>0.11</v>
      </c>
      <c r="AF31" s="14">
        <v>0.12</v>
      </c>
    </row>
    <row r="32" spans="1:32" x14ac:dyDescent="0.25">
      <c r="A32" s="19"/>
      <c r="B32" s="11" t="s">
        <v>224</v>
      </c>
      <c r="C32" s="12">
        <v>615</v>
      </c>
      <c r="D32" s="12">
        <v>4</v>
      </c>
      <c r="E32" s="12">
        <v>53</v>
      </c>
      <c r="F32" s="12">
        <v>17</v>
      </c>
      <c r="G32" s="12">
        <v>19</v>
      </c>
      <c r="H32" s="12">
        <v>29</v>
      </c>
      <c r="I32" s="12">
        <v>31</v>
      </c>
      <c r="J32" s="12">
        <v>2</v>
      </c>
      <c r="K32" s="12">
        <v>53</v>
      </c>
      <c r="L32" s="12">
        <v>11</v>
      </c>
      <c r="M32" s="12">
        <v>41</v>
      </c>
      <c r="N32" s="12">
        <v>33</v>
      </c>
      <c r="O32" s="12">
        <v>25</v>
      </c>
      <c r="P32" s="12">
        <v>14</v>
      </c>
      <c r="Q32" s="12">
        <v>14</v>
      </c>
      <c r="R32" s="12">
        <v>13</v>
      </c>
      <c r="S32" s="12">
        <v>49</v>
      </c>
      <c r="T32" s="12">
        <v>80</v>
      </c>
      <c r="U32" s="12">
        <v>5</v>
      </c>
      <c r="V32" s="12">
        <v>16</v>
      </c>
      <c r="W32" s="12">
        <v>10</v>
      </c>
      <c r="X32" s="12">
        <v>4</v>
      </c>
      <c r="Y32" s="12">
        <v>30</v>
      </c>
      <c r="Z32" s="12">
        <v>20</v>
      </c>
      <c r="AA32" s="12">
        <v>77</v>
      </c>
      <c r="AB32" s="12">
        <v>32</v>
      </c>
      <c r="AC32" s="12">
        <v>17</v>
      </c>
      <c r="AD32" s="12">
        <v>25</v>
      </c>
      <c r="AE32" s="12">
        <v>25</v>
      </c>
      <c r="AF32" s="12">
        <v>4</v>
      </c>
    </row>
    <row r="33" spans="1:32" x14ac:dyDescent="0.25">
      <c r="A33" s="19"/>
      <c r="B33" s="13" t="s">
        <v>237</v>
      </c>
      <c r="C33" s="14">
        <v>0.02</v>
      </c>
      <c r="D33" s="15" t="s">
        <v>213</v>
      </c>
      <c r="E33" s="14">
        <v>0.05</v>
      </c>
      <c r="F33" s="14">
        <v>0.02</v>
      </c>
      <c r="G33" s="14">
        <v>0.02</v>
      </c>
      <c r="H33" s="14">
        <v>0.02</v>
      </c>
      <c r="I33" s="14">
        <v>0.02</v>
      </c>
      <c r="J33" s="14">
        <v>0.01</v>
      </c>
      <c r="K33" s="14">
        <v>0.05</v>
      </c>
      <c r="L33" s="14">
        <v>0.01</v>
      </c>
      <c r="M33" s="14">
        <v>0.04</v>
      </c>
      <c r="N33" s="14">
        <v>0.03</v>
      </c>
      <c r="O33" s="14">
        <v>0.02</v>
      </c>
      <c r="P33" s="14">
        <v>0.01</v>
      </c>
      <c r="Q33" s="14">
        <v>0.01</v>
      </c>
      <c r="R33" s="14">
        <v>0.03</v>
      </c>
      <c r="S33" s="14">
        <v>0.05</v>
      </c>
      <c r="T33" s="14">
        <v>0.08</v>
      </c>
      <c r="U33" s="14">
        <v>0.01</v>
      </c>
      <c r="V33" s="14">
        <v>0.01</v>
      </c>
      <c r="W33" s="14">
        <v>0.02</v>
      </c>
      <c r="X33" s="14">
        <v>0.01</v>
      </c>
      <c r="Y33" s="14">
        <v>0.03</v>
      </c>
      <c r="Z33" s="14">
        <v>0.02</v>
      </c>
      <c r="AA33" s="14">
        <v>7.0000000000000007E-2</v>
      </c>
      <c r="AB33" s="14">
        <v>0.03</v>
      </c>
      <c r="AC33" s="14">
        <v>0.02</v>
      </c>
      <c r="AD33" s="14">
        <v>0.03</v>
      </c>
      <c r="AE33" s="14">
        <v>0.03</v>
      </c>
      <c r="AF33" s="15" t="s">
        <v>213</v>
      </c>
    </row>
    <row r="34" spans="1:32" ht="23.25" x14ac:dyDescent="0.25">
      <c r="A34" s="19"/>
      <c r="B34" s="11" t="s">
        <v>426</v>
      </c>
      <c r="C34" s="12">
        <v>3458</v>
      </c>
      <c r="D34" s="12">
        <v>131</v>
      </c>
      <c r="E34" s="12">
        <v>249</v>
      </c>
      <c r="F34" s="12">
        <v>241</v>
      </c>
      <c r="G34" s="12">
        <v>249</v>
      </c>
      <c r="H34" s="12">
        <v>224</v>
      </c>
      <c r="I34" s="12">
        <v>281</v>
      </c>
      <c r="J34" s="12">
        <v>56</v>
      </c>
      <c r="K34" s="12">
        <v>328</v>
      </c>
      <c r="L34" s="12">
        <v>113</v>
      </c>
      <c r="M34" s="12">
        <v>73</v>
      </c>
      <c r="N34" s="12">
        <v>80</v>
      </c>
      <c r="O34" s="12">
        <v>109</v>
      </c>
      <c r="P34" s="12">
        <v>122</v>
      </c>
      <c r="Q34" s="12">
        <v>82</v>
      </c>
      <c r="R34" s="12">
        <v>43</v>
      </c>
      <c r="S34" s="12">
        <v>229</v>
      </c>
      <c r="T34" s="12">
        <v>230</v>
      </c>
      <c r="U34" s="12">
        <v>49</v>
      </c>
      <c r="V34" s="12">
        <v>204</v>
      </c>
      <c r="W34" s="12">
        <v>59</v>
      </c>
      <c r="X34" s="12">
        <v>97</v>
      </c>
      <c r="Y34" s="12">
        <v>163</v>
      </c>
      <c r="Z34" s="12">
        <v>79</v>
      </c>
      <c r="AA34" s="12">
        <v>187</v>
      </c>
      <c r="AB34" s="12">
        <v>134</v>
      </c>
      <c r="AC34" s="12">
        <v>229</v>
      </c>
      <c r="AD34" s="12">
        <v>236</v>
      </c>
      <c r="AE34" s="12">
        <v>199</v>
      </c>
      <c r="AF34" s="12">
        <v>179</v>
      </c>
    </row>
    <row r="35" spans="1:32" ht="23.25" x14ac:dyDescent="0.25">
      <c r="A35" s="19"/>
      <c r="B35" s="13" t="s">
        <v>427</v>
      </c>
      <c r="C35" s="14">
        <v>0.13</v>
      </c>
      <c r="D35" s="14">
        <v>0.13</v>
      </c>
      <c r="E35" s="14">
        <v>0.24</v>
      </c>
      <c r="F35" s="14">
        <v>0.23</v>
      </c>
      <c r="G35" s="14">
        <v>0.24</v>
      </c>
      <c r="H35" s="14">
        <v>0.19</v>
      </c>
      <c r="I35" s="14">
        <v>0.18</v>
      </c>
      <c r="J35" s="14">
        <v>0.19</v>
      </c>
      <c r="K35" s="14">
        <v>0.33</v>
      </c>
      <c r="L35" s="14">
        <v>0.12</v>
      </c>
      <c r="M35" s="14">
        <v>7.0000000000000007E-2</v>
      </c>
      <c r="N35" s="14">
        <v>0.08</v>
      </c>
      <c r="O35" s="14">
        <v>0.12</v>
      </c>
      <c r="P35" s="14">
        <v>0.12</v>
      </c>
      <c r="Q35" s="14">
        <v>0.08</v>
      </c>
      <c r="R35" s="14">
        <v>0.09</v>
      </c>
      <c r="S35" s="14">
        <v>0.23</v>
      </c>
      <c r="T35" s="14">
        <v>0.22</v>
      </c>
      <c r="U35" s="14">
        <v>0.1</v>
      </c>
      <c r="V35" s="14">
        <v>0.2</v>
      </c>
      <c r="W35" s="14">
        <v>0.12</v>
      </c>
      <c r="X35" s="14">
        <v>0.09</v>
      </c>
      <c r="Y35" s="14">
        <v>0.16</v>
      </c>
      <c r="Z35" s="14">
        <v>0.08</v>
      </c>
      <c r="AA35" s="14">
        <v>0.18</v>
      </c>
      <c r="AB35" s="14">
        <v>0.13</v>
      </c>
      <c r="AC35" s="14">
        <v>0.23</v>
      </c>
      <c r="AD35" s="14">
        <v>0.23</v>
      </c>
      <c r="AE35" s="14">
        <v>0.19</v>
      </c>
      <c r="AF35" s="14">
        <v>0.17</v>
      </c>
    </row>
    <row r="36" spans="1:32" ht="23.25" x14ac:dyDescent="0.25">
      <c r="A36" s="19"/>
      <c r="B36" s="11" t="s">
        <v>428</v>
      </c>
      <c r="C36" s="12">
        <v>5830</v>
      </c>
      <c r="D36" s="12">
        <v>249</v>
      </c>
      <c r="E36" s="12">
        <v>246</v>
      </c>
      <c r="F36" s="12">
        <v>354</v>
      </c>
      <c r="G36" s="12">
        <v>219</v>
      </c>
      <c r="H36" s="12">
        <v>365</v>
      </c>
      <c r="I36" s="12">
        <v>450</v>
      </c>
      <c r="J36" s="12">
        <v>84</v>
      </c>
      <c r="K36" s="12">
        <v>242</v>
      </c>
      <c r="L36" s="12">
        <v>144</v>
      </c>
      <c r="M36" s="12">
        <v>173</v>
      </c>
      <c r="N36" s="12">
        <v>164</v>
      </c>
      <c r="O36" s="12">
        <v>218</v>
      </c>
      <c r="P36" s="12">
        <v>236</v>
      </c>
      <c r="Q36" s="12">
        <v>145</v>
      </c>
      <c r="R36" s="12">
        <v>82</v>
      </c>
      <c r="S36" s="12">
        <v>233</v>
      </c>
      <c r="T36" s="12">
        <v>306</v>
      </c>
      <c r="U36" s="12">
        <v>89</v>
      </c>
      <c r="V36" s="12">
        <v>278</v>
      </c>
      <c r="W36" s="12">
        <v>87</v>
      </c>
      <c r="X36" s="12">
        <v>237</v>
      </c>
      <c r="Y36" s="12">
        <v>223</v>
      </c>
      <c r="Z36" s="12">
        <v>221</v>
      </c>
      <c r="AA36" s="12">
        <v>167</v>
      </c>
      <c r="AB36" s="12">
        <v>238</v>
      </c>
      <c r="AC36" s="12">
        <v>216</v>
      </c>
      <c r="AD36" s="12">
        <v>285</v>
      </c>
      <c r="AE36" s="12">
        <v>248</v>
      </c>
      <c r="AF36" s="12">
        <v>243</v>
      </c>
    </row>
    <row r="37" spans="1:32" ht="23.25" x14ac:dyDescent="0.25">
      <c r="A37" s="19"/>
      <c r="B37" s="13" t="s">
        <v>429</v>
      </c>
      <c r="C37" s="14">
        <v>0.22</v>
      </c>
      <c r="D37" s="14">
        <v>0.25</v>
      </c>
      <c r="E37" s="14">
        <v>0.23</v>
      </c>
      <c r="F37" s="14">
        <v>0.33</v>
      </c>
      <c r="G37" s="14">
        <v>0.21</v>
      </c>
      <c r="H37" s="14">
        <v>0.3</v>
      </c>
      <c r="I37" s="14">
        <v>0.28999999999999998</v>
      </c>
      <c r="J37" s="14">
        <v>0.28000000000000003</v>
      </c>
      <c r="K37" s="14">
        <v>0.24</v>
      </c>
      <c r="L37" s="14">
        <v>0.14000000000000001</v>
      </c>
      <c r="M37" s="14">
        <v>0.17</v>
      </c>
      <c r="N37" s="14">
        <v>0.17</v>
      </c>
      <c r="O37" s="14">
        <v>0.22</v>
      </c>
      <c r="P37" s="14">
        <v>0.23</v>
      </c>
      <c r="Q37" s="14">
        <v>0.14000000000000001</v>
      </c>
      <c r="R37" s="14">
        <v>0.16</v>
      </c>
      <c r="S37" s="14">
        <v>0.23</v>
      </c>
      <c r="T37" s="14">
        <v>0.3</v>
      </c>
      <c r="U37" s="14">
        <v>0.17</v>
      </c>
      <c r="V37" s="14">
        <v>0.27</v>
      </c>
      <c r="W37" s="14">
        <v>0.17</v>
      </c>
      <c r="X37" s="14">
        <v>0.23</v>
      </c>
      <c r="Y37" s="14">
        <v>0.22</v>
      </c>
      <c r="Z37" s="14">
        <v>0.22</v>
      </c>
      <c r="AA37" s="14">
        <v>0.16</v>
      </c>
      <c r="AB37" s="14">
        <v>0.23</v>
      </c>
      <c r="AC37" s="14">
        <v>0.21</v>
      </c>
      <c r="AD37" s="14">
        <v>0.28999999999999998</v>
      </c>
      <c r="AE37" s="14">
        <v>0.25</v>
      </c>
      <c r="AF37" s="14">
        <v>0.24</v>
      </c>
    </row>
    <row r="38" spans="1:32" ht="23.25" x14ac:dyDescent="0.25">
      <c r="A38" s="19"/>
      <c r="B38" s="11" t="s">
        <v>430</v>
      </c>
      <c r="C38" s="12">
        <v>16549</v>
      </c>
      <c r="D38" s="12">
        <v>638</v>
      </c>
      <c r="E38" s="12">
        <v>499</v>
      </c>
      <c r="F38" s="12">
        <v>452</v>
      </c>
      <c r="G38" s="12">
        <v>530</v>
      </c>
      <c r="H38" s="12">
        <v>610</v>
      </c>
      <c r="I38" s="12">
        <v>765</v>
      </c>
      <c r="J38" s="12">
        <v>155</v>
      </c>
      <c r="K38" s="12">
        <v>382</v>
      </c>
      <c r="L38" s="12">
        <v>738</v>
      </c>
      <c r="M38" s="12">
        <v>721</v>
      </c>
      <c r="N38" s="12">
        <v>733</v>
      </c>
      <c r="O38" s="12">
        <v>651</v>
      </c>
      <c r="P38" s="12">
        <v>632</v>
      </c>
      <c r="Q38" s="12">
        <v>790</v>
      </c>
      <c r="R38" s="12">
        <v>364</v>
      </c>
      <c r="S38" s="12">
        <v>493</v>
      </c>
      <c r="T38" s="12">
        <v>407</v>
      </c>
      <c r="U38" s="12">
        <v>366</v>
      </c>
      <c r="V38" s="12">
        <v>530</v>
      </c>
      <c r="W38" s="12">
        <v>345</v>
      </c>
      <c r="X38" s="12">
        <v>673</v>
      </c>
      <c r="Y38" s="12">
        <v>587</v>
      </c>
      <c r="Z38" s="12">
        <v>697</v>
      </c>
      <c r="AA38" s="12">
        <v>606</v>
      </c>
      <c r="AB38" s="12">
        <v>638</v>
      </c>
      <c r="AC38" s="12">
        <v>543</v>
      </c>
      <c r="AD38" s="12">
        <v>457</v>
      </c>
      <c r="AE38" s="12">
        <v>527</v>
      </c>
      <c r="AF38" s="12">
        <v>605</v>
      </c>
    </row>
    <row r="39" spans="1:32" ht="23.25" x14ac:dyDescent="0.25">
      <c r="A39" s="19"/>
      <c r="B39" s="13" t="s">
        <v>431</v>
      </c>
      <c r="C39" s="14">
        <v>0.63</v>
      </c>
      <c r="D39" s="14">
        <v>0.62</v>
      </c>
      <c r="E39" s="14">
        <v>0.48</v>
      </c>
      <c r="F39" s="14">
        <v>0.42</v>
      </c>
      <c r="G39" s="14">
        <v>0.53</v>
      </c>
      <c r="H39" s="14">
        <v>0.49</v>
      </c>
      <c r="I39" s="14">
        <v>0.51</v>
      </c>
      <c r="J39" s="14">
        <v>0.52</v>
      </c>
      <c r="K39" s="14">
        <v>0.38</v>
      </c>
      <c r="L39" s="14">
        <v>0.73</v>
      </c>
      <c r="M39" s="14">
        <v>0.72</v>
      </c>
      <c r="N39" s="14">
        <v>0.72</v>
      </c>
      <c r="O39" s="14">
        <v>0.64</v>
      </c>
      <c r="P39" s="14">
        <v>0.64</v>
      </c>
      <c r="Q39" s="14">
        <v>0.77</v>
      </c>
      <c r="R39" s="14">
        <v>0.72</v>
      </c>
      <c r="S39" s="14">
        <v>0.49</v>
      </c>
      <c r="T39" s="14">
        <v>0.4</v>
      </c>
      <c r="U39" s="14">
        <v>0.72</v>
      </c>
      <c r="V39" s="14">
        <v>0.52</v>
      </c>
      <c r="W39" s="14">
        <v>0.69000000000000006</v>
      </c>
      <c r="X39" s="14">
        <v>0.67</v>
      </c>
      <c r="Y39" s="14">
        <v>0.59</v>
      </c>
      <c r="Z39" s="14">
        <v>0.68</v>
      </c>
      <c r="AA39" s="14">
        <v>0.59</v>
      </c>
      <c r="AB39" s="14">
        <v>0.61</v>
      </c>
      <c r="AC39" s="14">
        <v>0.54</v>
      </c>
      <c r="AD39" s="14">
        <v>0.45</v>
      </c>
      <c r="AE39" s="14">
        <v>0.53</v>
      </c>
      <c r="AF39" s="14">
        <v>0.59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492</v>
      </c>
      <c r="C3" s="18"/>
      <c r="D3" s="18"/>
      <c r="E3" s="18"/>
      <c r="F3" s="18"/>
      <c r="H3" s="18" t="s">
        <v>493</v>
      </c>
      <c r="I3" s="18"/>
      <c r="J3" s="18"/>
      <c r="K3" s="18"/>
      <c r="L3" s="18"/>
    </row>
    <row r="4" spans="1:32" ht="27" customHeight="1" x14ac:dyDescent="0.25">
      <c r="B4" s="18" t="s">
        <v>494</v>
      </c>
      <c r="C4" s="18"/>
      <c r="D4" s="18"/>
      <c r="E4" s="18"/>
      <c r="F4" s="18"/>
      <c r="H4" s="18" t="s">
        <v>495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607</v>
      </c>
      <c r="D12" s="12">
        <v>18</v>
      </c>
      <c r="E12" s="12">
        <v>52</v>
      </c>
      <c r="F12" s="12">
        <v>58</v>
      </c>
      <c r="G12" s="12">
        <v>57</v>
      </c>
      <c r="H12" s="12">
        <v>37</v>
      </c>
      <c r="I12" s="12">
        <v>44</v>
      </c>
      <c r="J12" s="12">
        <v>7</v>
      </c>
      <c r="K12" s="12">
        <v>43</v>
      </c>
      <c r="L12" s="12">
        <v>32</v>
      </c>
      <c r="M12" s="12">
        <v>17</v>
      </c>
      <c r="N12" s="12">
        <v>17</v>
      </c>
      <c r="O12" s="12">
        <v>19</v>
      </c>
      <c r="P12" s="12">
        <v>31</v>
      </c>
      <c r="Q12" s="12">
        <v>23</v>
      </c>
      <c r="R12" s="12">
        <v>3</v>
      </c>
      <c r="S12" s="12">
        <v>44</v>
      </c>
      <c r="T12" s="12">
        <v>59</v>
      </c>
      <c r="U12" s="12">
        <v>8</v>
      </c>
      <c r="V12" s="12">
        <v>10</v>
      </c>
      <c r="W12" s="12">
        <v>8</v>
      </c>
      <c r="X12" s="12">
        <v>13</v>
      </c>
      <c r="Y12" s="12">
        <v>30</v>
      </c>
      <c r="Z12" s="12">
        <v>6</v>
      </c>
      <c r="AA12" s="12">
        <v>11</v>
      </c>
      <c r="AB12" s="12">
        <v>37</v>
      </c>
      <c r="AC12" s="12">
        <v>47</v>
      </c>
      <c r="AD12" s="12">
        <v>29</v>
      </c>
      <c r="AE12" s="12">
        <v>18</v>
      </c>
      <c r="AF12" s="12">
        <v>26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0.05</v>
      </c>
      <c r="F13" s="14">
        <v>0.05</v>
      </c>
      <c r="G13" s="14">
        <v>0.06</v>
      </c>
      <c r="H13" s="14">
        <v>0.03</v>
      </c>
      <c r="I13" s="14">
        <v>0.03</v>
      </c>
      <c r="J13" s="14">
        <v>0.03</v>
      </c>
      <c r="K13" s="14">
        <v>0.04</v>
      </c>
      <c r="L13" s="14">
        <v>0.03</v>
      </c>
      <c r="M13" s="14">
        <v>0.02</v>
      </c>
      <c r="N13" s="14">
        <v>0.02</v>
      </c>
      <c r="O13" s="14">
        <v>0.02</v>
      </c>
      <c r="P13" s="14">
        <v>0.03</v>
      </c>
      <c r="Q13" s="14">
        <v>0.02</v>
      </c>
      <c r="R13" s="14">
        <v>0.01</v>
      </c>
      <c r="S13" s="14">
        <v>0.04</v>
      </c>
      <c r="T13" s="14">
        <v>0.06</v>
      </c>
      <c r="U13" s="14">
        <v>0.01</v>
      </c>
      <c r="V13" s="14">
        <v>0.01</v>
      </c>
      <c r="W13" s="14">
        <v>0.01</v>
      </c>
      <c r="X13" s="14">
        <v>0.01</v>
      </c>
      <c r="Y13" s="14">
        <v>0.03</v>
      </c>
      <c r="Z13" s="14">
        <v>0.01</v>
      </c>
      <c r="AA13" s="14">
        <v>0.01</v>
      </c>
      <c r="AB13" s="14">
        <v>0.03</v>
      </c>
      <c r="AC13" s="14">
        <v>0.05</v>
      </c>
      <c r="AD13" s="14">
        <v>0.03</v>
      </c>
      <c r="AE13" s="14">
        <v>0.02</v>
      </c>
      <c r="AF13" s="14">
        <v>0.02</v>
      </c>
    </row>
    <row r="14" spans="1:32" x14ac:dyDescent="0.25">
      <c r="A14" s="19"/>
      <c r="B14" s="11" t="s">
        <v>416</v>
      </c>
      <c r="C14" s="12">
        <v>487</v>
      </c>
      <c r="D14" s="12">
        <v>8</v>
      </c>
      <c r="E14" s="12">
        <v>20</v>
      </c>
      <c r="F14" s="12">
        <v>32</v>
      </c>
      <c r="G14" s="12">
        <v>40</v>
      </c>
      <c r="H14" s="12">
        <v>63</v>
      </c>
      <c r="I14" s="12">
        <v>68</v>
      </c>
      <c r="J14" s="12">
        <v>5</v>
      </c>
      <c r="K14" s="12">
        <v>27</v>
      </c>
      <c r="L14" s="12">
        <v>10</v>
      </c>
      <c r="M14" s="12">
        <v>8</v>
      </c>
      <c r="N14" s="12">
        <v>7</v>
      </c>
      <c r="O14" s="12">
        <v>14</v>
      </c>
      <c r="P14" s="12">
        <v>14</v>
      </c>
      <c r="Q14" s="12">
        <v>5</v>
      </c>
      <c r="R14" s="12">
        <v>6</v>
      </c>
      <c r="S14" s="12">
        <v>26</v>
      </c>
      <c r="T14" s="12">
        <v>21</v>
      </c>
      <c r="U14" s="12">
        <v>6</v>
      </c>
      <c r="V14" s="12">
        <v>8</v>
      </c>
      <c r="W14" s="12">
        <v>4</v>
      </c>
      <c r="X14" s="12">
        <v>16</v>
      </c>
      <c r="Y14" s="12">
        <v>16</v>
      </c>
      <c r="Z14" s="12">
        <v>6</v>
      </c>
      <c r="AA14" s="12">
        <v>6</v>
      </c>
      <c r="AB14" s="12">
        <v>8</v>
      </c>
      <c r="AC14" s="12">
        <v>32</v>
      </c>
      <c r="AD14" s="12">
        <v>13</v>
      </c>
      <c r="AE14" s="12">
        <v>35</v>
      </c>
      <c r="AF14" s="12">
        <v>55</v>
      </c>
    </row>
    <row r="15" spans="1:32" x14ac:dyDescent="0.25">
      <c r="A15" s="19"/>
      <c r="B15" s="13" t="s">
        <v>416</v>
      </c>
      <c r="C15" s="14">
        <v>0.02</v>
      </c>
      <c r="D15" s="14">
        <v>0.01</v>
      </c>
      <c r="E15" s="14">
        <v>0.02</v>
      </c>
      <c r="F15" s="14">
        <v>0.03</v>
      </c>
      <c r="G15" s="14">
        <v>0.04</v>
      </c>
      <c r="H15" s="14">
        <v>0.05</v>
      </c>
      <c r="I15" s="14">
        <v>0.04</v>
      </c>
      <c r="J15" s="14">
        <v>0.02</v>
      </c>
      <c r="K15" s="14">
        <v>0.03</v>
      </c>
      <c r="L15" s="14">
        <v>0.01</v>
      </c>
      <c r="M15" s="14">
        <v>0.01</v>
      </c>
      <c r="N15" s="14">
        <v>0.01</v>
      </c>
      <c r="O15" s="14">
        <v>0.01</v>
      </c>
      <c r="P15" s="14">
        <v>0.01</v>
      </c>
      <c r="Q15" s="15" t="s">
        <v>213</v>
      </c>
      <c r="R15" s="14">
        <v>0.01</v>
      </c>
      <c r="S15" s="14">
        <v>0.03</v>
      </c>
      <c r="T15" s="14">
        <v>0.02</v>
      </c>
      <c r="U15" s="14">
        <v>0.01</v>
      </c>
      <c r="V15" s="14">
        <v>0.01</v>
      </c>
      <c r="W15" s="14">
        <v>0.01</v>
      </c>
      <c r="X15" s="14">
        <v>0.02</v>
      </c>
      <c r="Y15" s="14">
        <v>0.01</v>
      </c>
      <c r="Z15" s="14">
        <v>0.01</v>
      </c>
      <c r="AA15" s="14">
        <v>0.01</v>
      </c>
      <c r="AB15" s="14">
        <v>0.01</v>
      </c>
      <c r="AC15" s="14">
        <v>0.03</v>
      </c>
      <c r="AD15" s="14">
        <v>0.01</v>
      </c>
      <c r="AE15" s="14">
        <v>0.04</v>
      </c>
      <c r="AF15" s="14">
        <v>0.05</v>
      </c>
    </row>
    <row r="16" spans="1:32" x14ac:dyDescent="0.25">
      <c r="A16" s="19"/>
      <c r="B16" s="11" t="s">
        <v>417</v>
      </c>
      <c r="C16" s="12">
        <v>912</v>
      </c>
      <c r="D16" s="12">
        <v>24</v>
      </c>
      <c r="E16" s="12">
        <v>52</v>
      </c>
      <c r="F16" s="12">
        <v>58</v>
      </c>
      <c r="G16" s="12">
        <v>67</v>
      </c>
      <c r="H16" s="12">
        <v>87</v>
      </c>
      <c r="I16" s="12">
        <v>107</v>
      </c>
      <c r="J16" s="12">
        <v>19</v>
      </c>
      <c r="K16" s="12">
        <v>48</v>
      </c>
      <c r="L16" s="12">
        <v>21</v>
      </c>
      <c r="M16" s="12">
        <v>7</v>
      </c>
      <c r="N16" s="12">
        <v>14</v>
      </c>
      <c r="O16" s="12">
        <v>30</v>
      </c>
      <c r="P16" s="12">
        <v>30</v>
      </c>
      <c r="Q16" s="12">
        <v>20</v>
      </c>
      <c r="R16" s="12">
        <v>8</v>
      </c>
      <c r="S16" s="12">
        <v>37</v>
      </c>
      <c r="T16" s="12">
        <v>35</v>
      </c>
      <c r="U16" s="12">
        <v>9</v>
      </c>
      <c r="V16" s="12">
        <v>29</v>
      </c>
      <c r="W16" s="12">
        <v>3</v>
      </c>
      <c r="X16" s="12">
        <v>34</v>
      </c>
      <c r="Y16" s="12">
        <v>44</v>
      </c>
      <c r="Z16" s="12">
        <v>9</v>
      </c>
      <c r="AA16" s="12">
        <v>7</v>
      </c>
      <c r="AB16" s="12">
        <v>20</v>
      </c>
      <c r="AC16" s="12">
        <v>68</v>
      </c>
      <c r="AD16" s="12">
        <v>40</v>
      </c>
      <c r="AE16" s="12">
        <v>43</v>
      </c>
      <c r="AF16" s="12">
        <v>105</v>
      </c>
    </row>
    <row r="17" spans="1:32" x14ac:dyDescent="0.25">
      <c r="A17" s="19"/>
      <c r="B17" s="13" t="s">
        <v>417</v>
      </c>
      <c r="C17" s="14">
        <v>0.03</v>
      </c>
      <c r="D17" s="14">
        <v>0.02</v>
      </c>
      <c r="E17" s="14">
        <v>0.05</v>
      </c>
      <c r="F17" s="14">
        <v>0.05</v>
      </c>
      <c r="G17" s="14">
        <v>7.0000000000000007E-2</v>
      </c>
      <c r="H17" s="14">
        <v>7.0000000000000007E-2</v>
      </c>
      <c r="I17" s="14">
        <v>7.0000000000000007E-2</v>
      </c>
      <c r="J17" s="14">
        <v>0.06</v>
      </c>
      <c r="K17" s="14">
        <v>0.05</v>
      </c>
      <c r="L17" s="14">
        <v>0.02</v>
      </c>
      <c r="M17" s="14">
        <v>0.01</v>
      </c>
      <c r="N17" s="14">
        <v>0.01</v>
      </c>
      <c r="O17" s="14">
        <v>0.03</v>
      </c>
      <c r="P17" s="14">
        <v>0.03</v>
      </c>
      <c r="Q17" s="14">
        <v>0.02</v>
      </c>
      <c r="R17" s="14">
        <v>0.01</v>
      </c>
      <c r="S17" s="14">
        <v>0.04</v>
      </c>
      <c r="T17" s="14">
        <v>0.04</v>
      </c>
      <c r="U17" s="14">
        <v>0.02</v>
      </c>
      <c r="V17" s="14">
        <v>0.03</v>
      </c>
      <c r="W17" s="15" t="s">
        <v>213</v>
      </c>
      <c r="X17" s="14">
        <v>0.03</v>
      </c>
      <c r="Y17" s="14">
        <v>0.04</v>
      </c>
      <c r="Z17" s="14">
        <v>0.01</v>
      </c>
      <c r="AA17" s="14">
        <v>0.01</v>
      </c>
      <c r="AB17" s="14">
        <v>0.02</v>
      </c>
      <c r="AC17" s="14">
        <v>7.0000000000000007E-2</v>
      </c>
      <c r="AD17" s="14">
        <v>0.04</v>
      </c>
      <c r="AE17" s="14">
        <v>0.04</v>
      </c>
      <c r="AF17" s="14">
        <v>0.1</v>
      </c>
    </row>
    <row r="18" spans="1:32" x14ac:dyDescent="0.25">
      <c r="A18" s="19"/>
      <c r="B18" s="11" t="s">
        <v>418</v>
      </c>
      <c r="C18" s="12">
        <v>1086</v>
      </c>
      <c r="D18" s="12">
        <v>34</v>
      </c>
      <c r="E18" s="12">
        <v>56</v>
      </c>
      <c r="F18" s="12">
        <v>61</v>
      </c>
      <c r="G18" s="12">
        <v>67</v>
      </c>
      <c r="H18" s="12">
        <v>86</v>
      </c>
      <c r="I18" s="12">
        <v>96</v>
      </c>
      <c r="J18" s="12">
        <v>9</v>
      </c>
      <c r="K18" s="12">
        <v>82</v>
      </c>
      <c r="L18" s="12">
        <v>26</v>
      </c>
      <c r="M18" s="12">
        <v>18</v>
      </c>
      <c r="N18" s="12">
        <v>17</v>
      </c>
      <c r="O18" s="12">
        <v>38</v>
      </c>
      <c r="P18" s="12">
        <v>38</v>
      </c>
      <c r="Q18" s="12">
        <v>28</v>
      </c>
      <c r="R18" s="12">
        <v>13</v>
      </c>
      <c r="S18" s="12">
        <v>54</v>
      </c>
      <c r="T18" s="12">
        <v>45</v>
      </c>
      <c r="U18" s="12">
        <v>27</v>
      </c>
      <c r="V18" s="12">
        <v>65</v>
      </c>
      <c r="W18" s="12">
        <v>17</v>
      </c>
      <c r="X18" s="12">
        <v>59</v>
      </c>
      <c r="Y18" s="12">
        <v>47</v>
      </c>
      <c r="Z18" s="12">
        <v>26</v>
      </c>
      <c r="AA18" s="12">
        <v>17</v>
      </c>
      <c r="AB18" s="12">
        <v>38</v>
      </c>
      <c r="AC18" s="12">
        <v>47</v>
      </c>
      <c r="AD18" s="12">
        <v>52</v>
      </c>
      <c r="AE18" s="12">
        <v>79</v>
      </c>
      <c r="AF18" s="12">
        <v>88</v>
      </c>
    </row>
    <row r="19" spans="1:32" x14ac:dyDescent="0.25">
      <c r="A19" s="19"/>
      <c r="B19" s="13" t="s">
        <v>418</v>
      </c>
      <c r="C19" s="14">
        <v>0.04</v>
      </c>
      <c r="D19" s="14">
        <v>0.03</v>
      </c>
      <c r="E19" s="14">
        <v>0.06</v>
      </c>
      <c r="F19" s="14">
        <v>0.06</v>
      </c>
      <c r="G19" s="14">
        <v>7.0000000000000007E-2</v>
      </c>
      <c r="H19" s="14">
        <v>7.0000000000000007E-2</v>
      </c>
      <c r="I19" s="14">
        <v>0.06</v>
      </c>
      <c r="J19" s="14">
        <v>0.03</v>
      </c>
      <c r="K19" s="14">
        <v>0.08</v>
      </c>
      <c r="L19" s="14">
        <v>0.03</v>
      </c>
      <c r="M19" s="14">
        <v>0.02</v>
      </c>
      <c r="N19" s="14">
        <v>0.02</v>
      </c>
      <c r="O19" s="14">
        <v>0.04</v>
      </c>
      <c r="P19" s="14">
        <v>0.04</v>
      </c>
      <c r="Q19" s="14">
        <v>0.03</v>
      </c>
      <c r="R19" s="14">
        <v>0.03</v>
      </c>
      <c r="S19" s="14">
        <v>0.05</v>
      </c>
      <c r="T19" s="14">
        <v>0.04</v>
      </c>
      <c r="U19" s="14">
        <v>0.05</v>
      </c>
      <c r="V19" s="14">
        <v>0.06</v>
      </c>
      <c r="W19" s="14">
        <v>0.03</v>
      </c>
      <c r="X19" s="14">
        <v>0.06</v>
      </c>
      <c r="Y19" s="14">
        <v>0.05</v>
      </c>
      <c r="Z19" s="14">
        <v>0.02</v>
      </c>
      <c r="AA19" s="14">
        <v>0.02</v>
      </c>
      <c r="AB19" s="14">
        <v>0.04</v>
      </c>
      <c r="AC19" s="14">
        <v>0.05</v>
      </c>
      <c r="AD19" s="14">
        <v>0.05</v>
      </c>
      <c r="AE19" s="14">
        <v>0.08</v>
      </c>
      <c r="AF19" s="14">
        <v>0.09</v>
      </c>
    </row>
    <row r="20" spans="1:32" x14ac:dyDescent="0.25">
      <c r="A20" s="19"/>
      <c r="B20" s="11" t="s">
        <v>419</v>
      </c>
      <c r="C20" s="12">
        <v>2300</v>
      </c>
      <c r="D20" s="12">
        <v>94</v>
      </c>
      <c r="E20" s="12">
        <v>103</v>
      </c>
      <c r="F20" s="12">
        <v>178</v>
      </c>
      <c r="G20" s="12">
        <v>146</v>
      </c>
      <c r="H20" s="12">
        <v>156</v>
      </c>
      <c r="I20" s="12">
        <v>181</v>
      </c>
      <c r="J20" s="12">
        <v>26</v>
      </c>
      <c r="K20" s="12">
        <v>114</v>
      </c>
      <c r="L20" s="12">
        <v>73</v>
      </c>
      <c r="M20" s="12">
        <v>56</v>
      </c>
      <c r="N20" s="12">
        <v>28</v>
      </c>
      <c r="O20" s="12">
        <v>90</v>
      </c>
      <c r="P20" s="12">
        <v>93</v>
      </c>
      <c r="Q20" s="12">
        <v>42</v>
      </c>
      <c r="R20" s="12">
        <v>25</v>
      </c>
      <c r="S20" s="12">
        <v>115</v>
      </c>
      <c r="T20" s="12">
        <v>124</v>
      </c>
      <c r="U20" s="12">
        <v>28</v>
      </c>
      <c r="V20" s="12">
        <v>120</v>
      </c>
      <c r="W20" s="12">
        <v>29</v>
      </c>
      <c r="X20" s="12">
        <v>97</v>
      </c>
      <c r="Y20" s="12">
        <v>135</v>
      </c>
      <c r="Z20" s="12">
        <v>91</v>
      </c>
      <c r="AA20" s="12">
        <v>81</v>
      </c>
      <c r="AB20" s="12">
        <v>92</v>
      </c>
      <c r="AC20" s="12">
        <v>108</v>
      </c>
      <c r="AD20" s="12">
        <v>146</v>
      </c>
      <c r="AE20" s="12">
        <v>93</v>
      </c>
      <c r="AF20" s="12">
        <v>133</v>
      </c>
    </row>
    <row r="21" spans="1:32" x14ac:dyDescent="0.25">
      <c r="A21" s="19"/>
      <c r="B21" s="13" t="s">
        <v>419</v>
      </c>
      <c r="C21" s="14">
        <v>0.09</v>
      </c>
      <c r="D21" s="14">
        <v>0.09</v>
      </c>
      <c r="E21" s="14">
        <v>0.1</v>
      </c>
      <c r="F21" s="14">
        <v>0.17</v>
      </c>
      <c r="G21" s="14">
        <v>0.14000000000000001</v>
      </c>
      <c r="H21" s="14">
        <v>0.13</v>
      </c>
      <c r="I21" s="14">
        <v>0.12</v>
      </c>
      <c r="J21" s="14">
        <v>0.09</v>
      </c>
      <c r="K21" s="14">
        <v>0.11</v>
      </c>
      <c r="L21" s="14">
        <v>7.0000000000000007E-2</v>
      </c>
      <c r="M21" s="14">
        <v>0.05</v>
      </c>
      <c r="N21" s="14">
        <v>0.03</v>
      </c>
      <c r="O21" s="14">
        <v>0.09</v>
      </c>
      <c r="P21" s="14">
        <v>0.09</v>
      </c>
      <c r="Q21" s="14">
        <v>0.04</v>
      </c>
      <c r="R21" s="14">
        <v>0.05</v>
      </c>
      <c r="S21" s="14">
        <v>0.11</v>
      </c>
      <c r="T21" s="14">
        <v>0.12</v>
      </c>
      <c r="U21" s="14">
        <v>0.06</v>
      </c>
      <c r="V21" s="14">
        <v>0.12</v>
      </c>
      <c r="W21" s="14">
        <v>0.06</v>
      </c>
      <c r="X21" s="14">
        <v>0.1</v>
      </c>
      <c r="Y21" s="14">
        <v>0.13</v>
      </c>
      <c r="Z21" s="14">
        <v>0.09</v>
      </c>
      <c r="AA21" s="14">
        <v>0.08</v>
      </c>
      <c r="AB21" s="14">
        <v>0.09</v>
      </c>
      <c r="AC21" s="14">
        <v>0.11</v>
      </c>
      <c r="AD21" s="14">
        <v>0.15</v>
      </c>
      <c r="AE21" s="14">
        <v>0.09</v>
      </c>
      <c r="AF21" s="14">
        <v>0.13</v>
      </c>
    </row>
    <row r="22" spans="1:32" x14ac:dyDescent="0.25">
      <c r="A22" s="19"/>
      <c r="B22" s="11" t="s">
        <v>420</v>
      </c>
      <c r="C22" s="12">
        <v>2810</v>
      </c>
      <c r="D22" s="12">
        <v>129</v>
      </c>
      <c r="E22" s="12">
        <v>116</v>
      </c>
      <c r="F22" s="12">
        <v>170</v>
      </c>
      <c r="G22" s="12">
        <v>115</v>
      </c>
      <c r="H22" s="12">
        <v>156</v>
      </c>
      <c r="I22" s="12">
        <v>181</v>
      </c>
      <c r="J22" s="12">
        <v>25</v>
      </c>
      <c r="K22" s="12">
        <v>105</v>
      </c>
      <c r="L22" s="12">
        <v>95</v>
      </c>
      <c r="M22" s="12">
        <v>59</v>
      </c>
      <c r="N22" s="12">
        <v>71</v>
      </c>
      <c r="O22" s="12">
        <v>104</v>
      </c>
      <c r="P22" s="12">
        <v>106</v>
      </c>
      <c r="Q22" s="12">
        <v>87</v>
      </c>
      <c r="R22" s="12">
        <v>18</v>
      </c>
      <c r="S22" s="12">
        <v>76</v>
      </c>
      <c r="T22" s="12">
        <v>102</v>
      </c>
      <c r="U22" s="12">
        <v>58</v>
      </c>
      <c r="V22" s="12">
        <v>137</v>
      </c>
      <c r="W22" s="12">
        <v>54</v>
      </c>
      <c r="X22" s="12">
        <v>149</v>
      </c>
      <c r="Y22" s="12">
        <v>148</v>
      </c>
      <c r="Z22" s="12">
        <v>97</v>
      </c>
      <c r="AA22" s="12">
        <v>172</v>
      </c>
      <c r="AB22" s="12">
        <v>134</v>
      </c>
      <c r="AC22" s="12">
        <v>76</v>
      </c>
      <c r="AD22" s="12">
        <v>114</v>
      </c>
      <c r="AE22" s="12">
        <v>100</v>
      </c>
      <c r="AF22" s="12">
        <v>117</v>
      </c>
    </row>
    <row r="23" spans="1:32" x14ac:dyDescent="0.25">
      <c r="A23" s="19"/>
      <c r="B23" s="13" t="s">
        <v>420</v>
      </c>
      <c r="C23" s="14">
        <v>0.11</v>
      </c>
      <c r="D23" s="14">
        <v>0.13</v>
      </c>
      <c r="E23" s="14">
        <v>0.11</v>
      </c>
      <c r="F23" s="14">
        <v>0.16</v>
      </c>
      <c r="G23" s="14">
        <v>0.11</v>
      </c>
      <c r="H23" s="14">
        <v>0.13</v>
      </c>
      <c r="I23" s="14">
        <v>0.12</v>
      </c>
      <c r="J23" s="14">
        <v>0.09</v>
      </c>
      <c r="K23" s="14">
        <v>0.11</v>
      </c>
      <c r="L23" s="14">
        <v>0.09</v>
      </c>
      <c r="M23" s="14">
        <v>0.06</v>
      </c>
      <c r="N23" s="14">
        <v>7.0000000000000007E-2</v>
      </c>
      <c r="O23" s="14">
        <v>0.1</v>
      </c>
      <c r="P23" s="14">
        <v>0.11</v>
      </c>
      <c r="Q23" s="14">
        <v>0.08</v>
      </c>
      <c r="R23" s="14">
        <v>0.04</v>
      </c>
      <c r="S23" s="14">
        <v>0.08</v>
      </c>
      <c r="T23" s="14">
        <v>0.1</v>
      </c>
      <c r="U23" s="14">
        <v>0.11</v>
      </c>
      <c r="V23" s="14">
        <v>0.13</v>
      </c>
      <c r="W23" s="14">
        <v>0.11</v>
      </c>
      <c r="X23" s="14">
        <v>0.15</v>
      </c>
      <c r="Y23" s="14">
        <v>0.15</v>
      </c>
      <c r="Z23" s="14">
        <v>0.1</v>
      </c>
      <c r="AA23" s="14">
        <v>0.17</v>
      </c>
      <c r="AB23" s="14">
        <v>0.13</v>
      </c>
      <c r="AC23" s="14">
        <v>7.0000000000000007E-2</v>
      </c>
      <c r="AD23" s="14">
        <v>0.11</v>
      </c>
      <c r="AE23" s="14">
        <v>0.1</v>
      </c>
      <c r="AF23" s="14">
        <v>0.11</v>
      </c>
    </row>
    <row r="24" spans="1:32" x14ac:dyDescent="0.25">
      <c r="A24" s="19"/>
      <c r="B24" s="11" t="s">
        <v>421</v>
      </c>
      <c r="C24" s="12">
        <v>4252</v>
      </c>
      <c r="D24" s="12">
        <v>221</v>
      </c>
      <c r="E24" s="12">
        <v>146</v>
      </c>
      <c r="F24" s="12">
        <v>147</v>
      </c>
      <c r="G24" s="12">
        <v>156</v>
      </c>
      <c r="H24" s="12">
        <v>164</v>
      </c>
      <c r="I24" s="12">
        <v>215</v>
      </c>
      <c r="J24" s="12">
        <v>51</v>
      </c>
      <c r="K24" s="12">
        <v>147</v>
      </c>
      <c r="L24" s="12">
        <v>138</v>
      </c>
      <c r="M24" s="12">
        <v>168</v>
      </c>
      <c r="N24" s="12">
        <v>131</v>
      </c>
      <c r="O24" s="12">
        <v>186</v>
      </c>
      <c r="P24" s="12">
        <v>148</v>
      </c>
      <c r="Q24" s="12">
        <v>131</v>
      </c>
      <c r="R24" s="12">
        <v>96</v>
      </c>
      <c r="S24" s="12">
        <v>126</v>
      </c>
      <c r="T24" s="12">
        <v>155</v>
      </c>
      <c r="U24" s="12">
        <v>79</v>
      </c>
      <c r="V24" s="12">
        <v>204</v>
      </c>
      <c r="W24" s="12">
        <v>55</v>
      </c>
      <c r="X24" s="12">
        <v>231</v>
      </c>
      <c r="Y24" s="12">
        <v>148</v>
      </c>
      <c r="Z24" s="12">
        <v>219</v>
      </c>
      <c r="AA24" s="12">
        <v>138</v>
      </c>
      <c r="AB24" s="12">
        <v>192</v>
      </c>
      <c r="AC24" s="12">
        <v>125</v>
      </c>
      <c r="AD24" s="12">
        <v>196</v>
      </c>
      <c r="AE24" s="12">
        <v>165</v>
      </c>
      <c r="AF24" s="12">
        <v>151</v>
      </c>
    </row>
    <row r="25" spans="1:32" x14ac:dyDescent="0.25">
      <c r="A25" s="19"/>
      <c r="B25" s="13" t="s">
        <v>421</v>
      </c>
      <c r="C25" s="14">
        <v>0.16</v>
      </c>
      <c r="D25" s="14">
        <v>0.22</v>
      </c>
      <c r="E25" s="14">
        <v>0.14000000000000001</v>
      </c>
      <c r="F25" s="14">
        <v>0.14000000000000001</v>
      </c>
      <c r="G25" s="14">
        <v>0.15</v>
      </c>
      <c r="H25" s="14">
        <v>0.13</v>
      </c>
      <c r="I25" s="14">
        <v>0.14000000000000001</v>
      </c>
      <c r="J25" s="14">
        <v>0.17</v>
      </c>
      <c r="K25" s="14">
        <v>0.15</v>
      </c>
      <c r="L25" s="14">
        <v>0.14000000000000001</v>
      </c>
      <c r="M25" s="14">
        <v>0.17</v>
      </c>
      <c r="N25" s="14">
        <v>0.13</v>
      </c>
      <c r="O25" s="14">
        <v>0.19</v>
      </c>
      <c r="P25" s="14">
        <v>0.15</v>
      </c>
      <c r="Q25" s="14">
        <v>0.13</v>
      </c>
      <c r="R25" s="14">
        <v>0.19</v>
      </c>
      <c r="S25" s="14">
        <v>0.12</v>
      </c>
      <c r="T25" s="14">
        <v>0.15</v>
      </c>
      <c r="U25" s="14">
        <v>0.16</v>
      </c>
      <c r="V25" s="14">
        <v>0.2</v>
      </c>
      <c r="W25" s="14">
        <v>0.11</v>
      </c>
      <c r="X25" s="14">
        <v>0.23</v>
      </c>
      <c r="Y25" s="14">
        <v>0.15</v>
      </c>
      <c r="Z25" s="14">
        <v>0.22</v>
      </c>
      <c r="AA25" s="14">
        <v>0.13</v>
      </c>
      <c r="AB25" s="14">
        <v>0.18</v>
      </c>
      <c r="AC25" s="14">
        <v>0.12</v>
      </c>
      <c r="AD25" s="14">
        <v>0.2</v>
      </c>
      <c r="AE25" s="14">
        <v>0.16</v>
      </c>
      <c r="AF25" s="14">
        <v>0.15</v>
      </c>
    </row>
    <row r="26" spans="1:32" x14ac:dyDescent="0.25">
      <c r="A26" s="19"/>
      <c r="B26" s="11" t="s">
        <v>422</v>
      </c>
      <c r="C26" s="12">
        <v>5570</v>
      </c>
      <c r="D26" s="12">
        <v>234</v>
      </c>
      <c r="E26" s="12">
        <v>149</v>
      </c>
      <c r="F26" s="12">
        <v>123</v>
      </c>
      <c r="G26" s="12">
        <v>170</v>
      </c>
      <c r="H26" s="12">
        <v>180</v>
      </c>
      <c r="I26" s="12">
        <v>250</v>
      </c>
      <c r="J26" s="12">
        <v>70</v>
      </c>
      <c r="K26" s="12">
        <v>141</v>
      </c>
      <c r="L26" s="12">
        <v>246</v>
      </c>
      <c r="M26" s="12">
        <v>258</v>
      </c>
      <c r="N26" s="12">
        <v>212</v>
      </c>
      <c r="O26" s="12">
        <v>206</v>
      </c>
      <c r="P26" s="12">
        <v>199</v>
      </c>
      <c r="Q26" s="12">
        <v>306</v>
      </c>
      <c r="R26" s="12">
        <v>115</v>
      </c>
      <c r="S26" s="12">
        <v>170</v>
      </c>
      <c r="T26" s="12">
        <v>155</v>
      </c>
      <c r="U26" s="12">
        <v>85</v>
      </c>
      <c r="V26" s="12">
        <v>182</v>
      </c>
      <c r="W26" s="12">
        <v>95</v>
      </c>
      <c r="X26" s="12">
        <v>227</v>
      </c>
      <c r="Y26" s="12">
        <v>160</v>
      </c>
      <c r="Z26" s="12">
        <v>259</v>
      </c>
      <c r="AA26" s="12">
        <v>189</v>
      </c>
      <c r="AB26" s="12">
        <v>227</v>
      </c>
      <c r="AC26" s="12">
        <v>142</v>
      </c>
      <c r="AD26" s="12">
        <v>211</v>
      </c>
      <c r="AE26" s="12">
        <v>217</v>
      </c>
      <c r="AF26" s="12">
        <v>172</v>
      </c>
    </row>
    <row r="27" spans="1:32" x14ac:dyDescent="0.25">
      <c r="A27" s="19"/>
      <c r="B27" s="13" t="s">
        <v>422</v>
      </c>
      <c r="C27" s="14">
        <v>0.21</v>
      </c>
      <c r="D27" s="14">
        <v>0.23</v>
      </c>
      <c r="E27" s="14">
        <v>0.14000000000000001</v>
      </c>
      <c r="F27" s="14">
        <v>0.12</v>
      </c>
      <c r="G27" s="14">
        <v>0.17</v>
      </c>
      <c r="H27" s="14">
        <v>0.15</v>
      </c>
      <c r="I27" s="14">
        <v>0.16</v>
      </c>
      <c r="J27" s="14">
        <v>0.23</v>
      </c>
      <c r="K27" s="14">
        <v>0.14000000000000001</v>
      </c>
      <c r="L27" s="14">
        <v>0.25</v>
      </c>
      <c r="M27" s="14">
        <v>0.25</v>
      </c>
      <c r="N27" s="14">
        <v>0.21</v>
      </c>
      <c r="O27" s="14">
        <v>0.21</v>
      </c>
      <c r="P27" s="14">
        <v>0.2</v>
      </c>
      <c r="Q27" s="14">
        <v>0.3</v>
      </c>
      <c r="R27" s="14">
        <v>0.23</v>
      </c>
      <c r="S27" s="14">
        <v>0.17</v>
      </c>
      <c r="T27" s="14">
        <v>0.15</v>
      </c>
      <c r="U27" s="14">
        <v>0.17</v>
      </c>
      <c r="V27" s="14">
        <v>0.18</v>
      </c>
      <c r="W27" s="14">
        <v>0.19</v>
      </c>
      <c r="X27" s="14">
        <v>0.22</v>
      </c>
      <c r="Y27" s="14">
        <v>0.16</v>
      </c>
      <c r="Z27" s="14">
        <v>0.25</v>
      </c>
      <c r="AA27" s="14">
        <v>0.18</v>
      </c>
      <c r="AB27" s="14">
        <v>0.22</v>
      </c>
      <c r="AC27" s="14">
        <v>0.14000000000000001</v>
      </c>
      <c r="AD27" s="14">
        <v>0.21</v>
      </c>
      <c r="AE27" s="14">
        <v>0.22</v>
      </c>
      <c r="AF27" s="14">
        <v>0.17</v>
      </c>
    </row>
    <row r="28" spans="1:32" x14ac:dyDescent="0.25">
      <c r="A28" s="19"/>
      <c r="B28" s="11" t="s">
        <v>423</v>
      </c>
      <c r="C28" s="12">
        <v>3394</v>
      </c>
      <c r="D28" s="12">
        <v>135</v>
      </c>
      <c r="E28" s="12">
        <v>107</v>
      </c>
      <c r="F28" s="12">
        <v>103</v>
      </c>
      <c r="G28" s="12">
        <v>76</v>
      </c>
      <c r="H28" s="12">
        <v>99</v>
      </c>
      <c r="I28" s="12">
        <v>130</v>
      </c>
      <c r="J28" s="12">
        <v>31</v>
      </c>
      <c r="K28" s="12">
        <v>113</v>
      </c>
      <c r="L28" s="12">
        <v>123</v>
      </c>
      <c r="M28" s="12">
        <v>213</v>
      </c>
      <c r="N28" s="12">
        <v>188</v>
      </c>
      <c r="O28" s="12">
        <v>110</v>
      </c>
      <c r="P28" s="12">
        <v>126</v>
      </c>
      <c r="Q28" s="12">
        <v>181</v>
      </c>
      <c r="R28" s="12">
        <v>81</v>
      </c>
      <c r="S28" s="12">
        <v>117</v>
      </c>
      <c r="T28" s="12">
        <v>81</v>
      </c>
      <c r="U28" s="12">
        <v>65</v>
      </c>
      <c r="V28" s="12">
        <v>102</v>
      </c>
      <c r="W28" s="12">
        <v>99</v>
      </c>
      <c r="X28" s="12">
        <v>96</v>
      </c>
      <c r="Y28" s="12">
        <v>108</v>
      </c>
      <c r="Z28" s="12">
        <v>146</v>
      </c>
      <c r="AA28" s="12">
        <v>155</v>
      </c>
      <c r="AB28" s="12">
        <v>149</v>
      </c>
      <c r="AC28" s="12">
        <v>83</v>
      </c>
      <c r="AD28" s="12">
        <v>105</v>
      </c>
      <c r="AE28" s="12">
        <v>122</v>
      </c>
      <c r="AF28" s="12">
        <v>80</v>
      </c>
    </row>
    <row r="29" spans="1:32" x14ac:dyDescent="0.25">
      <c r="A29" s="19"/>
      <c r="B29" s="13" t="s">
        <v>423</v>
      </c>
      <c r="C29" s="14">
        <v>0.13</v>
      </c>
      <c r="D29" s="14">
        <v>0.13</v>
      </c>
      <c r="E29" s="14">
        <v>0.1</v>
      </c>
      <c r="F29" s="14">
        <v>0.1</v>
      </c>
      <c r="G29" s="14">
        <v>7.0000000000000007E-2</v>
      </c>
      <c r="H29" s="14">
        <v>0.08</v>
      </c>
      <c r="I29" s="14">
        <v>0.09</v>
      </c>
      <c r="J29" s="14">
        <v>0.1</v>
      </c>
      <c r="K29" s="14">
        <v>0.11</v>
      </c>
      <c r="L29" s="14">
        <v>0.12</v>
      </c>
      <c r="M29" s="14">
        <v>0.21</v>
      </c>
      <c r="N29" s="14">
        <v>0.18</v>
      </c>
      <c r="O29" s="14">
        <v>0.11</v>
      </c>
      <c r="P29" s="14">
        <v>0.12</v>
      </c>
      <c r="Q29" s="14">
        <v>0.18</v>
      </c>
      <c r="R29" s="14">
        <v>0.16</v>
      </c>
      <c r="S29" s="14">
        <v>0.12</v>
      </c>
      <c r="T29" s="14">
        <v>0.08</v>
      </c>
      <c r="U29" s="14">
        <v>0.13</v>
      </c>
      <c r="V29" s="14">
        <v>0.1</v>
      </c>
      <c r="W29" s="14">
        <v>0.2</v>
      </c>
      <c r="X29" s="14">
        <v>0.1</v>
      </c>
      <c r="Y29" s="14">
        <v>0.11</v>
      </c>
      <c r="Z29" s="14">
        <v>0.14000000000000001</v>
      </c>
      <c r="AA29" s="14">
        <v>0.15</v>
      </c>
      <c r="AB29" s="14">
        <v>0.14000000000000001</v>
      </c>
      <c r="AC29" s="14">
        <v>0.08</v>
      </c>
      <c r="AD29" s="14">
        <v>0.1</v>
      </c>
      <c r="AE29" s="14">
        <v>0.12</v>
      </c>
      <c r="AF29" s="14">
        <v>0.08</v>
      </c>
    </row>
    <row r="30" spans="1:32" ht="23.25" x14ac:dyDescent="0.25">
      <c r="A30" s="19"/>
      <c r="B30" s="11" t="s">
        <v>424</v>
      </c>
      <c r="C30" s="12">
        <v>4667</v>
      </c>
      <c r="D30" s="12">
        <v>121</v>
      </c>
      <c r="E30" s="12">
        <v>223</v>
      </c>
      <c r="F30" s="12">
        <v>122</v>
      </c>
      <c r="G30" s="12">
        <v>108</v>
      </c>
      <c r="H30" s="12">
        <v>188</v>
      </c>
      <c r="I30" s="12">
        <v>238</v>
      </c>
      <c r="J30" s="12">
        <v>50</v>
      </c>
      <c r="K30" s="12">
        <v>173</v>
      </c>
      <c r="L30" s="12">
        <v>234</v>
      </c>
      <c r="M30" s="12">
        <v>166</v>
      </c>
      <c r="N30" s="12">
        <v>302</v>
      </c>
      <c r="O30" s="12">
        <v>195</v>
      </c>
      <c r="P30" s="12">
        <v>201</v>
      </c>
      <c r="Q30" s="12">
        <v>200</v>
      </c>
      <c r="R30" s="12">
        <v>123</v>
      </c>
      <c r="S30" s="12">
        <v>210</v>
      </c>
      <c r="T30" s="12">
        <v>194</v>
      </c>
      <c r="U30" s="12">
        <v>137</v>
      </c>
      <c r="V30" s="12">
        <v>160</v>
      </c>
      <c r="W30" s="12">
        <v>129</v>
      </c>
      <c r="X30" s="12">
        <v>84</v>
      </c>
      <c r="Y30" s="12">
        <v>152</v>
      </c>
      <c r="Z30" s="12">
        <v>145</v>
      </c>
      <c r="AA30" s="12">
        <v>214</v>
      </c>
      <c r="AB30" s="12">
        <v>116</v>
      </c>
      <c r="AC30" s="12">
        <v>271</v>
      </c>
      <c r="AD30" s="12">
        <v>86</v>
      </c>
      <c r="AE30" s="12">
        <v>120</v>
      </c>
      <c r="AF30" s="12">
        <v>100</v>
      </c>
    </row>
    <row r="31" spans="1:32" x14ac:dyDescent="0.25">
      <c r="A31" s="19"/>
      <c r="B31" s="13" t="s">
        <v>425</v>
      </c>
      <c r="C31" s="14">
        <v>0.18</v>
      </c>
      <c r="D31" s="14">
        <v>0.12</v>
      </c>
      <c r="E31" s="14">
        <v>0.21</v>
      </c>
      <c r="F31" s="14">
        <v>0.11</v>
      </c>
      <c r="G31" s="14">
        <v>0.11</v>
      </c>
      <c r="H31" s="14">
        <v>0.15</v>
      </c>
      <c r="I31" s="14">
        <v>0.16</v>
      </c>
      <c r="J31" s="14">
        <v>0.17</v>
      </c>
      <c r="K31" s="14">
        <v>0.17</v>
      </c>
      <c r="L31" s="14">
        <v>0.23</v>
      </c>
      <c r="M31" s="14">
        <v>0.16</v>
      </c>
      <c r="N31" s="14">
        <v>0.3</v>
      </c>
      <c r="O31" s="14">
        <v>0.19</v>
      </c>
      <c r="P31" s="14">
        <v>0.2</v>
      </c>
      <c r="Q31" s="14">
        <v>0.19</v>
      </c>
      <c r="R31" s="14">
        <v>0.24</v>
      </c>
      <c r="S31" s="14">
        <v>0.21</v>
      </c>
      <c r="T31" s="14">
        <v>0.19</v>
      </c>
      <c r="U31" s="14">
        <v>0.27</v>
      </c>
      <c r="V31" s="14">
        <v>0.15</v>
      </c>
      <c r="W31" s="14">
        <v>0.26</v>
      </c>
      <c r="X31" s="14">
        <v>0.08</v>
      </c>
      <c r="Y31" s="14">
        <v>0.15</v>
      </c>
      <c r="Z31" s="14">
        <v>0.14000000000000001</v>
      </c>
      <c r="AA31" s="14">
        <v>0.2</v>
      </c>
      <c r="AB31" s="14">
        <v>0.11</v>
      </c>
      <c r="AC31" s="14">
        <v>0.27</v>
      </c>
      <c r="AD31" s="14">
        <v>0.09</v>
      </c>
      <c r="AE31" s="14">
        <v>0.12</v>
      </c>
      <c r="AF31" s="14">
        <v>0.1</v>
      </c>
    </row>
    <row r="32" spans="1:32" x14ac:dyDescent="0.25">
      <c r="A32" s="19"/>
      <c r="B32" s="11" t="s">
        <v>224</v>
      </c>
      <c r="C32" s="12">
        <v>368</v>
      </c>
      <c r="D32" s="12">
        <v>3</v>
      </c>
      <c r="E32" s="12">
        <v>22</v>
      </c>
      <c r="F32" s="12">
        <v>13</v>
      </c>
      <c r="G32" s="12">
        <v>12</v>
      </c>
      <c r="H32" s="12">
        <v>13</v>
      </c>
      <c r="I32" s="12">
        <v>18</v>
      </c>
      <c r="J32" s="12">
        <v>4</v>
      </c>
      <c r="K32" s="12">
        <v>13</v>
      </c>
      <c r="L32" s="12">
        <v>8</v>
      </c>
      <c r="M32" s="12">
        <v>36</v>
      </c>
      <c r="N32" s="12">
        <v>22</v>
      </c>
      <c r="O32" s="12">
        <v>12</v>
      </c>
      <c r="P32" s="12">
        <v>18</v>
      </c>
      <c r="Q32" s="12">
        <v>8</v>
      </c>
      <c r="R32" s="12">
        <v>14</v>
      </c>
      <c r="S32" s="12">
        <v>29</v>
      </c>
      <c r="T32" s="12">
        <v>52</v>
      </c>
      <c r="U32" s="12">
        <v>6</v>
      </c>
      <c r="V32" s="12">
        <v>11</v>
      </c>
      <c r="W32" s="12">
        <v>10</v>
      </c>
      <c r="X32" s="12">
        <v>4</v>
      </c>
      <c r="Y32" s="12">
        <v>16</v>
      </c>
      <c r="Z32" s="12">
        <v>10</v>
      </c>
      <c r="AA32" s="12">
        <v>46</v>
      </c>
      <c r="AB32" s="12">
        <v>29</v>
      </c>
      <c r="AC32" s="12">
        <v>6</v>
      </c>
      <c r="AD32" s="12">
        <v>11</v>
      </c>
      <c r="AE32" s="12">
        <v>10</v>
      </c>
      <c r="AF32" s="12">
        <v>3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0.02</v>
      </c>
      <c r="F33" s="14">
        <v>0.01</v>
      </c>
      <c r="G33" s="14">
        <v>0.01</v>
      </c>
      <c r="H33" s="14">
        <v>0.01</v>
      </c>
      <c r="I33" s="14">
        <v>0.01</v>
      </c>
      <c r="J33" s="14">
        <v>0.01</v>
      </c>
      <c r="K33" s="14">
        <v>0.01</v>
      </c>
      <c r="L33" s="14">
        <v>0.01</v>
      </c>
      <c r="M33" s="14">
        <v>0.04</v>
      </c>
      <c r="N33" s="14">
        <v>0.02</v>
      </c>
      <c r="O33" s="14">
        <v>0.01</v>
      </c>
      <c r="P33" s="14">
        <v>0.02</v>
      </c>
      <c r="Q33" s="14">
        <v>0.01</v>
      </c>
      <c r="R33" s="14">
        <v>0.03</v>
      </c>
      <c r="S33" s="14">
        <v>0.03</v>
      </c>
      <c r="T33" s="14">
        <v>0.05</v>
      </c>
      <c r="U33" s="14">
        <v>0.01</v>
      </c>
      <c r="V33" s="14">
        <v>0.01</v>
      </c>
      <c r="W33" s="14">
        <v>0.02</v>
      </c>
      <c r="X33" s="15" t="s">
        <v>213</v>
      </c>
      <c r="Y33" s="14">
        <v>0.02</v>
      </c>
      <c r="Z33" s="14">
        <v>0.01</v>
      </c>
      <c r="AA33" s="14">
        <v>0.04</v>
      </c>
      <c r="AB33" s="14">
        <v>0.03</v>
      </c>
      <c r="AC33" s="14">
        <v>0.01</v>
      </c>
      <c r="AD33" s="14">
        <v>0.01</v>
      </c>
      <c r="AE33" s="14">
        <v>0.01</v>
      </c>
      <c r="AF33" s="15" t="s">
        <v>213</v>
      </c>
    </row>
    <row r="34" spans="1:32" ht="23.25" x14ac:dyDescent="0.25">
      <c r="A34" s="19"/>
      <c r="B34" s="11" t="s">
        <v>426</v>
      </c>
      <c r="C34" s="12">
        <v>3092</v>
      </c>
      <c r="D34" s="12">
        <v>84</v>
      </c>
      <c r="E34" s="12">
        <v>180</v>
      </c>
      <c r="F34" s="12">
        <v>209</v>
      </c>
      <c r="G34" s="12">
        <v>231</v>
      </c>
      <c r="H34" s="12">
        <v>273</v>
      </c>
      <c r="I34" s="12">
        <v>315</v>
      </c>
      <c r="J34" s="12">
        <v>40</v>
      </c>
      <c r="K34" s="12">
        <v>200</v>
      </c>
      <c r="L34" s="12">
        <v>89</v>
      </c>
      <c r="M34" s="12">
        <v>50</v>
      </c>
      <c r="N34" s="12">
        <v>55</v>
      </c>
      <c r="O34" s="12">
        <v>101</v>
      </c>
      <c r="P34" s="12">
        <v>113</v>
      </c>
      <c r="Q34" s="12">
        <v>76</v>
      </c>
      <c r="R34" s="12">
        <v>30</v>
      </c>
      <c r="S34" s="12">
        <v>161</v>
      </c>
      <c r="T34" s="12">
        <v>160</v>
      </c>
      <c r="U34" s="12">
        <v>50</v>
      </c>
      <c r="V34" s="12">
        <v>112</v>
      </c>
      <c r="W34" s="12">
        <v>32</v>
      </c>
      <c r="X34" s="12">
        <v>122</v>
      </c>
      <c r="Y34" s="12">
        <v>137</v>
      </c>
      <c r="Z34" s="12">
        <v>47</v>
      </c>
      <c r="AA34" s="12">
        <v>41</v>
      </c>
      <c r="AB34" s="12">
        <v>103</v>
      </c>
      <c r="AC34" s="12">
        <v>194</v>
      </c>
      <c r="AD34" s="12">
        <v>134</v>
      </c>
      <c r="AE34" s="12">
        <v>175</v>
      </c>
      <c r="AF34" s="12">
        <v>274</v>
      </c>
    </row>
    <row r="35" spans="1:32" ht="23.25" x14ac:dyDescent="0.25">
      <c r="A35" s="19"/>
      <c r="B35" s="13" t="s">
        <v>427</v>
      </c>
      <c r="C35" s="14">
        <v>0.11</v>
      </c>
      <c r="D35" s="14">
        <v>0.08</v>
      </c>
      <c r="E35" s="14">
        <v>0.18</v>
      </c>
      <c r="F35" s="14">
        <v>0.19</v>
      </c>
      <c r="G35" s="14">
        <v>0.24</v>
      </c>
      <c r="H35" s="14">
        <v>0.22</v>
      </c>
      <c r="I35" s="14">
        <v>0.2</v>
      </c>
      <c r="J35" s="14">
        <v>0.14000000000000001</v>
      </c>
      <c r="K35" s="14">
        <v>0.2</v>
      </c>
      <c r="L35" s="14">
        <v>0.09</v>
      </c>
      <c r="M35" s="14">
        <v>0.06</v>
      </c>
      <c r="N35" s="14">
        <v>0.06</v>
      </c>
      <c r="O35" s="14">
        <v>0.1</v>
      </c>
      <c r="P35" s="14">
        <v>0.11</v>
      </c>
      <c r="Q35" s="14">
        <v>7.0000000000000007E-2</v>
      </c>
      <c r="R35" s="14">
        <v>0.06</v>
      </c>
      <c r="S35" s="14">
        <v>0.16</v>
      </c>
      <c r="T35" s="14">
        <v>0.16</v>
      </c>
      <c r="U35" s="14">
        <v>0.09</v>
      </c>
      <c r="V35" s="14">
        <v>0.11</v>
      </c>
      <c r="W35" s="14">
        <v>0.05</v>
      </c>
      <c r="X35" s="14">
        <v>0.12</v>
      </c>
      <c r="Y35" s="14">
        <v>0.13</v>
      </c>
      <c r="Z35" s="14">
        <v>0.05</v>
      </c>
      <c r="AA35" s="14">
        <v>0.05</v>
      </c>
      <c r="AB35" s="14">
        <v>0.1</v>
      </c>
      <c r="AC35" s="14">
        <v>0.2</v>
      </c>
      <c r="AD35" s="14">
        <v>0.13</v>
      </c>
      <c r="AE35" s="14">
        <v>0.18</v>
      </c>
      <c r="AF35" s="14">
        <v>0.26</v>
      </c>
    </row>
    <row r="36" spans="1:32" ht="23.25" x14ac:dyDescent="0.25">
      <c r="A36" s="19"/>
      <c r="B36" s="11" t="s">
        <v>428</v>
      </c>
      <c r="C36" s="12">
        <v>5110</v>
      </c>
      <c r="D36" s="12">
        <v>223</v>
      </c>
      <c r="E36" s="12">
        <v>219</v>
      </c>
      <c r="F36" s="12">
        <v>348</v>
      </c>
      <c r="G36" s="12">
        <v>261</v>
      </c>
      <c r="H36" s="12">
        <v>312</v>
      </c>
      <c r="I36" s="12">
        <v>362</v>
      </c>
      <c r="J36" s="12">
        <v>51</v>
      </c>
      <c r="K36" s="12">
        <v>219</v>
      </c>
      <c r="L36" s="12">
        <v>168</v>
      </c>
      <c r="M36" s="12">
        <v>115</v>
      </c>
      <c r="N36" s="12">
        <v>99</v>
      </c>
      <c r="O36" s="12">
        <v>194</v>
      </c>
      <c r="P36" s="12">
        <v>199</v>
      </c>
      <c r="Q36" s="12">
        <v>129</v>
      </c>
      <c r="R36" s="12">
        <v>43</v>
      </c>
      <c r="S36" s="12">
        <v>191</v>
      </c>
      <c r="T36" s="12">
        <v>226</v>
      </c>
      <c r="U36" s="12">
        <v>86</v>
      </c>
      <c r="V36" s="12">
        <v>257</v>
      </c>
      <c r="W36" s="12">
        <v>83</v>
      </c>
      <c r="X36" s="12">
        <v>246</v>
      </c>
      <c r="Y36" s="12">
        <v>283</v>
      </c>
      <c r="Z36" s="12">
        <v>188</v>
      </c>
      <c r="AA36" s="12">
        <v>253</v>
      </c>
      <c r="AB36" s="12">
        <v>226</v>
      </c>
      <c r="AC36" s="12">
        <v>184</v>
      </c>
      <c r="AD36" s="12">
        <v>260</v>
      </c>
      <c r="AE36" s="12">
        <v>193</v>
      </c>
      <c r="AF36" s="12">
        <v>250</v>
      </c>
    </row>
    <row r="37" spans="1:32" ht="23.25" x14ac:dyDescent="0.25">
      <c r="A37" s="19"/>
      <c r="B37" s="13" t="s">
        <v>429</v>
      </c>
      <c r="C37" s="14">
        <v>0.2</v>
      </c>
      <c r="D37" s="14">
        <v>0.22</v>
      </c>
      <c r="E37" s="14">
        <v>0.21</v>
      </c>
      <c r="F37" s="14">
        <v>0.33</v>
      </c>
      <c r="G37" s="14">
        <v>0.25</v>
      </c>
      <c r="H37" s="14">
        <v>0.26</v>
      </c>
      <c r="I37" s="14">
        <v>0.24</v>
      </c>
      <c r="J37" s="14">
        <v>0.18</v>
      </c>
      <c r="K37" s="14">
        <v>0.22</v>
      </c>
      <c r="L37" s="14">
        <v>0.16</v>
      </c>
      <c r="M37" s="14">
        <v>0.11</v>
      </c>
      <c r="N37" s="14">
        <v>0.1</v>
      </c>
      <c r="O37" s="14">
        <v>0.19</v>
      </c>
      <c r="P37" s="14">
        <v>0.2</v>
      </c>
      <c r="Q37" s="14">
        <v>0.12</v>
      </c>
      <c r="R37" s="14">
        <v>0.09</v>
      </c>
      <c r="S37" s="14">
        <v>0.19</v>
      </c>
      <c r="T37" s="14">
        <v>0.22</v>
      </c>
      <c r="U37" s="14">
        <v>0.17</v>
      </c>
      <c r="V37" s="14">
        <v>0.25</v>
      </c>
      <c r="W37" s="14">
        <v>0.17</v>
      </c>
      <c r="X37" s="14">
        <v>0.25</v>
      </c>
      <c r="Y37" s="14">
        <v>0.28000000000000003</v>
      </c>
      <c r="Z37" s="14">
        <v>0.19</v>
      </c>
      <c r="AA37" s="14">
        <v>0.25</v>
      </c>
      <c r="AB37" s="14">
        <v>0.22</v>
      </c>
      <c r="AC37" s="14">
        <v>0.18</v>
      </c>
      <c r="AD37" s="14">
        <v>0.26</v>
      </c>
      <c r="AE37" s="14">
        <v>0.19</v>
      </c>
      <c r="AF37" s="14">
        <v>0.24</v>
      </c>
    </row>
    <row r="38" spans="1:32" ht="23.25" x14ac:dyDescent="0.25">
      <c r="A38" s="19"/>
      <c r="B38" s="11" t="s">
        <v>430</v>
      </c>
      <c r="C38" s="12">
        <v>17883</v>
      </c>
      <c r="D38" s="12">
        <v>711</v>
      </c>
      <c r="E38" s="12">
        <v>625</v>
      </c>
      <c r="F38" s="12">
        <v>495</v>
      </c>
      <c r="G38" s="12">
        <v>510</v>
      </c>
      <c r="H38" s="12">
        <v>631</v>
      </c>
      <c r="I38" s="12">
        <v>833</v>
      </c>
      <c r="J38" s="12">
        <v>202</v>
      </c>
      <c r="K38" s="12">
        <v>574</v>
      </c>
      <c r="L38" s="12">
        <v>741</v>
      </c>
      <c r="M38" s="12">
        <v>805</v>
      </c>
      <c r="N38" s="12">
        <v>833</v>
      </c>
      <c r="O38" s="12">
        <v>697</v>
      </c>
      <c r="P38" s="12">
        <v>674</v>
      </c>
      <c r="Q38" s="12">
        <v>818</v>
      </c>
      <c r="R38" s="12">
        <v>415</v>
      </c>
      <c r="S38" s="12">
        <v>623</v>
      </c>
      <c r="T38" s="12">
        <v>585</v>
      </c>
      <c r="U38" s="12">
        <v>366</v>
      </c>
      <c r="V38" s="12">
        <v>648</v>
      </c>
      <c r="W38" s="12">
        <v>378</v>
      </c>
      <c r="X38" s="12">
        <v>638</v>
      </c>
      <c r="Y38" s="12">
        <v>568</v>
      </c>
      <c r="Z38" s="12">
        <v>769</v>
      </c>
      <c r="AA38" s="12">
        <v>696</v>
      </c>
      <c r="AB38" s="12">
        <v>684</v>
      </c>
      <c r="AC38" s="12">
        <v>621</v>
      </c>
      <c r="AD38" s="12">
        <v>598</v>
      </c>
      <c r="AE38" s="12">
        <v>624</v>
      </c>
      <c r="AF38" s="12">
        <v>503</v>
      </c>
    </row>
    <row r="39" spans="1:32" ht="23.25" x14ac:dyDescent="0.25">
      <c r="A39" s="19"/>
      <c r="B39" s="13" t="s">
        <v>431</v>
      </c>
      <c r="C39" s="14">
        <v>0.68</v>
      </c>
      <c r="D39" s="14">
        <v>0.70000000000000007</v>
      </c>
      <c r="E39" s="14">
        <v>0.59</v>
      </c>
      <c r="F39" s="14">
        <v>0.47</v>
      </c>
      <c r="G39" s="14">
        <v>0.5</v>
      </c>
      <c r="H39" s="14">
        <v>0.51</v>
      </c>
      <c r="I39" s="14">
        <v>0.55000000000000004</v>
      </c>
      <c r="J39" s="14">
        <v>0.67</v>
      </c>
      <c r="K39" s="14">
        <v>0.57000000000000006</v>
      </c>
      <c r="L39" s="14">
        <v>0.74</v>
      </c>
      <c r="M39" s="14">
        <v>0.79</v>
      </c>
      <c r="N39" s="14">
        <v>0.82000000000000006</v>
      </c>
      <c r="O39" s="14">
        <v>0.70000000000000007</v>
      </c>
      <c r="P39" s="14">
        <v>0.67</v>
      </c>
      <c r="Q39" s="14">
        <v>0.8</v>
      </c>
      <c r="R39" s="14">
        <v>0.82000000000000006</v>
      </c>
      <c r="S39" s="14">
        <v>0.62</v>
      </c>
      <c r="T39" s="14">
        <v>0.57000000000000006</v>
      </c>
      <c r="U39" s="14">
        <v>0.73</v>
      </c>
      <c r="V39" s="14">
        <v>0.63</v>
      </c>
      <c r="W39" s="14">
        <v>0.76</v>
      </c>
      <c r="X39" s="14">
        <v>0.63</v>
      </c>
      <c r="Y39" s="14">
        <v>0.57000000000000006</v>
      </c>
      <c r="Z39" s="14">
        <v>0.75</v>
      </c>
      <c r="AA39" s="14">
        <v>0.66</v>
      </c>
      <c r="AB39" s="14">
        <v>0.65</v>
      </c>
      <c r="AC39" s="14">
        <v>0.61</v>
      </c>
      <c r="AD39" s="14">
        <v>0.6</v>
      </c>
      <c r="AE39" s="14">
        <v>0.62</v>
      </c>
      <c r="AF39" s="14">
        <v>0.5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496</v>
      </c>
      <c r="C3" s="18"/>
      <c r="D3" s="18"/>
      <c r="E3" s="18"/>
      <c r="F3" s="18"/>
      <c r="H3" s="18" t="s">
        <v>497</v>
      </c>
      <c r="I3" s="18"/>
      <c r="J3" s="18"/>
      <c r="K3" s="18"/>
      <c r="L3" s="18"/>
    </row>
    <row r="4" spans="1:32" ht="27" customHeight="1" x14ac:dyDescent="0.25">
      <c r="B4" s="18" t="s">
        <v>498</v>
      </c>
      <c r="C4" s="18"/>
      <c r="D4" s="18"/>
      <c r="E4" s="18"/>
      <c r="F4" s="18"/>
      <c r="H4" s="18" t="s">
        <v>499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414</v>
      </c>
      <c r="C12" s="12">
        <v>469</v>
      </c>
      <c r="D12" s="12">
        <v>19</v>
      </c>
      <c r="E12" s="12">
        <v>45</v>
      </c>
      <c r="F12" s="12">
        <v>53</v>
      </c>
      <c r="G12" s="12">
        <v>73</v>
      </c>
      <c r="H12" s="12">
        <v>19</v>
      </c>
      <c r="I12" s="12">
        <v>28</v>
      </c>
      <c r="J12" s="12">
        <v>9</v>
      </c>
      <c r="K12" s="12">
        <v>77</v>
      </c>
      <c r="L12" s="12">
        <v>52</v>
      </c>
      <c r="M12" s="12">
        <v>9</v>
      </c>
      <c r="N12" s="12">
        <v>5</v>
      </c>
      <c r="O12" s="12">
        <v>15</v>
      </c>
      <c r="P12" s="12">
        <v>11</v>
      </c>
      <c r="Q12" s="12">
        <v>11</v>
      </c>
      <c r="R12" s="12">
        <v>7</v>
      </c>
      <c r="S12" s="12">
        <v>57</v>
      </c>
      <c r="T12" s="12">
        <v>65</v>
      </c>
      <c r="U12" s="12">
        <v>12</v>
      </c>
      <c r="V12" s="12">
        <v>20</v>
      </c>
      <c r="W12" s="12">
        <v>11</v>
      </c>
      <c r="X12" s="12">
        <v>8</v>
      </c>
      <c r="Y12" s="12">
        <v>50</v>
      </c>
      <c r="Z12" s="12">
        <v>3</v>
      </c>
      <c r="AA12" s="12">
        <v>2</v>
      </c>
      <c r="AB12" s="12">
        <v>39</v>
      </c>
      <c r="AC12" s="12">
        <v>52</v>
      </c>
      <c r="AD12" s="12">
        <v>29</v>
      </c>
      <c r="AE12" s="12">
        <v>27</v>
      </c>
      <c r="AF12" s="12">
        <v>27</v>
      </c>
    </row>
    <row r="13" spans="1:32" x14ac:dyDescent="0.25">
      <c r="A13" s="19"/>
      <c r="B13" s="13" t="s">
        <v>415</v>
      </c>
      <c r="C13" s="14">
        <v>0.02</v>
      </c>
      <c r="D13" s="14">
        <v>0.02</v>
      </c>
      <c r="E13" s="14">
        <v>0.04</v>
      </c>
      <c r="F13" s="14">
        <v>0.05</v>
      </c>
      <c r="G13" s="14">
        <v>7.0000000000000007E-2</v>
      </c>
      <c r="H13" s="14">
        <v>0.02</v>
      </c>
      <c r="I13" s="14">
        <v>0.02</v>
      </c>
      <c r="J13" s="14">
        <v>0.03</v>
      </c>
      <c r="K13" s="14">
        <v>0.08</v>
      </c>
      <c r="L13" s="14">
        <v>0.05</v>
      </c>
      <c r="M13" s="14">
        <v>0.01</v>
      </c>
      <c r="N13" s="15" t="s">
        <v>213</v>
      </c>
      <c r="O13" s="14">
        <v>0.01</v>
      </c>
      <c r="P13" s="14">
        <v>0.01</v>
      </c>
      <c r="Q13" s="14">
        <v>0.01</v>
      </c>
      <c r="R13" s="14">
        <v>0.01</v>
      </c>
      <c r="S13" s="14">
        <v>0.06</v>
      </c>
      <c r="T13" s="14">
        <v>0.06</v>
      </c>
      <c r="U13" s="14">
        <v>0.02</v>
      </c>
      <c r="V13" s="14">
        <v>0.02</v>
      </c>
      <c r="W13" s="14">
        <v>0.02</v>
      </c>
      <c r="X13" s="14">
        <v>0.01</v>
      </c>
      <c r="Y13" s="14">
        <v>0.05</v>
      </c>
      <c r="Z13" s="15" t="s">
        <v>213</v>
      </c>
      <c r="AA13" s="15" t="s">
        <v>213</v>
      </c>
      <c r="AB13" s="14">
        <v>0.04</v>
      </c>
      <c r="AC13" s="14">
        <v>0.05</v>
      </c>
      <c r="AD13" s="14">
        <v>0.03</v>
      </c>
      <c r="AE13" s="14">
        <v>0.03</v>
      </c>
      <c r="AF13" s="14">
        <v>0.02</v>
      </c>
    </row>
    <row r="14" spans="1:32" x14ac:dyDescent="0.25">
      <c r="A14" s="19"/>
      <c r="B14" s="11" t="s">
        <v>416</v>
      </c>
      <c r="C14" s="12">
        <v>521</v>
      </c>
      <c r="D14" s="12">
        <v>20</v>
      </c>
      <c r="E14" s="12">
        <v>37</v>
      </c>
      <c r="F14" s="12">
        <v>23</v>
      </c>
      <c r="G14" s="12">
        <v>71</v>
      </c>
      <c r="H14" s="12">
        <v>51</v>
      </c>
      <c r="I14" s="12">
        <v>61</v>
      </c>
      <c r="J14" s="12">
        <v>10</v>
      </c>
      <c r="K14" s="12">
        <v>48</v>
      </c>
      <c r="L14" s="12">
        <v>10</v>
      </c>
      <c r="M14" s="12">
        <v>13</v>
      </c>
      <c r="N14" s="12">
        <v>5</v>
      </c>
      <c r="O14" s="12">
        <v>14</v>
      </c>
      <c r="P14" s="12">
        <v>21</v>
      </c>
      <c r="Q14" s="12">
        <v>4</v>
      </c>
      <c r="R14" s="12">
        <v>5</v>
      </c>
      <c r="S14" s="12">
        <v>42</v>
      </c>
      <c r="T14" s="12">
        <v>47</v>
      </c>
      <c r="U14" s="12">
        <v>8</v>
      </c>
      <c r="V14" s="12">
        <v>13</v>
      </c>
      <c r="W14" s="12">
        <v>8</v>
      </c>
      <c r="X14" s="12">
        <v>29</v>
      </c>
      <c r="Y14" s="12">
        <v>39</v>
      </c>
      <c r="Z14" s="12">
        <v>8</v>
      </c>
      <c r="AA14" s="12">
        <v>2</v>
      </c>
      <c r="AB14" s="12">
        <v>12</v>
      </c>
      <c r="AC14" s="12">
        <v>38</v>
      </c>
      <c r="AD14" s="12">
        <v>23</v>
      </c>
      <c r="AE14" s="12">
        <v>52</v>
      </c>
      <c r="AF14" s="12">
        <v>38</v>
      </c>
    </row>
    <row r="15" spans="1:32" x14ac:dyDescent="0.25">
      <c r="A15" s="19"/>
      <c r="B15" s="13" t="s">
        <v>416</v>
      </c>
      <c r="C15" s="14">
        <v>0.02</v>
      </c>
      <c r="D15" s="14">
        <v>0.02</v>
      </c>
      <c r="E15" s="14">
        <v>0.04</v>
      </c>
      <c r="F15" s="14">
        <v>0.02</v>
      </c>
      <c r="G15" s="14">
        <v>7.0000000000000007E-2</v>
      </c>
      <c r="H15" s="14">
        <v>0.04</v>
      </c>
      <c r="I15" s="14">
        <v>0.04</v>
      </c>
      <c r="J15" s="14">
        <v>0.04</v>
      </c>
      <c r="K15" s="14">
        <v>0.05</v>
      </c>
      <c r="L15" s="14">
        <v>0.01</v>
      </c>
      <c r="M15" s="14">
        <v>0.01</v>
      </c>
      <c r="N15" s="14">
        <v>0.01</v>
      </c>
      <c r="O15" s="14">
        <v>0.01</v>
      </c>
      <c r="P15" s="14">
        <v>0.02</v>
      </c>
      <c r="Q15" s="15" t="s">
        <v>213</v>
      </c>
      <c r="R15" s="14">
        <v>0.01</v>
      </c>
      <c r="S15" s="14">
        <v>0.04</v>
      </c>
      <c r="T15" s="14">
        <v>0.04</v>
      </c>
      <c r="U15" s="14">
        <v>0.02</v>
      </c>
      <c r="V15" s="14">
        <v>0.01</v>
      </c>
      <c r="W15" s="14">
        <v>0.01</v>
      </c>
      <c r="X15" s="14">
        <v>0.03</v>
      </c>
      <c r="Y15" s="14">
        <v>0.04</v>
      </c>
      <c r="Z15" s="14">
        <v>0.01</v>
      </c>
      <c r="AA15" s="15" t="s">
        <v>213</v>
      </c>
      <c r="AB15" s="14">
        <v>0.01</v>
      </c>
      <c r="AC15" s="14">
        <v>0.04</v>
      </c>
      <c r="AD15" s="14">
        <v>0.02</v>
      </c>
      <c r="AE15" s="14">
        <v>0.05</v>
      </c>
      <c r="AF15" s="14">
        <v>0.04</v>
      </c>
    </row>
    <row r="16" spans="1:32" x14ac:dyDescent="0.25">
      <c r="A16" s="19"/>
      <c r="B16" s="11" t="s">
        <v>417</v>
      </c>
      <c r="C16" s="12">
        <v>918</v>
      </c>
      <c r="D16" s="12">
        <v>27</v>
      </c>
      <c r="E16" s="12">
        <v>78</v>
      </c>
      <c r="F16" s="12">
        <v>55</v>
      </c>
      <c r="G16" s="12">
        <v>118</v>
      </c>
      <c r="H16" s="12">
        <v>68</v>
      </c>
      <c r="I16" s="12">
        <v>89</v>
      </c>
      <c r="J16" s="12">
        <v>21</v>
      </c>
      <c r="K16" s="12">
        <v>78</v>
      </c>
      <c r="L16" s="12">
        <v>42</v>
      </c>
      <c r="M16" s="12">
        <v>29</v>
      </c>
      <c r="N16" s="12">
        <v>5</v>
      </c>
      <c r="O16" s="12">
        <v>27</v>
      </c>
      <c r="P16" s="12">
        <v>31</v>
      </c>
      <c r="Q16" s="12">
        <v>9</v>
      </c>
      <c r="R16" s="12">
        <v>12</v>
      </c>
      <c r="S16" s="12">
        <v>47</v>
      </c>
      <c r="T16" s="12">
        <v>57</v>
      </c>
      <c r="U16" s="12">
        <v>16</v>
      </c>
      <c r="V16" s="12">
        <v>58</v>
      </c>
      <c r="W16" s="12">
        <v>18</v>
      </c>
      <c r="X16" s="12">
        <v>53</v>
      </c>
      <c r="Y16" s="12">
        <v>49</v>
      </c>
      <c r="Z16" s="12">
        <v>23</v>
      </c>
      <c r="AA16" s="12">
        <v>4</v>
      </c>
      <c r="AB16" s="12">
        <v>18</v>
      </c>
      <c r="AC16" s="12">
        <v>95</v>
      </c>
      <c r="AD16" s="12">
        <v>64</v>
      </c>
      <c r="AE16" s="12">
        <v>67</v>
      </c>
      <c r="AF16" s="12">
        <v>99</v>
      </c>
    </row>
    <row r="17" spans="1:32" x14ac:dyDescent="0.25">
      <c r="A17" s="19"/>
      <c r="B17" s="13" t="s">
        <v>417</v>
      </c>
      <c r="C17" s="14">
        <v>0.03</v>
      </c>
      <c r="D17" s="14">
        <v>0.03</v>
      </c>
      <c r="E17" s="14">
        <v>0.08</v>
      </c>
      <c r="F17" s="14">
        <v>0.05</v>
      </c>
      <c r="G17" s="14">
        <v>0.12</v>
      </c>
      <c r="H17" s="14">
        <v>0.06</v>
      </c>
      <c r="I17" s="14">
        <v>0.06</v>
      </c>
      <c r="J17" s="14">
        <v>7.0000000000000007E-2</v>
      </c>
      <c r="K17" s="14">
        <v>0.08</v>
      </c>
      <c r="L17" s="14">
        <v>0.04</v>
      </c>
      <c r="M17" s="14">
        <v>0.03</v>
      </c>
      <c r="N17" s="14">
        <v>0.01</v>
      </c>
      <c r="O17" s="14">
        <v>0.03</v>
      </c>
      <c r="P17" s="14">
        <v>0.03</v>
      </c>
      <c r="Q17" s="14">
        <v>0.01</v>
      </c>
      <c r="R17" s="14">
        <v>0.03</v>
      </c>
      <c r="S17" s="14">
        <v>0.05</v>
      </c>
      <c r="T17" s="14">
        <v>0.06</v>
      </c>
      <c r="U17" s="14">
        <v>0.03</v>
      </c>
      <c r="V17" s="14">
        <v>0.06</v>
      </c>
      <c r="W17" s="14">
        <v>0.04</v>
      </c>
      <c r="X17" s="14">
        <v>0.05</v>
      </c>
      <c r="Y17" s="14">
        <v>0.05</v>
      </c>
      <c r="Z17" s="14">
        <v>0.02</v>
      </c>
      <c r="AA17" s="14">
        <v>0.01</v>
      </c>
      <c r="AB17" s="14">
        <v>0.02</v>
      </c>
      <c r="AC17" s="14">
        <v>0.09</v>
      </c>
      <c r="AD17" s="14">
        <v>0.06</v>
      </c>
      <c r="AE17" s="14">
        <v>7.0000000000000007E-2</v>
      </c>
      <c r="AF17" s="14">
        <v>0.09</v>
      </c>
    </row>
    <row r="18" spans="1:32" x14ac:dyDescent="0.25">
      <c r="A18" s="19"/>
      <c r="B18" s="11" t="s">
        <v>418</v>
      </c>
      <c r="C18" s="12">
        <v>1243</v>
      </c>
      <c r="D18" s="12">
        <v>49</v>
      </c>
      <c r="E18" s="12">
        <v>77</v>
      </c>
      <c r="F18" s="12">
        <v>86</v>
      </c>
      <c r="G18" s="12">
        <v>120</v>
      </c>
      <c r="H18" s="12">
        <v>107</v>
      </c>
      <c r="I18" s="12">
        <v>120</v>
      </c>
      <c r="J18" s="12">
        <v>13</v>
      </c>
      <c r="K18" s="12">
        <v>79</v>
      </c>
      <c r="L18" s="12">
        <v>55</v>
      </c>
      <c r="M18" s="12">
        <v>43</v>
      </c>
      <c r="N18" s="12">
        <v>14</v>
      </c>
      <c r="O18" s="12">
        <v>29</v>
      </c>
      <c r="P18" s="12">
        <v>56</v>
      </c>
      <c r="Q18" s="12">
        <v>23</v>
      </c>
      <c r="R18" s="12">
        <v>20</v>
      </c>
      <c r="S18" s="12">
        <v>55</v>
      </c>
      <c r="T18" s="12">
        <v>71</v>
      </c>
      <c r="U18" s="12">
        <v>26</v>
      </c>
      <c r="V18" s="12">
        <v>63</v>
      </c>
      <c r="W18" s="12">
        <v>18</v>
      </c>
      <c r="X18" s="12">
        <v>67</v>
      </c>
      <c r="Y18" s="12">
        <v>68</v>
      </c>
      <c r="Z18" s="12">
        <v>38</v>
      </c>
      <c r="AA18" s="12">
        <v>13</v>
      </c>
      <c r="AB18" s="12">
        <v>40</v>
      </c>
      <c r="AC18" s="12">
        <v>56</v>
      </c>
      <c r="AD18" s="12">
        <v>47</v>
      </c>
      <c r="AE18" s="12">
        <v>97</v>
      </c>
      <c r="AF18" s="12">
        <v>99</v>
      </c>
    </row>
    <row r="19" spans="1:32" x14ac:dyDescent="0.25">
      <c r="A19" s="19"/>
      <c r="B19" s="13" t="s">
        <v>418</v>
      </c>
      <c r="C19" s="14">
        <v>0.05</v>
      </c>
      <c r="D19" s="14">
        <v>0.05</v>
      </c>
      <c r="E19" s="14">
        <v>7.0000000000000007E-2</v>
      </c>
      <c r="F19" s="14">
        <v>0.08</v>
      </c>
      <c r="G19" s="14">
        <v>0.12</v>
      </c>
      <c r="H19" s="14">
        <v>0.09</v>
      </c>
      <c r="I19" s="14">
        <v>0.08</v>
      </c>
      <c r="J19" s="14">
        <v>0.05</v>
      </c>
      <c r="K19" s="14">
        <v>0.08</v>
      </c>
      <c r="L19" s="14">
        <v>0.05</v>
      </c>
      <c r="M19" s="14">
        <v>0.04</v>
      </c>
      <c r="N19" s="14">
        <v>0.01</v>
      </c>
      <c r="O19" s="14">
        <v>0.03</v>
      </c>
      <c r="P19" s="14">
        <v>0.06</v>
      </c>
      <c r="Q19" s="14">
        <v>0.02</v>
      </c>
      <c r="R19" s="14">
        <v>0.04</v>
      </c>
      <c r="S19" s="14">
        <v>0.05</v>
      </c>
      <c r="T19" s="14">
        <v>7.0000000000000007E-2</v>
      </c>
      <c r="U19" s="14">
        <v>0.05</v>
      </c>
      <c r="V19" s="14">
        <v>0.06</v>
      </c>
      <c r="W19" s="14">
        <v>0.04</v>
      </c>
      <c r="X19" s="14">
        <v>7.0000000000000007E-2</v>
      </c>
      <c r="Y19" s="14">
        <v>7.0000000000000007E-2</v>
      </c>
      <c r="Z19" s="14">
        <v>0.04</v>
      </c>
      <c r="AA19" s="14">
        <v>0.01</v>
      </c>
      <c r="AB19" s="14">
        <v>0.04</v>
      </c>
      <c r="AC19" s="14">
        <v>0.06</v>
      </c>
      <c r="AD19" s="14">
        <v>0.05</v>
      </c>
      <c r="AE19" s="14">
        <v>0.1</v>
      </c>
      <c r="AF19" s="14">
        <v>0.1</v>
      </c>
    </row>
    <row r="20" spans="1:32" x14ac:dyDescent="0.25">
      <c r="A20" s="19"/>
      <c r="B20" s="11" t="s">
        <v>419</v>
      </c>
      <c r="C20" s="12">
        <v>2477</v>
      </c>
      <c r="D20" s="12">
        <v>107</v>
      </c>
      <c r="E20" s="12">
        <v>129</v>
      </c>
      <c r="F20" s="12">
        <v>136</v>
      </c>
      <c r="G20" s="12">
        <v>113</v>
      </c>
      <c r="H20" s="12">
        <v>183</v>
      </c>
      <c r="I20" s="12">
        <v>211</v>
      </c>
      <c r="J20" s="12">
        <v>28</v>
      </c>
      <c r="K20" s="12">
        <v>135</v>
      </c>
      <c r="L20" s="12">
        <v>80</v>
      </c>
      <c r="M20" s="12">
        <v>76</v>
      </c>
      <c r="N20" s="12">
        <v>30</v>
      </c>
      <c r="O20" s="12">
        <v>107</v>
      </c>
      <c r="P20" s="12">
        <v>85</v>
      </c>
      <c r="Q20" s="12">
        <v>54</v>
      </c>
      <c r="R20" s="12">
        <v>47</v>
      </c>
      <c r="S20" s="12">
        <v>148</v>
      </c>
      <c r="T20" s="12">
        <v>162</v>
      </c>
      <c r="U20" s="12">
        <v>46</v>
      </c>
      <c r="V20" s="12">
        <v>120</v>
      </c>
      <c r="W20" s="12">
        <v>40</v>
      </c>
      <c r="X20" s="12">
        <v>106</v>
      </c>
      <c r="Y20" s="12">
        <v>99</v>
      </c>
      <c r="Z20" s="12">
        <v>80</v>
      </c>
      <c r="AA20" s="12">
        <v>100</v>
      </c>
      <c r="AB20" s="12">
        <v>79</v>
      </c>
      <c r="AC20" s="12">
        <v>122</v>
      </c>
      <c r="AD20" s="12">
        <v>126</v>
      </c>
      <c r="AE20" s="12">
        <v>118</v>
      </c>
      <c r="AF20" s="12">
        <v>120</v>
      </c>
    </row>
    <row r="21" spans="1:32" x14ac:dyDescent="0.25">
      <c r="A21" s="19"/>
      <c r="B21" s="13" t="s">
        <v>419</v>
      </c>
      <c r="C21" s="14">
        <v>0.09</v>
      </c>
      <c r="D21" s="14">
        <v>0.1</v>
      </c>
      <c r="E21" s="14">
        <v>0.12</v>
      </c>
      <c r="F21" s="14">
        <v>0.13</v>
      </c>
      <c r="G21" s="14">
        <v>0.11</v>
      </c>
      <c r="H21" s="14">
        <v>0.15</v>
      </c>
      <c r="I21" s="14">
        <v>0.14000000000000001</v>
      </c>
      <c r="J21" s="14">
        <v>0.09</v>
      </c>
      <c r="K21" s="14">
        <v>0.13</v>
      </c>
      <c r="L21" s="14">
        <v>0.08</v>
      </c>
      <c r="M21" s="14">
        <v>0.08</v>
      </c>
      <c r="N21" s="14">
        <v>0.03</v>
      </c>
      <c r="O21" s="14">
        <v>0.11</v>
      </c>
      <c r="P21" s="14">
        <v>0.09</v>
      </c>
      <c r="Q21" s="14">
        <v>0.05</v>
      </c>
      <c r="R21" s="14">
        <v>0.1</v>
      </c>
      <c r="S21" s="14">
        <v>0.15</v>
      </c>
      <c r="T21" s="14">
        <v>0.16</v>
      </c>
      <c r="U21" s="14">
        <v>0.09</v>
      </c>
      <c r="V21" s="14">
        <v>0.12</v>
      </c>
      <c r="W21" s="14">
        <v>0.08</v>
      </c>
      <c r="X21" s="14">
        <v>0.11</v>
      </c>
      <c r="Y21" s="14">
        <v>0.1</v>
      </c>
      <c r="Z21" s="14">
        <v>0.08</v>
      </c>
      <c r="AA21" s="14">
        <v>0.1</v>
      </c>
      <c r="AB21" s="14">
        <v>0.08</v>
      </c>
      <c r="AC21" s="14">
        <v>0.12</v>
      </c>
      <c r="AD21" s="14">
        <v>0.13</v>
      </c>
      <c r="AE21" s="14">
        <v>0.12</v>
      </c>
      <c r="AF21" s="14">
        <v>0.12</v>
      </c>
    </row>
    <row r="22" spans="1:32" x14ac:dyDescent="0.25">
      <c r="A22" s="19"/>
      <c r="B22" s="11" t="s">
        <v>420</v>
      </c>
      <c r="C22" s="12">
        <v>2920</v>
      </c>
      <c r="D22" s="12">
        <v>142</v>
      </c>
      <c r="E22" s="12">
        <v>117</v>
      </c>
      <c r="F22" s="12">
        <v>154</v>
      </c>
      <c r="G22" s="12">
        <v>96</v>
      </c>
      <c r="H22" s="12">
        <v>164</v>
      </c>
      <c r="I22" s="12">
        <v>195</v>
      </c>
      <c r="J22" s="12">
        <v>32</v>
      </c>
      <c r="K22" s="12">
        <v>121</v>
      </c>
      <c r="L22" s="12">
        <v>81</v>
      </c>
      <c r="M22" s="12">
        <v>87</v>
      </c>
      <c r="N22" s="12">
        <v>79</v>
      </c>
      <c r="O22" s="12">
        <v>108</v>
      </c>
      <c r="P22" s="12">
        <v>113</v>
      </c>
      <c r="Q22" s="12">
        <v>66</v>
      </c>
      <c r="R22" s="12">
        <v>36</v>
      </c>
      <c r="S22" s="12">
        <v>99</v>
      </c>
      <c r="T22" s="12">
        <v>148</v>
      </c>
      <c r="U22" s="12">
        <v>70</v>
      </c>
      <c r="V22" s="12">
        <v>153</v>
      </c>
      <c r="W22" s="12">
        <v>35</v>
      </c>
      <c r="X22" s="12">
        <v>162</v>
      </c>
      <c r="Y22" s="12">
        <v>113</v>
      </c>
      <c r="Z22" s="12">
        <v>117</v>
      </c>
      <c r="AA22" s="12">
        <v>164</v>
      </c>
      <c r="AB22" s="12">
        <v>143</v>
      </c>
      <c r="AC22" s="12">
        <v>100</v>
      </c>
      <c r="AD22" s="12">
        <v>154</v>
      </c>
      <c r="AE22" s="12">
        <v>149</v>
      </c>
      <c r="AF22" s="12">
        <v>111</v>
      </c>
    </row>
    <row r="23" spans="1:32" x14ac:dyDescent="0.25">
      <c r="A23" s="19"/>
      <c r="B23" s="13" t="s">
        <v>420</v>
      </c>
      <c r="C23" s="14">
        <v>0.11</v>
      </c>
      <c r="D23" s="14">
        <v>0.14000000000000001</v>
      </c>
      <c r="E23" s="14">
        <v>0.11</v>
      </c>
      <c r="F23" s="14">
        <v>0.15</v>
      </c>
      <c r="G23" s="14">
        <v>0.09</v>
      </c>
      <c r="H23" s="14">
        <v>0.13</v>
      </c>
      <c r="I23" s="14">
        <v>0.13</v>
      </c>
      <c r="J23" s="14">
        <v>0.11</v>
      </c>
      <c r="K23" s="14">
        <v>0.12</v>
      </c>
      <c r="L23" s="14">
        <v>0.08</v>
      </c>
      <c r="M23" s="14">
        <v>0.09</v>
      </c>
      <c r="N23" s="14">
        <v>0.08</v>
      </c>
      <c r="O23" s="14">
        <v>0.11</v>
      </c>
      <c r="P23" s="14">
        <v>0.11</v>
      </c>
      <c r="Q23" s="14">
        <v>7.0000000000000007E-2</v>
      </c>
      <c r="R23" s="14">
        <v>7.0000000000000007E-2</v>
      </c>
      <c r="S23" s="14">
        <v>0.1</v>
      </c>
      <c r="T23" s="14">
        <v>0.14000000000000001</v>
      </c>
      <c r="U23" s="14">
        <v>0.14000000000000001</v>
      </c>
      <c r="V23" s="14">
        <v>0.15</v>
      </c>
      <c r="W23" s="14">
        <v>7.0000000000000007E-2</v>
      </c>
      <c r="X23" s="14">
        <v>0.16</v>
      </c>
      <c r="Y23" s="14">
        <v>0.11</v>
      </c>
      <c r="Z23" s="14">
        <v>0.12</v>
      </c>
      <c r="AA23" s="14">
        <v>0.16</v>
      </c>
      <c r="AB23" s="14">
        <v>0.14000000000000001</v>
      </c>
      <c r="AC23" s="14">
        <v>0.1</v>
      </c>
      <c r="AD23" s="14">
        <v>0.15</v>
      </c>
      <c r="AE23" s="14">
        <v>0.15</v>
      </c>
      <c r="AF23" s="14">
        <v>0.11</v>
      </c>
    </row>
    <row r="24" spans="1:32" x14ac:dyDescent="0.25">
      <c r="A24" s="19"/>
      <c r="B24" s="11" t="s">
        <v>421</v>
      </c>
      <c r="C24" s="12">
        <v>4312</v>
      </c>
      <c r="D24" s="12">
        <v>200</v>
      </c>
      <c r="E24" s="12">
        <v>146</v>
      </c>
      <c r="F24" s="12">
        <v>167</v>
      </c>
      <c r="G24" s="12">
        <v>139</v>
      </c>
      <c r="H24" s="12">
        <v>166</v>
      </c>
      <c r="I24" s="12">
        <v>210</v>
      </c>
      <c r="J24" s="12">
        <v>44</v>
      </c>
      <c r="K24" s="12">
        <v>130</v>
      </c>
      <c r="L24" s="12">
        <v>151</v>
      </c>
      <c r="M24" s="12">
        <v>147</v>
      </c>
      <c r="N24" s="12">
        <v>142</v>
      </c>
      <c r="O24" s="12">
        <v>187</v>
      </c>
      <c r="P24" s="12">
        <v>171</v>
      </c>
      <c r="Q24" s="12">
        <v>155</v>
      </c>
      <c r="R24" s="12">
        <v>76</v>
      </c>
      <c r="S24" s="12">
        <v>141</v>
      </c>
      <c r="T24" s="12">
        <v>176</v>
      </c>
      <c r="U24" s="12">
        <v>106</v>
      </c>
      <c r="V24" s="12">
        <v>175</v>
      </c>
      <c r="W24" s="12">
        <v>60</v>
      </c>
      <c r="X24" s="12">
        <v>226</v>
      </c>
      <c r="Y24" s="12">
        <v>153</v>
      </c>
      <c r="Z24" s="12">
        <v>207</v>
      </c>
      <c r="AA24" s="12">
        <v>165</v>
      </c>
      <c r="AB24" s="12">
        <v>182</v>
      </c>
      <c r="AC24" s="12">
        <v>150</v>
      </c>
      <c r="AD24" s="12">
        <v>209</v>
      </c>
      <c r="AE24" s="12">
        <v>144</v>
      </c>
      <c r="AF24" s="12">
        <v>165</v>
      </c>
    </row>
    <row r="25" spans="1:32" x14ac:dyDescent="0.25">
      <c r="A25" s="19"/>
      <c r="B25" s="13" t="s">
        <v>421</v>
      </c>
      <c r="C25" s="14">
        <v>0.16</v>
      </c>
      <c r="D25" s="14">
        <v>0.19</v>
      </c>
      <c r="E25" s="14">
        <v>0.14000000000000001</v>
      </c>
      <c r="F25" s="14">
        <v>0.16</v>
      </c>
      <c r="G25" s="14">
        <v>0.14000000000000001</v>
      </c>
      <c r="H25" s="14">
        <v>0.13</v>
      </c>
      <c r="I25" s="14">
        <v>0.14000000000000001</v>
      </c>
      <c r="J25" s="14">
        <v>0.15</v>
      </c>
      <c r="K25" s="14">
        <v>0.13</v>
      </c>
      <c r="L25" s="14">
        <v>0.15</v>
      </c>
      <c r="M25" s="14">
        <v>0.15</v>
      </c>
      <c r="N25" s="14">
        <v>0.14000000000000001</v>
      </c>
      <c r="O25" s="14">
        <v>0.19</v>
      </c>
      <c r="P25" s="14">
        <v>0.17</v>
      </c>
      <c r="Q25" s="14">
        <v>0.15</v>
      </c>
      <c r="R25" s="14">
        <v>0.15</v>
      </c>
      <c r="S25" s="14">
        <v>0.14000000000000001</v>
      </c>
      <c r="T25" s="14">
        <v>0.17</v>
      </c>
      <c r="U25" s="14">
        <v>0.21</v>
      </c>
      <c r="V25" s="14">
        <v>0.17</v>
      </c>
      <c r="W25" s="14">
        <v>0.12</v>
      </c>
      <c r="X25" s="14">
        <v>0.22</v>
      </c>
      <c r="Y25" s="14">
        <v>0.15</v>
      </c>
      <c r="Z25" s="14">
        <v>0.2</v>
      </c>
      <c r="AA25" s="14">
        <v>0.16</v>
      </c>
      <c r="AB25" s="14">
        <v>0.17</v>
      </c>
      <c r="AC25" s="14">
        <v>0.15</v>
      </c>
      <c r="AD25" s="14">
        <v>0.21</v>
      </c>
      <c r="AE25" s="14">
        <v>0.14000000000000001</v>
      </c>
      <c r="AF25" s="14">
        <v>0.16</v>
      </c>
    </row>
    <row r="26" spans="1:32" x14ac:dyDescent="0.25">
      <c r="A26" s="19"/>
      <c r="B26" s="11" t="s">
        <v>422</v>
      </c>
      <c r="C26" s="12">
        <v>5683</v>
      </c>
      <c r="D26" s="12">
        <v>242</v>
      </c>
      <c r="E26" s="12">
        <v>157</v>
      </c>
      <c r="F26" s="12">
        <v>174</v>
      </c>
      <c r="G26" s="12">
        <v>136</v>
      </c>
      <c r="H26" s="12">
        <v>188</v>
      </c>
      <c r="I26" s="12">
        <v>252</v>
      </c>
      <c r="J26" s="12">
        <v>63</v>
      </c>
      <c r="K26" s="12">
        <v>115</v>
      </c>
      <c r="L26" s="12">
        <v>227</v>
      </c>
      <c r="M26" s="12">
        <v>266</v>
      </c>
      <c r="N26" s="12">
        <v>236</v>
      </c>
      <c r="O26" s="12">
        <v>232</v>
      </c>
      <c r="P26" s="12">
        <v>195</v>
      </c>
      <c r="Q26" s="12">
        <v>282</v>
      </c>
      <c r="R26" s="12">
        <v>116</v>
      </c>
      <c r="S26" s="12">
        <v>150</v>
      </c>
      <c r="T26" s="12">
        <v>135</v>
      </c>
      <c r="U26" s="12">
        <v>86</v>
      </c>
      <c r="V26" s="12">
        <v>204</v>
      </c>
      <c r="W26" s="12">
        <v>82</v>
      </c>
      <c r="X26" s="12">
        <v>214</v>
      </c>
      <c r="Y26" s="12">
        <v>131</v>
      </c>
      <c r="Z26" s="12">
        <v>266</v>
      </c>
      <c r="AA26" s="12">
        <v>231</v>
      </c>
      <c r="AB26" s="12">
        <v>243</v>
      </c>
      <c r="AC26" s="12">
        <v>122</v>
      </c>
      <c r="AD26" s="12">
        <v>176</v>
      </c>
      <c r="AE26" s="12">
        <v>166</v>
      </c>
      <c r="AF26" s="12">
        <v>161</v>
      </c>
    </row>
    <row r="27" spans="1:32" x14ac:dyDescent="0.25">
      <c r="A27" s="19"/>
      <c r="B27" s="13" t="s">
        <v>422</v>
      </c>
      <c r="C27" s="14">
        <v>0.22</v>
      </c>
      <c r="D27" s="14">
        <v>0.24</v>
      </c>
      <c r="E27" s="14">
        <v>0.15</v>
      </c>
      <c r="F27" s="14">
        <v>0.16</v>
      </c>
      <c r="G27" s="14">
        <v>0.13</v>
      </c>
      <c r="H27" s="14">
        <v>0.15</v>
      </c>
      <c r="I27" s="14">
        <v>0.16</v>
      </c>
      <c r="J27" s="14">
        <v>0.21</v>
      </c>
      <c r="K27" s="14">
        <v>0.11</v>
      </c>
      <c r="L27" s="14">
        <v>0.23</v>
      </c>
      <c r="M27" s="14">
        <v>0.26</v>
      </c>
      <c r="N27" s="14">
        <v>0.23</v>
      </c>
      <c r="O27" s="14">
        <v>0.23</v>
      </c>
      <c r="P27" s="14">
        <v>0.19</v>
      </c>
      <c r="Q27" s="14">
        <v>0.28000000000000003</v>
      </c>
      <c r="R27" s="14">
        <v>0.23</v>
      </c>
      <c r="S27" s="14">
        <v>0.15</v>
      </c>
      <c r="T27" s="14">
        <v>0.13</v>
      </c>
      <c r="U27" s="14">
        <v>0.17</v>
      </c>
      <c r="V27" s="14">
        <v>0.2</v>
      </c>
      <c r="W27" s="14">
        <v>0.16</v>
      </c>
      <c r="X27" s="14">
        <v>0.21</v>
      </c>
      <c r="Y27" s="14">
        <v>0.13</v>
      </c>
      <c r="Z27" s="14">
        <v>0.26</v>
      </c>
      <c r="AA27" s="14">
        <v>0.22</v>
      </c>
      <c r="AB27" s="14">
        <v>0.23</v>
      </c>
      <c r="AC27" s="14">
        <v>0.12</v>
      </c>
      <c r="AD27" s="14">
        <v>0.17</v>
      </c>
      <c r="AE27" s="14">
        <v>0.17</v>
      </c>
      <c r="AF27" s="14">
        <v>0.16</v>
      </c>
    </row>
    <row r="28" spans="1:32" x14ac:dyDescent="0.25">
      <c r="A28" s="19"/>
      <c r="B28" s="11" t="s">
        <v>423</v>
      </c>
      <c r="C28" s="12">
        <v>3362</v>
      </c>
      <c r="D28" s="12">
        <v>113</v>
      </c>
      <c r="E28" s="12">
        <v>86</v>
      </c>
      <c r="F28" s="12">
        <v>76</v>
      </c>
      <c r="G28" s="12">
        <v>58</v>
      </c>
      <c r="H28" s="12">
        <v>98</v>
      </c>
      <c r="I28" s="12">
        <v>129</v>
      </c>
      <c r="J28" s="12">
        <v>31</v>
      </c>
      <c r="K28" s="12">
        <v>86</v>
      </c>
      <c r="L28" s="12">
        <v>89</v>
      </c>
      <c r="M28" s="12">
        <v>197</v>
      </c>
      <c r="N28" s="12">
        <v>202</v>
      </c>
      <c r="O28" s="12">
        <v>109</v>
      </c>
      <c r="P28" s="12">
        <v>127</v>
      </c>
      <c r="Q28" s="12">
        <v>198</v>
      </c>
      <c r="R28" s="12">
        <v>67</v>
      </c>
      <c r="S28" s="12">
        <v>78</v>
      </c>
      <c r="T28" s="12">
        <v>58</v>
      </c>
      <c r="U28" s="12">
        <v>50</v>
      </c>
      <c r="V28" s="12">
        <v>100</v>
      </c>
      <c r="W28" s="12">
        <v>107</v>
      </c>
      <c r="X28" s="12">
        <v>76</v>
      </c>
      <c r="Y28" s="12">
        <v>129</v>
      </c>
      <c r="Z28" s="12">
        <v>132</v>
      </c>
      <c r="AA28" s="12">
        <v>159</v>
      </c>
      <c r="AB28" s="12">
        <v>144</v>
      </c>
      <c r="AC28" s="12">
        <v>65</v>
      </c>
      <c r="AD28" s="12">
        <v>106</v>
      </c>
      <c r="AE28" s="12">
        <v>95</v>
      </c>
      <c r="AF28" s="12">
        <v>82</v>
      </c>
    </row>
    <row r="29" spans="1:32" x14ac:dyDescent="0.25">
      <c r="A29" s="19"/>
      <c r="B29" s="13" t="s">
        <v>423</v>
      </c>
      <c r="C29" s="14">
        <v>0.13</v>
      </c>
      <c r="D29" s="14">
        <v>0.11</v>
      </c>
      <c r="E29" s="14">
        <v>0.08</v>
      </c>
      <c r="F29" s="14">
        <v>7.0000000000000007E-2</v>
      </c>
      <c r="G29" s="14">
        <v>0.06</v>
      </c>
      <c r="H29" s="14">
        <v>0.08</v>
      </c>
      <c r="I29" s="14">
        <v>0.08</v>
      </c>
      <c r="J29" s="14">
        <v>0.1</v>
      </c>
      <c r="K29" s="14">
        <v>0.08</v>
      </c>
      <c r="L29" s="14">
        <v>0.09</v>
      </c>
      <c r="M29" s="14">
        <v>0.2</v>
      </c>
      <c r="N29" s="14">
        <v>0.2</v>
      </c>
      <c r="O29" s="14">
        <v>0.11</v>
      </c>
      <c r="P29" s="14">
        <v>0.13</v>
      </c>
      <c r="Q29" s="14">
        <v>0.19</v>
      </c>
      <c r="R29" s="14">
        <v>0.13</v>
      </c>
      <c r="S29" s="14">
        <v>0.08</v>
      </c>
      <c r="T29" s="14">
        <v>0.06</v>
      </c>
      <c r="U29" s="14">
        <v>0.1</v>
      </c>
      <c r="V29" s="14">
        <v>0.1</v>
      </c>
      <c r="W29" s="14">
        <v>0.21</v>
      </c>
      <c r="X29" s="14">
        <v>7.0000000000000007E-2</v>
      </c>
      <c r="Y29" s="14">
        <v>0.13</v>
      </c>
      <c r="Z29" s="14">
        <v>0.13</v>
      </c>
      <c r="AA29" s="14">
        <v>0.15</v>
      </c>
      <c r="AB29" s="14">
        <v>0.14000000000000001</v>
      </c>
      <c r="AC29" s="14">
        <v>7.0000000000000007E-2</v>
      </c>
      <c r="AD29" s="14">
        <v>0.11</v>
      </c>
      <c r="AE29" s="14">
        <v>0.09</v>
      </c>
      <c r="AF29" s="14">
        <v>0.08</v>
      </c>
    </row>
    <row r="30" spans="1:32" ht="23.25" x14ac:dyDescent="0.25">
      <c r="A30" s="19"/>
      <c r="B30" s="11" t="s">
        <v>424</v>
      </c>
      <c r="C30" s="12">
        <v>4306</v>
      </c>
      <c r="D30" s="12">
        <v>101</v>
      </c>
      <c r="E30" s="12">
        <v>165</v>
      </c>
      <c r="F30" s="12">
        <v>128</v>
      </c>
      <c r="G30" s="12">
        <v>79</v>
      </c>
      <c r="H30" s="12">
        <v>178</v>
      </c>
      <c r="I30" s="12">
        <v>220</v>
      </c>
      <c r="J30" s="12">
        <v>42</v>
      </c>
      <c r="K30" s="12">
        <v>127</v>
      </c>
      <c r="L30" s="12">
        <v>217</v>
      </c>
      <c r="M30" s="12">
        <v>125</v>
      </c>
      <c r="N30" s="12">
        <v>279</v>
      </c>
      <c r="O30" s="12">
        <v>164</v>
      </c>
      <c r="P30" s="12">
        <v>181</v>
      </c>
      <c r="Q30" s="12">
        <v>225</v>
      </c>
      <c r="R30" s="12">
        <v>111</v>
      </c>
      <c r="S30" s="12">
        <v>173</v>
      </c>
      <c r="T30" s="12">
        <v>88</v>
      </c>
      <c r="U30" s="12">
        <v>84</v>
      </c>
      <c r="V30" s="12">
        <v>117</v>
      </c>
      <c r="W30" s="12">
        <v>119</v>
      </c>
      <c r="X30" s="12">
        <v>67</v>
      </c>
      <c r="Y30" s="12">
        <v>161</v>
      </c>
      <c r="Z30" s="12">
        <v>134</v>
      </c>
      <c r="AA30" s="12">
        <v>175</v>
      </c>
      <c r="AB30" s="12">
        <v>119</v>
      </c>
      <c r="AC30" s="12">
        <v>203</v>
      </c>
      <c r="AD30" s="12">
        <v>65</v>
      </c>
      <c r="AE30" s="12">
        <v>84</v>
      </c>
      <c r="AF30" s="12">
        <v>127</v>
      </c>
    </row>
    <row r="31" spans="1:32" x14ac:dyDescent="0.25">
      <c r="A31" s="19"/>
      <c r="B31" s="13" t="s">
        <v>425</v>
      </c>
      <c r="C31" s="14">
        <v>0.16</v>
      </c>
      <c r="D31" s="14">
        <v>0.1</v>
      </c>
      <c r="E31" s="14">
        <v>0.16</v>
      </c>
      <c r="F31" s="14">
        <v>0.12</v>
      </c>
      <c r="G31" s="14">
        <v>0.08</v>
      </c>
      <c r="H31" s="14">
        <v>0.14000000000000001</v>
      </c>
      <c r="I31" s="14">
        <v>0.14000000000000001</v>
      </c>
      <c r="J31" s="14">
        <v>0.14000000000000001</v>
      </c>
      <c r="K31" s="14">
        <v>0.13</v>
      </c>
      <c r="L31" s="14">
        <v>0.22</v>
      </c>
      <c r="M31" s="14">
        <v>0.12</v>
      </c>
      <c r="N31" s="14">
        <v>0.28000000000000003</v>
      </c>
      <c r="O31" s="14">
        <v>0.16</v>
      </c>
      <c r="P31" s="14">
        <v>0.18</v>
      </c>
      <c r="Q31" s="14">
        <v>0.22</v>
      </c>
      <c r="R31" s="14">
        <v>0.22</v>
      </c>
      <c r="S31" s="14">
        <v>0.17</v>
      </c>
      <c r="T31" s="14">
        <v>0.09</v>
      </c>
      <c r="U31" s="14">
        <v>0.16</v>
      </c>
      <c r="V31" s="14">
        <v>0.11</v>
      </c>
      <c r="W31" s="14">
        <v>0.24</v>
      </c>
      <c r="X31" s="14">
        <v>7.0000000000000007E-2</v>
      </c>
      <c r="Y31" s="14">
        <v>0.16</v>
      </c>
      <c r="Z31" s="14">
        <v>0.13</v>
      </c>
      <c r="AA31" s="14">
        <v>0.17</v>
      </c>
      <c r="AB31" s="14">
        <v>0.11</v>
      </c>
      <c r="AC31" s="14">
        <v>0.2</v>
      </c>
      <c r="AD31" s="14">
        <v>7.0000000000000007E-2</v>
      </c>
      <c r="AE31" s="14">
        <v>0.08</v>
      </c>
      <c r="AF31" s="14">
        <v>0.12</v>
      </c>
    </row>
    <row r="32" spans="1:32" x14ac:dyDescent="0.25">
      <c r="A32" s="19"/>
      <c r="B32" s="11" t="s">
        <v>224</v>
      </c>
      <c r="C32" s="12">
        <v>241</v>
      </c>
      <c r="D32" s="12">
        <v>1</v>
      </c>
      <c r="E32" s="12">
        <v>9</v>
      </c>
      <c r="F32" s="12">
        <v>11</v>
      </c>
      <c r="G32" s="12">
        <v>13</v>
      </c>
      <c r="H32" s="12">
        <v>8</v>
      </c>
      <c r="I32" s="12">
        <v>12</v>
      </c>
      <c r="J32" s="12">
        <v>4</v>
      </c>
      <c r="K32" s="12">
        <v>11</v>
      </c>
      <c r="L32" s="12">
        <v>2</v>
      </c>
      <c r="M32" s="12">
        <v>14</v>
      </c>
      <c r="N32" s="12">
        <v>15</v>
      </c>
      <c r="O32" s="12">
        <v>12</v>
      </c>
      <c r="P32" s="12">
        <v>12</v>
      </c>
      <c r="Q32" s="12">
        <v>4</v>
      </c>
      <c r="R32" s="12">
        <v>4</v>
      </c>
      <c r="S32" s="12">
        <v>15</v>
      </c>
      <c r="T32" s="12">
        <v>16</v>
      </c>
      <c r="U32" s="12">
        <v>4</v>
      </c>
      <c r="V32" s="12">
        <v>3</v>
      </c>
      <c r="W32" s="12">
        <v>5</v>
      </c>
      <c r="X32" s="12">
        <v>2</v>
      </c>
      <c r="Y32" s="12">
        <v>12</v>
      </c>
      <c r="Z32" s="12">
        <v>8</v>
      </c>
      <c r="AA32" s="12">
        <v>22</v>
      </c>
      <c r="AB32" s="12">
        <v>22</v>
      </c>
      <c r="AC32" s="12">
        <v>2</v>
      </c>
      <c r="AD32" s="12">
        <v>3</v>
      </c>
      <c r="AE32" s="12">
        <v>2</v>
      </c>
      <c r="AF32" s="12">
        <v>1</v>
      </c>
    </row>
    <row r="33" spans="1:32" x14ac:dyDescent="0.25">
      <c r="A33" s="19"/>
      <c r="B33" s="13" t="s">
        <v>237</v>
      </c>
      <c r="C33" s="14">
        <v>0.01</v>
      </c>
      <c r="D33" s="15" t="s">
        <v>213</v>
      </c>
      <c r="E33" s="14">
        <v>0.01</v>
      </c>
      <c r="F33" s="14">
        <v>0.01</v>
      </c>
      <c r="G33" s="14">
        <v>0.01</v>
      </c>
      <c r="H33" s="14">
        <v>0.01</v>
      </c>
      <c r="I33" s="14">
        <v>0.01</v>
      </c>
      <c r="J33" s="14">
        <v>0.01</v>
      </c>
      <c r="K33" s="14">
        <v>0.01</v>
      </c>
      <c r="L33" s="15" t="s">
        <v>213</v>
      </c>
      <c r="M33" s="14">
        <v>0.01</v>
      </c>
      <c r="N33" s="14">
        <v>0.01</v>
      </c>
      <c r="O33" s="14">
        <v>0.01</v>
      </c>
      <c r="P33" s="14">
        <v>0.01</v>
      </c>
      <c r="Q33" s="15" t="s">
        <v>213</v>
      </c>
      <c r="R33" s="14">
        <v>0.01</v>
      </c>
      <c r="S33" s="14">
        <v>0.01</v>
      </c>
      <c r="T33" s="14">
        <v>0.02</v>
      </c>
      <c r="U33" s="14">
        <v>0.01</v>
      </c>
      <c r="V33" s="15" t="s">
        <v>213</v>
      </c>
      <c r="W33" s="14">
        <v>0.01</v>
      </c>
      <c r="X33" s="15" t="s">
        <v>213</v>
      </c>
      <c r="Y33" s="14">
        <v>0.01</v>
      </c>
      <c r="Z33" s="14">
        <v>0.01</v>
      </c>
      <c r="AA33" s="14">
        <v>0.02</v>
      </c>
      <c r="AB33" s="14">
        <v>0.02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ht="23.25" x14ac:dyDescent="0.25">
      <c r="A34" s="19"/>
      <c r="B34" s="11" t="s">
        <v>426</v>
      </c>
      <c r="C34" s="12">
        <v>3151</v>
      </c>
      <c r="D34" s="12">
        <v>115</v>
      </c>
      <c r="E34" s="12">
        <v>237</v>
      </c>
      <c r="F34" s="12">
        <v>217</v>
      </c>
      <c r="G34" s="12">
        <v>382</v>
      </c>
      <c r="H34" s="12">
        <v>245</v>
      </c>
      <c r="I34" s="12">
        <v>298</v>
      </c>
      <c r="J34" s="12">
        <v>53</v>
      </c>
      <c r="K34" s="12">
        <v>282</v>
      </c>
      <c r="L34" s="12">
        <v>159</v>
      </c>
      <c r="M34" s="12">
        <v>94</v>
      </c>
      <c r="N34" s="12">
        <v>29</v>
      </c>
      <c r="O34" s="12">
        <v>85</v>
      </c>
      <c r="P34" s="12">
        <v>119</v>
      </c>
      <c r="Q34" s="12">
        <v>47</v>
      </c>
      <c r="R34" s="12">
        <v>44</v>
      </c>
      <c r="S34" s="12">
        <v>201</v>
      </c>
      <c r="T34" s="12">
        <v>240</v>
      </c>
      <c r="U34" s="12">
        <v>62</v>
      </c>
      <c r="V34" s="12">
        <v>154</v>
      </c>
      <c r="W34" s="12">
        <v>55</v>
      </c>
      <c r="X34" s="12">
        <v>157</v>
      </c>
      <c r="Y34" s="12">
        <v>206</v>
      </c>
      <c r="Z34" s="12">
        <v>72</v>
      </c>
      <c r="AA34" s="12">
        <v>21</v>
      </c>
      <c r="AB34" s="12">
        <v>109</v>
      </c>
      <c r="AC34" s="12">
        <v>241</v>
      </c>
      <c r="AD34" s="12">
        <v>163</v>
      </c>
      <c r="AE34" s="12">
        <v>243</v>
      </c>
      <c r="AF34" s="12">
        <v>263</v>
      </c>
    </row>
    <row r="35" spans="1:32" ht="23.25" x14ac:dyDescent="0.25">
      <c r="A35" s="19"/>
      <c r="B35" s="13" t="s">
        <v>427</v>
      </c>
      <c r="C35" s="14">
        <v>0.12</v>
      </c>
      <c r="D35" s="14">
        <v>0.12</v>
      </c>
      <c r="E35" s="14">
        <v>0.23</v>
      </c>
      <c r="F35" s="14">
        <v>0.2</v>
      </c>
      <c r="G35" s="14">
        <v>0.38</v>
      </c>
      <c r="H35" s="14">
        <v>0.21</v>
      </c>
      <c r="I35" s="14">
        <v>0.2</v>
      </c>
      <c r="J35" s="14">
        <v>0.19</v>
      </c>
      <c r="K35" s="14">
        <v>0.28999999999999998</v>
      </c>
      <c r="L35" s="14">
        <v>0.15</v>
      </c>
      <c r="M35" s="14">
        <v>0.09</v>
      </c>
      <c r="N35" s="14">
        <v>0.03</v>
      </c>
      <c r="O35" s="14">
        <v>0.08</v>
      </c>
      <c r="P35" s="14">
        <v>0.12</v>
      </c>
      <c r="Q35" s="14">
        <v>0.04</v>
      </c>
      <c r="R35" s="14">
        <v>0.09</v>
      </c>
      <c r="S35" s="14">
        <v>0.2</v>
      </c>
      <c r="T35" s="14">
        <v>0.23</v>
      </c>
      <c r="U35" s="14">
        <v>0.12</v>
      </c>
      <c r="V35" s="14">
        <v>0.15</v>
      </c>
      <c r="W35" s="14">
        <v>0.11</v>
      </c>
      <c r="X35" s="14">
        <v>0.16</v>
      </c>
      <c r="Y35" s="14">
        <v>0.21</v>
      </c>
      <c r="Z35" s="14">
        <v>7.0000000000000007E-2</v>
      </c>
      <c r="AA35" s="14">
        <v>0.02</v>
      </c>
      <c r="AB35" s="14">
        <v>0.11</v>
      </c>
      <c r="AC35" s="14">
        <v>0.24</v>
      </c>
      <c r="AD35" s="14">
        <v>0.16</v>
      </c>
      <c r="AE35" s="14">
        <v>0.25</v>
      </c>
      <c r="AF35" s="14">
        <v>0.25</v>
      </c>
    </row>
    <row r="36" spans="1:32" ht="23.25" x14ac:dyDescent="0.25">
      <c r="A36" s="19"/>
      <c r="B36" s="11" t="s">
        <v>428</v>
      </c>
      <c r="C36" s="12">
        <v>5397</v>
      </c>
      <c r="D36" s="12">
        <v>249</v>
      </c>
      <c r="E36" s="12">
        <v>246</v>
      </c>
      <c r="F36" s="12">
        <v>290</v>
      </c>
      <c r="G36" s="12">
        <v>209</v>
      </c>
      <c r="H36" s="12">
        <v>347</v>
      </c>
      <c r="I36" s="12">
        <v>406</v>
      </c>
      <c r="J36" s="12">
        <v>60</v>
      </c>
      <c r="K36" s="12">
        <v>256</v>
      </c>
      <c r="L36" s="12">
        <v>161</v>
      </c>
      <c r="M36" s="12">
        <v>163</v>
      </c>
      <c r="N36" s="12">
        <v>109</v>
      </c>
      <c r="O36" s="12">
        <v>215</v>
      </c>
      <c r="P36" s="12">
        <v>198</v>
      </c>
      <c r="Q36" s="12">
        <v>120</v>
      </c>
      <c r="R36" s="12">
        <v>83</v>
      </c>
      <c r="S36" s="12">
        <v>247</v>
      </c>
      <c r="T36" s="12">
        <v>310</v>
      </c>
      <c r="U36" s="12">
        <v>116</v>
      </c>
      <c r="V36" s="12">
        <v>273</v>
      </c>
      <c r="W36" s="12">
        <v>75</v>
      </c>
      <c r="X36" s="12">
        <v>268</v>
      </c>
      <c r="Y36" s="12">
        <v>212</v>
      </c>
      <c r="Z36" s="12">
        <v>197</v>
      </c>
      <c r="AA36" s="12">
        <v>264</v>
      </c>
      <c r="AB36" s="12">
        <v>222</v>
      </c>
      <c r="AC36" s="12">
        <v>222</v>
      </c>
      <c r="AD36" s="12">
        <v>280</v>
      </c>
      <c r="AE36" s="12">
        <v>267</v>
      </c>
      <c r="AF36" s="12">
        <v>231</v>
      </c>
    </row>
    <row r="37" spans="1:32" ht="23.25" x14ac:dyDescent="0.25">
      <c r="A37" s="19"/>
      <c r="B37" s="13" t="s">
        <v>429</v>
      </c>
      <c r="C37" s="14">
        <v>0.2</v>
      </c>
      <c r="D37" s="14">
        <v>0.24</v>
      </c>
      <c r="E37" s="14">
        <v>0.23</v>
      </c>
      <c r="F37" s="14">
        <v>0.28000000000000003</v>
      </c>
      <c r="G37" s="14">
        <v>0.2</v>
      </c>
      <c r="H37" s="14">
        <v>0.28000000000000003</v>
      </c>
      <c r="I37" s="14">
        <v>0.27</v>
      </c>
      <c r="J37" s="14">
        <v>0.2</v>
      </c>
      <c r="K37" s="14">
        <v>0.25</v>
      </c>
      <c r="L37" s="14">
        <v>0.16</v>
      </c>
      <c r="M37" s="14">
        <v>0.17</v>
      </c>
      <c r="N37" s="14">
        <v>0.11</v>
      </c>
      <c r="O37" s="14">
        <v>0.22</v>
      </c>
      <c r="P37" s="14">
        <v>0.2</v>
      </c>
      <c r="Q37" s="14">
        <v>0.12</v>
      </c>
      <c r="R37" s="14">
        <v>0.17</v>
      </c>
      <c r="S37" s="14">
        <v>0.25</v>
      </c>
      <c r="T37" s="14">
        <v>0.3</v>
      </c>
      <c r="U37" s="14">
        <v>0.23</v>
      </c>
      <c r="V37" s="14">
        <v>0.27</v>
      </c>
      <c r="W37" s="14">
        <v>0.15</v>
      </c>
      <c r="X37" s="14">
        <v>0.27</v>
      </c>
      <c r="Y37" s="14">
        <v>0.21</v>
      </c>
      <c r="Z37" s="14">
        <v>0.2</v>
      </c>
      <c r="AA37" s="14">
        <v>0.26</v>
      </c>
      <c r="AB37" s="14">
        <v>0.22</v>
      </c>
      <c r="AC37" s="14">
        <v>0.22</v>
      </c>
      <c r="AD37" s="14">
        <v>0.28000000000000003</v>
      </c>
      <c r="AE37" s="14">
        <v>0.27</v>
      </c>
      <c r="AF37" s="14">
        <v>0.23</v>
      </c>
    </row>
    <row r="38" spans="1:32" ht="23.25" x14ac:dyDescent="0.25">
      <c r="A38" s="19"/>
      <c r="B38" s="11" t="s">
        <v>430</v>
      </c>
      <c r="C38" s="12">
        <v>17663</v>
      </c>
      <c r="D38" s="12">
        <v>656</v>
      </c>
      <c r="E38" s="12">
        <v>554</v>
      </c>
      <c r="F38" s="12">
        <v>545</v>
      </c>
      <c r="G38" s="12">
        <v>412</v>
      </c>
      <c r="H38" s="12">
        <v>630</v>
      </c>
      <c r="I38" s="12">
        <v>811</v>
      </c>
      <c r="J38" s="12">
        <v>180</v>
      </c>
      <c r="K38" s="12">
        <v>458</v>
      </c>
      <c r="L38" s="12">
        <v>684</v>
      </c>
      <c r="M38" s="12">
        <v>735</v>
      </c>
      <c r="N38" s="12">
        <v>859</v>
      </c>
      <c r="O38" s="12">
        <v>692</v>
      </c>
      <c r="P38" s="12">
        <v>674</v>
      </c>
      <c r="Q38" s="12">
        <v>860</v>
      </c>
      <c r="R38" s="12">
        <v>370</v>
      </c>
      <c r="S38" s="12">
        <v>542</v>
      </c>
      <c r="T38" s="12">
        <v>457</v>
      </c>
      <c r="U38" s="12">
        <v>326</v>
      </c>
      <c r="V38" s="12">
        <v>596</v>
      </c>
      <c r="W38" s="12">
        <v>368</v>
      </c>
      <c r="X38" s="12">
        <v>583</v>
      </c>
      <c r="Y38" s="12">
        <v>574</v>
      </c>
      <c r="Z38" s="12">
        <v>739</v>
      </c>
      <c r="AA38" s="12">
        <v>730</v>
      </c>
      <c r="AB38" s="12">
        <v>688</v>
      </c>
      <c r="AC38" s="12">
        <v>540</v>
      </c>
      <c r="AD38" s="12">
        <v>556</v>
      </c>
      <c r="AE38" s="12">
        <v>489</v>
      </c>
      <c r="AF38" s="12">
        <v>535</v>
      </c>
    </row>
    <row r="39" spans="1:32" ht="23.25" x14ac:dyDescent="0.25">
      <c r="A39" s="19"/>
      <c r="B39" s="13" t="s">
        <v>431</v>
      </c>
      <c r="C39" s="14">
        <v>0.67</v>
      </c>
      <c r="D39" s="14">
        <v>0.64</v>
      </c>
      <c r="E39" s="14">
        <v>0.53</v>
      </c>
      <c r="F39" s="14">
        <v>0.51</v>
      </c>
      <c r="G39" s="14">
        <v>0.41</v>
      </c>
      <c r="H39" s="14">
        <v>0.5</v>
      </c>
      <c r="I39" s="14">
        <v>0.52</v>
      </c>
      <c r="J39" s="14">
        <v>0.6</v>
      </c>
      <c r="K39" s="14">
        <v>0.45</v>
      </c>
      <c r="L39" s="14">
        <v>0.69000000000000006</v>
      </c>
      <c r="M39" s="14">
        <v>0.73</v>
      </c>
      <c r="N39" s="14">
        <v>0.85</v>
      </c>
      <c r="O39" s="14">
        <v>0.69000000000000006</v>
      </c>
      <c r="P39" s="14">
        <v>0.67</v>
      </c>
      <c r="Q39" s="14">
        <v>0.84</v>
      </c>
      <c r="R39" s="14">
        <v>0.73</v>
      </c>
      <c r="S39" s="14">
        <v>0.54</v>
      </c>
      <c r="T39" s="14">
        <v>0.45</v>
      </c>
      <c r="U39" s="14">
        <v>0.64</v>
      </c>
      <c r="V39" s="14">
        <v>0.57999999999999996</v>
      </c>
      <c r="W39" s="14">
        <v>0.73</v>
      </c>
      <c r="X39" s="14">
        <v>0.57000000000000006</v>
      </c>
      <c r="Y39" s="14">
        <v>0.57000000000000006</v>
      </c>
      <c r="Z39" s="14">
        <v>0.72</v>
      </c>
      <c r="AA39" s="14">
        <v>0.70000000000000007</v>
      </c>
      <c r="AB39" s="14">
        <v>0.65</v>
      </c>
      <c r="AC39" s="14">
        <v>0.54</v>
      </c>
      <c r="AD39" s="14">
        <v>0.56000000000000005</v>
      </c>
      <c r="AE39" s="14">
        <v>0.48</v>
      </c>
      <c r="AF39" s="14">
        <v>0.52</v>
      </c>
    </row>
  </sheetData>
  <mergeCells count="10">
    <mergeCell ref="A34:A39"/>
    <mergeCell ref="H5:L5"/>
    <mergeCell ref="B10:B11"/>
    <mergeCell ref="H4:L4"/>
    <mergeCell ref="B4:F4"/>
    <mergeCell ref="H3:L3"/>
    <mergeCell ref="C8:AF8"/>
    <mergeCell ref="A10:A33"/>
    <mergeCell ref="B3:F3"/>
    <mergeCell ref="B5:F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19"/>
  <sheetViews>
    <sheetView zoomScale="74" workbookViewId="0">
      <pane xSplit="3" ySplit="9" topLeftCell="D12" activePane="bottomRight" state="frozen"/>
      <selection pane="topRight"/>
      <selection pane="bottomLeft"/>
      <selection pane="bottomRight" activeCell="D13" sqref="D13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36" customHeight="1" x14ac:dyDescent="0.25">
      <c r="B3" s="18" t="s">
        <v>91</v>
      </c>
      <c r="C3" s="18"/>
      <c r="D3" s="18"/>
      <c r="E3" s="18"/>
      <c r="F3" s="18"/>
      <c r="H3" s="18" t="s">
        <v>92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500</v>
      </c>
      <c r="C12" s="12">
        <v>7524</v>
      </c>
      <c r="D12" s="12">
        <v>411</v>
      </c>
      <c r="E12" s="12">
        <v>358</v>
      </c>
      <c r="F12" s="12">
        <v>283</v>
      </c>
      <c r="G12" s="12">
        <v>143</v>
      </c>
      <c r="H12" s="12">
        <v>451</v>
      </c>
      <c r="I12" s="12">
        <v>561</v>
      </c>
      <c r="J12" s="12">
        <v>110</v>
      </c>
      <c r="K12" s="12">
        <v>286</v>
      </c>
      <c r="L12" s="12">
        <v>269</v>
      </c>
      <c r="M12" s="12">
        <v>387</v>
      </c>
      <c r="N12" s="12">
        <v>279</v>
      </c>
      <c r="O12" s="12">
        <v>455</v>
      </c>
      <c r="P12" s="12">
        <v>222</v>
      </c>
      <c r="Q12" s="12">
        <v>131</v>
      </c>
      <c r="R12" s="12">
        <v>165</v>
      </c>
      <c r="S12" s="12">
        <v>164</v>
      </c>
      <c r="T12" s="12">
        <v>207</v>
      </c>
      <c r="U12" s="12">
        <v>174</v>
      </c>
      <c r="V12" s="12">
        <v>126</v>
      </c>
      <c r="W12" s="12">
        <v>128</v>
      </c>
      <c r="X12" s="12">
        <v>196</v>
      </c>
      <c r="Y12" s="12">
        <v>375</v>
      </c>
      <c r="Z12" s="12">
        <v>121</v>
      </c>
      <c r="AA12" s="12">
        <v>320</v>
      </c>
      <c r="AB12" s="12">
        <v>304</v>
      </c>
      <c r="AC12" s="12">
        <v>314</v>
      </c>
      <c r="AD12" s="12">
        <v>399</v>
      </c>
      <c r="AE12" s="12">
        <v>151</v>
      </c>
      <c r="AF12" s="12">
        <v>167</v>
      </c>
    </row>
    <row r="13" spans="1:32" ht="23.25" x14ac:dyDescent="0.25">
      <c r="A13" s="19"/>
      <c r="B13" s="13" t="s">
        <v>501</v>
      </c>
      <c r="C13" s="14">
        <v>0.28000000000000003</v>
      </c>
      <c r="D13" s="14">
        <v>0.4</v>
      </c>
      <c r="E13" s="14">
        <v>0.34</v>
      </c>
      <c r="F13" s="14">
        <v>0.27</v>
      </c>
      <c r="G13" s="14">
        <v>0.14000000000000001</v>
      </c>
      <c r="H13" s="14">
        <v>0.37</v>
      </c>
      <c r="I13" s="14">
        <v>0.37</v>
      </c>
      <c r="J13" s="14">
        <v>0.37</v>
      </c>
      <c r="K13" s="14">
        <v>0.28000000000000003</v>
      </c>
      <c r="L13" s="14">
        <v>0.27</v>
      </c>
      <c r="M13" s="14">
        <v>0.39</v>
      </c>
      <c r="N13" s="14">
        <v>0.27</v>
      </c>
      <c r="O13" s="14">
        <v>0.45</v>
      </c>
      <c r="P13" s="14">
        <v>0.22</v>
      </c>
      <c r="Q13" s="14">
        <v>0.13</v>
      </c>
      <c r="R13" s="14">
        <v>0.33</v>
      </c>
      <c r="S13" s="14">
        <v>0.16</v>
      </c>
      <c r="T13" s="14">
        <v>0.2</v>
      </c>
      <c r="U13" s="14">
        <v>0.34</v>
      </c>
      <c r="V13" s="14">
        <v>0.12</v>
      </c>
      <c r="W13" s="14">
        <v>0.26</v>
      </c>
      <c r="X13" s="14">
        <v>0.19</v>
      </c>
      <c r="Y13" s="14">
        <v>0.37</v>
      </c>
      <c r="Z13" s="14">
        <v>0.12</v>
      </c>
      <c r="AA13" s="14">
        <v>0.31</v>
      </c>
      <c r="AB13" s="14">
        <v>0.28999999999999998</v>
      </c>
      <c r="AC13" s="14">
        <v>0.31</v>
      </c>
      <c r="AD13" s="14">
        <v>0.4</v>
      </c>
      <c r="AE13" s="14">
        <v>0.15</v>
      </c>
      <c r="AF13" s="14">
        <v>0.16</v>
      </c>
    </row>
    <row r="14" spans="1:32" ht="23.25" x14ac:dyDescent="0.25">
      <c r="A14" s="19"/>
      <c r="B14" s="11" t="s">
        <v>502</v>
      </c>
      <c r="C14" s="12">
        <v>14167</v>
      </c>
      <c r="D14" s="12">
        <v>455</v>
      </c>
      <c r="E14" s="12">
        <v>427</v>
      </c>
      <c r="F14" s="12">
        <v>605</v>
      </c>
      <c r="G14" s="12">
        <v>638</v>
      </c>
      <c r="H14" s="12">
        <v>608</v>
      </c>
      <c r="I14" s="12">
        <v>752</v>
      </c>
      <c r="J14" s="12">
        <v>144</v>
      </c>
      <c r="K14" s="12">
        <v>442</v>
      </c>
      <c r="L14" s="12">
        <v>502</v>
      </c>
      <c r="M14" s="12">
        <v>496</v>
      </c>
      <c r="N14" s="12">
        <v>462</v>
      </c>
      <c r="O14" s="12">
        <v>389</v>
      </c>
      <c r="P14" s="12">
        <v>558</v>
      </c>
      <c r="Q14" s="12">
        <v>757</v>
      </c>
      <c r="R14" s="12">
        <v>214</v>
      </c>
      <c r="S14" s="12">
        <v>524</v>
      </c>
      <c r="T14" s="12">
        <v>581</v>
      </c>
      <c r="U14" s="12">
        <v>238</v>
      </c>
      <c r="V14" s="12">
        <v>735</v>
      </c>
      <c r="W14" s="12">
        <v>232</v>
      </c>
      <c r="X14" s="12">
        <v>592</v>
      </c>
      <c r="Y14" s="12">
        <v>458</v>
      </c>
      <c r="Z14" s="12">
        <v>726</v>
      </c>
      <c r="AA14" s="12">
        <v>531</v>
      </c>
      <c r="AB14" s="12">
        <v>496</v>
      </c>
      <c r="AC14" s="12">
        <v>515</v>
      </c>
      <c r="AD14" s="12">
        <v>473</v>
      </c>
      <c r="AE14" s="12">
        <v>533</v>
      </c>
      <c r="AF14" s="12">
        <v>593</v>
      </c>
    </row>
    <row r="15" spans="1:32" ht="23.25" x14ac:dyDescent="0.25">
      <c r="A15" s="19"/>
      <c r="B15" s="13" t="s">
        <v>503</v>
      </c>
      <c r="C15" s="14">
        <v>0.54</v>
      </c>
      <c r="D15" s="14">
        <v>0.45</v>
      </c>
      <c r="E15" s="14">
        <v>0.41</v>
      </c>
      <c r="F15" s="14">
        <v>0.57000000000000006</v>
      </c>
      <c r="G15" s="14">
        <v>0.63</v>
      </c>
      <c r="H15" s="14">
        <v>0.49</v>
      </c>
      <c r="I15" s="14">
        <v>0.49</v>
      </c>
      <c r="J15" s="14">
        <v>0.49</v>
      </c>
      <c r="K15" s="14">
        <v>0.44</v>
      </c>
      <c r="L15" s="14">
        <v>0.5</v>
      </c>
      <c r="M15" s="14">
        <v>0.49</v>
      </c>
      <c r="N15" s="14">
        <v>0.46</v>
      </c>
      <c r="O15" s="14">
        <v>0.39</v>
      </c>
      <c r="P15" s="14">
        <v>0.56000000000000005</v>
      </c>
      <c r="Q15" s="14">
        <v>0.73</v>
      </c>
      <c r="R15" s="14">
        <v>0.43</v>
      </c>
      <c r="S15" s="14">
        <v>0.52</v>
      </c>
      <c r="T15" s="14">
        <v>0.57000000000000006</v>
      </c>
      <c r="U15" s="14">
        <v>0.47</v>
      </c>
      <c r="V15" s="14">
        <v>0.72</v>
      </c>
      <c r="W15" s="14">
        <v>0.46</v>
      </c>
      <c r="X15" s="14">
        <v>0.59</v>
      </c>
      <c r="Y15" s="14">
        <v>0.46</v>
      </c>
      <c r="Z15" s="14">
        <v>0.72</v>
      </c>
      <c r="AA15" s="14">
        <v>0.51</v>
      </c>
      <c r="AB15" s="14">
        <v>0.48</v>
      </c>
      <c r="AC15" s="14">
        <v>0.51</v>
      </c>
      <c r="AD15" s="14">
        <v>0.47</v>
      </c>
      <c r="AE15" s="14">
        <v>0.53</v>
      </c>
      <c r="AF15" s="14">
        <v>0.57999999999999996</v>
      </c>
    </row>
    <row r="16" spans="1:32" ht="23.25" x14ac:dyDescent="0.25">
      <c r="A16" s="19"/>
      <c r="B16" s="11" t="s">
        <v>504</v>
      </c>
      <c r="C16" s="12">
        <v>4123</v>
      </c>
      <c r="D16" s="12">
        <v>145</v>
      </c>
      <c r="E16" s="12">
        <v>159</v>
      </c>
      <c r="F16" s="12">
        <v>161</v>
      </c>
      <c r="G16" s="12">
        <v>229</v>
      </c>
      <c r="H16" s="12">
        <v>160</v>
      </c>
      <c r="I16" s="12">
        <v>199</v>
      </c>
      <c r="J16" s="12">
        <v>39</v>
      </c>
      <c r="K16" s="12">
        <v>209</v>
      </c>
      <c r="L16" s="12">
        <v>196</v>
      </c>
      <c r="M16" s="12">
        <v>109</v>
      </c>
      <c r="N16" s="12">
        <v>250</v>
      </c>
      <c r="O16" s="12">
        <v>120</v>
      </c>
      <c r="P16" s="12">
        <v>207</v>
      </c>
      <c r="Q16" s="12">
        <v>119</v>
      </c>
      <c r="R16" s="12">
        <v>92</v>
      </c>
      <c r="S16" s="12">
        <v>290</v>
      </c>
      <c r="T16" s="12">
        <v>202</v>
      </c>
      <c r="U16" s="12">
        <v>86</v>
      </c>
      <c r="V16" s="12">
        <v>109</v>
      </c>
      <c r="W16" s="12">
        <v>130</v>
      </c>
      <c r="X16" s="12">
        <v>218</v>
      </c>
      <c r="Y16" s="12">
        <v>133</v>
      </c>
      <c r="Z16" s="12">
        <v>143</v>
      </c>
      <c r="AA16" s="12">
        <v>100</v>
      </c>
      <c r="AB16" s="12">
        <v>211</v>
      </c>
      <c r="AC16" s="12">
        <v>166</v>
      </c>
      <c r="AD16" s="12">
        <v>123</v>
      </c>
      <c r="AE16" s="12">
        <v>308</v>
      </c>
      <c r="AF16" s="12">
        <v>272</v>
      </c>
    </row>
    <row r="17" spans="1:32" ht="23.25" x14ac:dyDescent="0.25">
      <c r="A17" s="19"/>
      <c r="B17" s="13" t="s">
        <v>505</v>
      </c>
      <c r="C17" s="14">
        <v>0.16</v>
      </c>
      <c r="D17" s="14">
        <v>0.14000000000000001</v>
      </c>
      <c r="E17" s="14">
        <v>0.15</v>
      </c>
      <c r="F17" s="14">
        <v>0.15</v>
      </c>
      <c r="G17" s="14">
        <v>0.22</v>
      </c>
      <c r="H17" s="14">
        <v>0.13</v>
      </c>
      <c r="I17" s="14">
        <v>0.13</v>
      </c>
      <c r="J17" s="14">
        <v>0.13</v>
      </c>
      <c r="K17" s="14">
        <v>0.21</v>
      </c>
      <c r="L17" s="14">
        <v>0.19</v>
      </c>
      <c r="M17" s="14">
        <v>0.11</v>
      </c>
      <c r="N17" s="14">
        <v>0.25</v>
      </c>
      <c r="O17" s="14">
        <v>0.12</v>
      </c>
      <c r="P17" s="14">
        <v>0.21</v>
      </c>
      <c r="Q17" s="14">
        <v>0.12</v>
      </c>
      <c r="R17" s="14">
        <v>0.18</v>
      </c>
      <c r="S17" s="14">
        <v>0.28999999999999998</v>
      </c>
      <c r="T17" s="14">
        <v>0.2</v>
      </c>
      <c r="U17" s="14">
        <v>0.17</v>
      </c>
      <c r="V17" s="14">
        <v>0.11</v>
      </c>
      <c r="W17" s="14">
        <v>0.26</v>
      </c>
      <c r="X17" s="14">
        <v>0.22</v>
      </c>
      <c r="Y17" s="14">
        <v>0.13</v>
      </c>
      <c r="Z17" s="14">
        <v>0.14000000000000001</v>
      </c>
      <c r="AA17" s="14">
        <v>0.1</v>
      </c>
      <c r="AB17" s="14">
        <v>0.2</v>
      </c>
      <c r="AC17" s="14">
        <v>0.17</v>
      </c>
      <c r="AD17" s="14">
        <v>0.12</v>
      </c>
      <c r="AE17" s="14">
        <v>0.31</v>
      </c>
      <c r="AF17" s="14">
        <v>0.26</v>
      </c>
    </row>
    <row r="18" spans="1:32" ht="23.25" x14ac:dyDescent="0.25">
      <c r="A18" s="19"/>
      <c r="B18" s="11" t="s">
        <v>506</v>
      </c>
      <c r="C18" s="12">
        <v>638</v>
      </c>
      <c r="D18" s="12">
        <v>9</v>
      </c>
      <c r="E18" s="12">
        <v>102</v>
      </c>
      <c r="F18" s="12">
        <v>15</v>
      </c>
      <c r="G18" s="12">
        <v>6</v>
      </c>
      <c r="H18" s="12">
        <v>11</v>
      </c>
      <c r="I18" s="12">
        <v>14</v>
      </c>
      <c r="J18" s="12">
        <v>3</v>
      </c>
      <c r="K18" s="12">
        <v>69</v>
      </c>
      <c r="L18" s="12">
        <v>39</v>
      </c>
      <c r="M18" s="12">
        <v>14</v>
      </c>
      <c r="N18" s="12">
        <v>20</v>
      </c>
      <c r="O18" s="12">
        <v>40</v>
      </c>
      <c r="P18" s="12">
        <v>16</v>
      </c>
      <c r="Q18" s="12">
        <v>24</v>
      </c>
      <c r="R18" s="12">
        <v>31</v>
      </c>
      <c r="S18" s="12">
        <v>26</v>
      </c>
      <c r="T18" s="12">
        <v>32</v>
      </c>
      <c r="U18" s="12">
        <v>10</v>
      </c>
      <c r="V18" s="12">
        <v>56</v>
      </c>
      <c r="W18" s="12">
        <v>12</v>
      </c>
      <c r="X18" s="12">
        <v>4</v>
      </c>
      <c r="Y18" s="12">
        <v>37</v>
      </c>
      <c r="Z18" s="12">
        <v>25</v>
      </c>
      <c r="AA18" s="12">
        <v>87</v>
      </c>
      <c r="AB18" s="12">
        <v>29</v>
      </c>
      <c r="AC18" s="12">
        <v>10</v>
      </c>
      <c r="AD18" s="12">
        <v>8</v>
      </c>
      <c r="AE18" s="12">
        <v>9</v>
      </c>
      <c r="AF18" s="12">
        <v>0</v>
      </c>
    </row>
    <row r="19" spans="1:32" x14ac:dyDescent="0.25">
      <c r="A19" s="19"/>
      <c r="B19" s="13" t="s">
        <v>507</v>
      </c>
      <c r="C19" s="14">
        <v>0.02</v>
      </c>
      <c r="D19" s="14">
        <v>0.01</v>
      </c>
      <c r="E19" s="14">
        <v>0.1</v>
      </c>
      <c r="F19" s="14">
        <v>0.01</v>
      </c>
      <c r="G19" s="14">
        <v>0.01</v>
      </c>
      <c r="H19" s="14">
        <v>0.01</v>
      </c>
      <c r="I19" s="14">
        <v>0.01</v>
      </c>
      <c r="J19" s="14">
        <v>0.01</v>
      </c>
      <c r="K19" s="14">
        <v>7.0000000000000007E-2</v>
      </c>
      <c r="L19" s="14">
        <v>0.04</v>
      </c>
      <c r="M19" s="14">
        <v>0.01</v>
      </c>
      <c r="N19" s="14">
        <v>0.02</v>
      </c>
      <c r="O19" s="14">
        <v>0.04</v>
      </c>
      <c r="P19" s="14">
        <v>0.01</v>
      </c>
      <c r="Q19" s="14">
        <v>0.02</v>
      </c>
      <c r="R19" s="14">
        <v>0.06</v>
      </c>
      <c r="S19" s="14">
        <v>0.03</v>
      </c>
      <c r="T19" s="14">
        <v>0.03</v>
      </c>
      <c r="U19" s="14">
        <v>0.02</v>
      </c>
      <c r="V19" s="14">
        <v>0.05</v>
      </c>
      <c r="W19" s="14">
        <v>0.02</v>
      </c>
      <c r="X19" s="15" t="s">
        <v>213</v>
      </c>
      <c r="Y19" s="14">
        <v>0.04</v>
      </c>
      <c r="Z19" s="14">
        <v>0.02</v>
      </c>
      <c r="AA19" s="14">
        <v>0.08</v>
      </c>
      <c r="AB19" s="14">
        <v>0.03</v>
      </c>
      <c r="AC19" s="14">
        <v>0.01</v>
      </c>
      <c r="AD19" s="14">
        <v>0.01</v>
      </c>
      <c r="AE19" s="14">
        <v>0.01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5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93</v>
      </c>
      <c r="C3" s="18"/>
      <c r="D3" s="18"/>
      <c r="E3" s="18"/>
      <c r="F3" s="18"/>
      <c r="H3" s="18" t="s">
        <v>94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508</v>
      </c>
      <c r="C12" s="12">
        <v>13679</v>
      </c>
      <c r="D12" s="12">
        <v>645</v>
      </c>
      <c r="E12" s="12">
        <v>746</v>
      </c>
      <c r="F12" s="12">
        <v>597</v>
      </c>
      <c r="G12" s="12">
        <v>787</v>
      </c>
      <c r="H12" s="12">
        <v>358</v>
      </c>
      <c r="I12" s="12">
        <v>477</v>
      </c>
      <c r="J12" s="12">
        <v>119</v>
      </c>
      <c r="K12" s="12">
        <v>685</v>
      </c>
      <c r="L12" s="12">
        <v>504</v>
      </c>
      <c r="M12" s="12">
        <v>643</v>
      </c>
      <c r="N12" s="12">
        <v>436</v>
      </c>
      <c r="O12" s="12">
        <v>490</v>
      </c>
      <c r="P12" s="12">
        <v>609</v>
      </c>
      <c r="Q12" s="12">
        <v>607</v>
      </c>
      <c r="R12" s="12">
        <v>339</v>
      </c>
      <c r="S12" s="12">
        <v>613</v>
      </c>
      <c r="T12" s="12">
        <v>755</v>
      </c>
      <c r="U12" s="12">
        <v>284</v>
      </c>
      <c r="V12" s="12">
        <v>765</v>
      </c>
      <c r="W12" s="12">
        <v>396</v>
      </c>
      <c r="X12" s="12">
        <v>474</v>
      </c>
      <c r="Y12" s="12">
        <v>445</v>
      </c>
      <c r="Z12" s="12">
        <v>614</v>
      </c>
      <c r="AA12" s="12">
        <v>626</v>
      </c>
      <c r="AB12" s="12">
        <v>735</v>
      </c>
      <c r="AC12" s="12">
        <v>584</v>
      </c>
      <c r="AD12" s="12">
        <v>659</v>
      </c>
      <c r="AE12" s="12">
        <v>583</v>
      </c>
      <c r="AF12" s="12">
        <v>733</v>
      </c>
    </row>
    <row r="13" spans="1:32" x14ac:dyDescent="0.25">
      <c r="A13" s="19"/>
      <c r="B13" s="13" t="s">
        <v>508</v>
      </c>
      <c r="C13" s="14">
        <v>0.52</v>
      </c>
      <c r="D13" s="14">
        <v>0.63</v>
      </c>
      <c r="E13" s="14">
        <v>0.71</v>
      </c>
      <c r="F13" s="14">
        <v>0.56000000000000005</v>
      </c>
      <c r="G13" s="14">
        <v>0.77</v>
      </c>
      <c r="H13" s="14">
        <v>0.28999999999999998</v>
      </c>
      <c r="I13" s="14">
        <v>0.31</v>
      </c>
      <c r="J13" s="14">
        <v>0.4</v>
      </c>
      <c r="K13" s="14">
        <v>0.68</v>
      </c>
      <c r="L13" s="14">
        <v>0.5</v>
      </c>
      <c r="M13" s="14">
        <v>0.64</v>
      </c>
      <c r="N13" s="14">
        <v>0.43</v>
      </c>
      <c r="O13" s="14">
        <v>0.49</v>
      </c>
      <c r="P13" s="14">
        <v>0.61</v>
      </c>
      <c r="Q13" s="14">
        <v>0.59</v>
      </c>
      <c r="R13" s="14">
        <v>0.68</v>
      </c>
      <c r="S13" s="14">
        <v>0.61</v>
      </c>
      <c r="T13" s="14">
        <v>0.74</v>
      </c>
      <c r="U13" s="14">
        <v>0.56000000000000005</v>
      </c>
      <c r="V13" s="14">
        <v>0.75</v>
      </c>
      <c r="W13" s="14">
        <v>0.79</v>
      </c>
      <c r="X13" s="14">
        <v>0.47</v>
      </c>
      <c r="Y13" s="14">
        <v>0.44</v>
      </c>
      <c r="Z13" s="14">
        <v>0.6</v>
      </c>
      <c r="AA13" s="14">
        <v>0.6</v>
      </c>
      <c r="AB13" s="14">
        <v>0.71</v>
      </c>
      <c r="AC13" s="14">
        <v>0.57999999999999996</v>
      </c>
      <c r="AD13" s="14">
        <v>0.66</v>
      </c>
      <c r="AE13" s="14">
        <v>0.57999999999999996</v>
      </c>
      <c r="AF13" s="14">
        <v>0.71</v>
      </c>
    </row>
    <row r="14" spans="1:32" x14ac:dyDescent="0.25">
      <c r="A14" s="19"/>
      <c r="B14" s="11" t="s">
        <v>509</v>
      </c>
      <c r="C14" s="12">
        <v>2063</v>
      </c>
      <c r="D14" s="12">
        <v>76</v>
      </c>
      <c r="E14" s="12">
        <v>43</v>
      </c>
      <c r="F14" s="12">
        <v>79</v>
      </c>
      <c r="G14" s="12">
        <v>80</v>
      </c>
      <c r="H14" s="12">
        <v>78</v>
      </c>
      <c r="I14" s="12">
        <v>97</v>
      </c>
      <c r="J14" s="12">
        <v>19</v>
      </c>
      <c r="K14" s="12">
        <v>88</v>
      </c>
      <c r="L14" s="12">
        <v>167</v>
      </c>
      <c r="M14" s="12">
        <v>52</v>
      </c>
      <c r="N14" s="12">
        <v>100</v>
      </c>
      <c r="O14" s="12">
        <v>98</v>
      </c>
      <c r="P14" s="12">
        <v>47</v>
      </c>
      <c r="Q14" s="12">
        <v>91</v>
      </c>
      <c r="R14" s="12">
        <v>44</v>
      </c>
      <c r="S14" s="12">
        <v>67</v>
      </c>
      <c r="T14" s="12">
        <v>32</v>
      </c>
      <c r="U14" s="12">
        <v>40</v>
      </c>
      <c r="V14" s="12">
        <v>80</v>
      </c>
      <c r="W14" s="12">
        <v>42</v>
      </c>
      <c r="X14" s="12">
        <v>90</v>
      </c>
      <c r="Y14" s="12">
        <v>110</v>
      </c>
      <c r="Z14" s="12">
        <v>47</v>
      </c>
      <c r="AA14" s="12">
        <v>34</v>
      </c>
      <c r="AB14" s="12">
        <v>24</v>
      </c>
      <c r="AC14" s="12">
        <v>54</v>
      </c>
      <c r="AD14" s="12">
        <v>93</v>
      </c>
      <c r="AE14" s="12">
        <v>122</v>
      </c>
      <c r="AF14" s="12">
        <v>131</v>
      </c>
    </row>
    <row r="15" spans="1:32" ht="23.25" x14ac:dyDescent="0.25">
      <c r="A15" s="19"/>
      <c r="B15" s="13" t="s">
        <v>510</v>
      </c>
      <c r="C15" s="14">
        <v>0.08</v>
      </c>
      <c r="D15" s="14">
        <v>7.0000000000000007E-2</v>
      </c>
      <c r="E15" s="14">
        <v>0.04</v>
      </c>
      <c r="F15" s="14">
        <v>7.0000000000000007E-2</v>
      </c>
      <c r="G15" s="14">
        <v>0.08</v>
      </c>
      <c r="H15" s="14">
        <v>0.06</v>
      </c>
      <c r="I15" s="14">
        <v>0.06</v>
      </c>
      <c r="J15" s="14">
        <v>7.0000000000000007E-2</v>
      </c>
      <c r="K15" s="14">
        <v>0.09</v>
      </c>
      <c r="L15" s="14">
        <v>0.17</v>
      </c>
      <c r="M15" s="14">
        <v>0.05</v>
      </c>
      <c r="N15" s="14">
        <v>0.1</v>
      </c>
      <c r="O15" s="14">
        <v>0.1</v>
      </c>
      <c r="P15" s="14">
        <v>0.05</v>
      </c>
      <c r="Q15" s="14">
        <v>0.09</v>
      </c>
      <c r="R15" s="14">
        <v>0.09</v>
      </c>
      <c r="S15" s="14">
        <v>7.0000000000000007E-2</v>
      </c>
      <c r="T15" s="14">
        <v>0.03</v>
      </c>
      <c r="U15" s="14">
        <v>0.08</v>
      </c>
      <c r="V15" s="14">
        <v>0.08</v>
      </c>
      <c r="W15" s="14">
        <v>0.08</v>
      </c>
      <c r="X15" s="14">
        <v>0.09</v>
      </c>
      <c r="Y15" s="14">
        <v>0.11</v>
      </c>
      <c r="Z15" s="14">
        <v>0.05</v>
      </c>
      <c r="AA15" s="14">
        <v>0.03</v>
      </c>
      <c r="AB15" s="14">
        <v>0.02</v>
      </c>
      <c r="AC15" s="14">
        <v>0.05</v>
      </c>
      <c r="AD15" s="14">
        <v>0.09</v>
      </c>
      <c r="AE15" s="14">
        <v>0.12</v>
      </c>
      <c r="AF15" s="14">
        <v>0.13</v>
      </c>
    </row>
    <row r="16" spans="1:32" x14ac:dyDescent="0.25">
      <c r="A16" s="19"/>
      <c r="B16" s="11" t="s">
        <v>511</v>
      </c>
      <c r="C16" s="12">
        <v>10318</v>
      </c>
      <c r="D16" s="12">
        <v>437</v>
      </c>
      <c r="E16" s="12">
        <v>308</v>
      </c>
      <c r="F16" s="12">
        <v>362</v>
      </c>
      <c r="G16" s="12">
        <v>495</v>
      </c>
      <c r="H16" s="12">
        <v>426</v>
      </c>
      <c r="I16" s="12">
        <v>523</v>
      </c>
      <c r="J16" s="12">
        <v>96</v>
      </c>
      <c r="K16" s="12">
        <v>384</v>
      </c>
      <c r="L16" s="12">
        <v>444</v>
      </c>
      <c r="M16" s="12">
        <v>454</v>
      </c>
      <c r="N16" s="12">
        <v>518</v>
      </c>
      <c r="O16" s="12">
        <v>362</v>
      </c>
      <c r="P16" s="12">
        <v>384</v>
      </c>
      <c r="Q16" s="12">
        <v>474</v>
      </c>
      <c r="R16" s="12">
        <v>263</v>
      </c>
      <c r="S16" s="12">
        <v>370</v>
      </c>
      <c r="T16" s="12">
        <v>325</v>
      </c>
      <c r="U16" s="12">
        <v>224</v>
      </c>
      <c r="V16" s="12">
        <v>273</v>
      </c>
      <c r="W16" s="12">
        <v>223</v>
      </c>
      <c r="X16" s="12">
        <v>476</v>
      </c>
      <c r="Y16" s="12">
        <v>308</v>
      </c>
      <c r="Z16" s="12">
        <v>216</v>
      </c>
      <c r="AA16" s="12">
        <v>485</v>
      </c>
      <c r="AB16" s="12">
        <v>314</v>
      </c>
      <c r="AC16" s="12">
        <v>340</v>
      </c>
      <c r="AD16" s="12">
        <v>358</v>
      </c>
      <c r="AE16" s="12">
        <v>533</v>
      </c>
      <c r="AF16" s="12">
        <v>637</v>
      </c>
    </row>
    <row r="17" spans="1:32" x14ac:dyDescent="0.25">
      <c r="A17" s="19"/>
      <c r="B17" s="13" t="s">
        <v>511</v>
      </c>
      <c r="C17" s="14">
        <v>0.39</v>
      </c>
      <c r="D17" s="14">
        <v>0.43</v>
      </c>
      <c r="E17" s="14">
        <v>0.28999999999999998</v>
      </c>
      <c r="F17" s="14">
        <v>0.34</v>
      </c>
      <c r="G17" s="14">
        <v>0.49</v>
      </c>
      <c r="H17" s="14">
        <v>0.35</v>
      </c>
      <c r="I17" s="14">
        <v>0.34</v>
      </c>
      <c r="J17" s="14">
        <v>0.32</v>
      </c>
      <c r="K17" s="14">
        <v>0.38</v>
      </c>
      <c r="L17" s="14">
        <v>0.44</v>
      </c>
      <c r="M17" s="14">
        <v>0.45</v>
      </c>
      <c r="N17" s="14">
        <v>0.51</v>
      </c>
      <c r="O17" s="14">
        <v>0.36</v>
      </c>
      <c r="P17" s="14">
        <v>0.38</v>
      </c>
      <c r="Q17" s="14">
        <v>0.46</v>
      </c>
      <c r="R17" s="14">
        <v>0.53</v>
      </c>
      <c r="S17" s="14">
        <v>0.37</v>
      </c>
      <c r="T17" s="14">
        <v>0.32</v>
      </c>
      <c r="U17" s="14">
        <v>0.44</v>
      </c>
      <c r="V17" s="14">
        <v>0.27</v>
      </c>
      <c r="W17" s="14">
        <v>0.44</v>
      </c>
      <c r="X17" s="14">
        <v>0.47</v>
      </c>
      <c r="Y17" s="14">
        <v>0.31</v>
      </c>
      <c r="Z17" s="14">
        <v>0.21</v>
      </c>
      <c r="AA17" s="14">
        <v>0.47</v>
      </c>
      <c r="AB17" s="14">
        <v>0.3</v>
      </c>
      <c r="AC17" s="14">
        <v>0.34</v>
      </c>
      <c r="AD17" s="14">
        <v>0.36</v>
      </c>
      <c r="AE17" s="14">
        <v>0.53</v>
      </c>
      <c r="AF17" s="14">
        <v>0.62</v>
      </c>
    </row>
    <row r="18" spans="1:32" x14ac:dyDescent="0.25">
      <c r="A18" s="19"/>
      <c r="B18" s="11" t="s">
        <v>512</v>
      </c>
      <c r="C18" s="12">
        <v>2735</v>
      </c>
      <c r="D18" s="12">
        <v>156</v>
      </c>
      <c r="E18" s="12">
        <v>13</v>
      </c>
      <c r="F18" s="12">
        <v>59</v>
      </c>
      <c r="G18" s="12">
        <v>333</v>
      </c>
      <c r="H18" s="12">
        <v>110</v>
      </c>
      <c r="I18" s="12">
        <v>127</v>
      </c>
      <c r="J18" s="12">
        <v>16</v>
      </c>
      <c r="K18" s="12">
        <v>87</v>
      </c>
      <c r="L18" s="12">
        <v>162</v>
      </c>
      <c r="M18" s="12">
        <v>26</v>
      </c>
      <c r="N18" s="12">
        <v>90</v>
      </c>
      <c r="O18" s="12">
        <v>111</v>
      </c>
      <c r="P18" s="12">
        <v>61</v>
      </c>
      <c r="Q18" s="12">
        <v>100</v>
      </c>
      <c r="R18" s="12">
        <v>68</v>
      </c>
      <c r="S18" s="12">
        <v>75</v>
      </c>
      <c r="T18" s="12">
        <v>79</v>
      </c>
      <c r="U18" s="12">
        <v>109</v>
      </c>
      <c r="V18" s="12">
        <v>46</v>
      </c>
      <c r="W18" s="12">
        <v>111</v>
      </c>
      <c r="X18" s="12">
        <v>409</v>
      </c>
      <c r="Y18" s="12">
        <v>83</v>
      </c>
      <c r="Z18" s="12">
        <v>20</v>
      </c>
      <c r="AA18" s="12">
        <v>63</v>
      </c>
      <c r="AB18" s="12">
        <v>49</v>
      </c>
      <c r="AC18" s="12">
        <v>73</v>
      </c>
      <c r="AD18" s="12">
        <v>65</v>
      </c>
      <c r="AE18" s="12">
        <v>180</v>
      </c>
      <c r="AF18" s="12">
        <v>300</v>
      </c>
    </row>
    <row r="19" spans="1:32" x14ac:dyDescent="0.25">
      <c r="A19" s="19"/>
      <c r="B19" s="13" t="s">
        <v>512</v>
      </c>
      <c r="C19" s="14">
        <v>0.1</v>
      </c>
      <c r="D19" s="14">
        <v>0.15</v>
      </c>
      <c r="E19" s="14">
        <v>0.01</v>
      </c>
      <c r="F19" s="14">
        <v>0.06</v>
      </c>
      <c r="G19" s="14">
        <v>0.33</v>
      </c>
      <c r="H19" s="14">
        <v>0.09</v>
      </c>
      <c r="I19" s="14">
        <v>0.08</v>
      </c>
      <c r="J19" s="14">
        <v>0.05</v>
      </c>
      <c r="K19" s="14">
        <v>0.09</v>
      </c>
      <c r="L19" s="14">
        <v>0.16</v>
      </c>
      <c r="M19" s="14">
        <v>0.03</v>
      </c>
      <c r="N19" s="14">
        <v>0.09</v>
      </c>
      <c r="O19" s="14">
        <v>0.11</v>
      </c>
      <c r="P19" s="14">
        <v>0.06</v>
      </c>
      <c r="Q19" s="14">
        <v>0.1</v>
      </c>
      <c r="R19" s="14">
        <v>0.14000000000000001</v>
      </c>
      <c r="S19" s="14">
        <v>7.0000000000000007E-2</v>
      </c>
      <c r="T19" s="14">
        <v>0.08</v>
      </c>
      <c r="U19" s="14">
        <v>0.21</v>
      </c>
      <c r="V19" s="14">
        <v>0.04</v>
      </c>
      <c r="W19" s="14">
        <v>0.22</v>
      </c>
      <c r="X19" s="14">
        <v>0.41</v>
      </c>
      <c r="Y19" s="14">
        <v>0.08</v>
      </c>
      <c r="Z19" s="14">
        <v>0.02</v>
      </c>
      <c r="AA19" s="14">
        <v>0.06</v>
      </c>
      <c r="AB19" s="14">
        <v>0.05</v>
      </c>
      <c r="AC19" s="14">
        <v>7.0000000000000007E-2</v>
      </c>
      <c r="AD19" s="14">
        <v>7.0000000000000007E-2</v>
      </c>
      <c r="AE19" s="14">
        <v>0.18</v>
      </c>
      <c r="AF19" s="14">
        <v>0.28999999999999998</v>
      </c>
    </row>
    <row r="20" spans="1:32" x14ac:dyDescent="0.25">
      <c r="A20" s="19"/>
      <c r="B20" s="11" t="s">
        <v>513</v>
      </c>
      <c r="C20" s="12">
        <v>13779</v>
      </c>
      <c r="D20" s="12">
        <v>558</v>
      </c>
      <c r="E20" s="12">
        <v>436</v>
      </c>
      <c r="F20" s="12">
        <v>569</v>
      </c>
      <c r="G20" s="12">
        <v>605</v>
      </c>
      <c r="H20" s="12">
        <v>667</v>
      </c>
      <c r="I20" s="12">
        <v>839</v>
      </c>
      <c r="J20" s="12">
        <v>172</v>
      </c>
      <c r="K20" s="12">
        <v>596</v>
      </c>
      <c r="L20" s="12">
        <v>557</v>
      </c>
      <c r="M20" s="12">
        <v>494</v>
      </c>
      <c r="N20" s="12">
        <v>540</v>
      </c>
      <c r="O20" s="12">
        <v>523</v>
      </c>
      <c r="P20" s="12">
        <v>550</v>
      </c>
      <c r="Q20" s="12">
        <v>435</v>
      </c>
      <c r="R20" s="12">
        <v>299</v>
      </c>
      <c r="S20" s="12">
        <v>683</v>
      </c>
      <c r="T20" s="12">
        <v>681</v>
      </c>
      <c r="U20" s="12">
        <v>320</v>
      </c>
      <c r="V20" s="12">
        <v>559</v>
      </c>
      <c r="W20" s="12">
        <v>309</v>
      </c>
      <c r="X20" s="12">
        <v>666</v>
      </c>
      <c r="Y20" s="12">
        <v>507</v>
      </c>
      <c r="Z20" s="12">
        <v>445</v>
      </c>
      <c r="AA20" s="12">
        <v>467</v>
      </c>
      <c r="AB20" s="12">
        <v>581</v>
      </c>
      <c r="AC20" s="12">
        <v>600</v>
      </c>
      <c r="AD20" s="12">
        <v>536</v>
      </c>
      <c r="AE20" s="12">
        <v>596</v>
      </c>
      <c r="AF20" s="12">
        <v>699</v>
      </c>
    </row>
    <row r="21" spans="1:32" x14ac:dyDescent="0.25">
      <c r="A21" s="19"/>
      <c r="B21" s="13" t="s">
        <v>513</v>
      </c>
      <c r="C21" s="14">
        <v>0.52</v>
      </c>
      <c r="D21" s="14">
        <v>0.55000000000000004</v>
      </c>
      <c r="E21" s="14">
        <v>0.42</v>
      </c>
      <c r="F21" s="14">
        <v>0.53</v>
      </c>
      <c r="G21" s="14">
        <v>0.6</v>
      </c>
      <c r="H21" s="14">
        <v>0.54</v>
      </c>
      <c r="I21" s="14">
        <v>0.55000000000000004</v>
      </c>
      <c r="J21" s="14">
        <v>0.57999999999999996</v>
      </c>
      <c r="K21" s="14">
        <v>0.59</v>
      </c>
      <c r="L21" s="14">
        <v>0.55000000000000004</v>
      </c>
      <c r="M21" s="14">
        <v>0.49</v>
      </c>
      <c r="N21" s="14">
        <v>0.53</v>
      </c>
      <c r="O21" s="14">
        <v>0.52</v>
      </c>
      <c r="P21" s="14">
        <v>0.55000000000000004</v>
      </c>
      <c r="Q21" s="14">
        <v>0.42</v>
      </c>
      <c r="R21" s="14">
        <v>0.6</v>
      </c>
      <c r="S21" s="14">
        <v>0.68</v>
      </c>
      <c r="T21" s="14">
        <v>0.67</v>
      </c>
      <c r="U21" s="14">
        <v>0.63</v>
      </c>
      <c r="V21" s="14">
        <v>0.54</v>
      </c>
      <c r="W21" s="14">
        <v>0.62</v>
      </c>
      <c r="X21" s="14">
        <v>0.66</v>
      </c>
      <c r="Y21" s="14">
        <v>0.51</v>
      </c>
      <c r="Z21" s="14">
        <v>0.44</v>
      </c>
      <c r="AA21" s="14">
        <v>0.45</v>
      </c>
      <c r="AB21" s="14">
        <v>0.56000000000000005</v>
      </c>
      <c r="AC21" s="14">
        <v>0.6</v>
      </c>
      <c r="AD21" s="14">
        <v>0.53</v>
      </c>
      <c r="AE21" s="14">
        <v>0.6</v>
      </c>
      <c r="AF21" s="14">
        <v>0.68</v>
      </c>
    </row>
    <row r="22" spans="1:32" x14ac:dyDescent="0.25">
      <c r="A22" s="19"/>
      <c r="B22" s="11" t="s">
        <v>514</v>
      </c>
      <c r="C22" s="12">
        <v>873</v>
      </c>
      <c r="D22" s="12">
        <v>39</v>
      </c>
      <c r="E22" s="12">
        <v>4</v>
      </c>
      <c r="F22" s="12">
        <v>19</v>
      </c>
      <c r="G22" s="12">
        <v>125</v>
      </c>
      <c r="H22" s="12">
        <v>72</v>
      </c>
      <c r="I22" s="12">
        <v>76</v>
      </c>
      <c r="J22" s="12">
        <v>4</v>
      </c>
      <c r="K22" s="12">
        <v>54</v>
      </c>
      <c r="L22" s="12">
        <v>106</v>
      </c>
      <c r="M22" s="12">
        <v>5</v>
      </c>
      <c r="N22" s="12">
        <v>17</v>
      </c>
      <c r="O22" s="12">
        <v>15</v>
      </c>
      <c r="P22" s="12">
        <v>42</v>
      </c>
      <c r="Q22" s="12">
        <v>7</v>
      </c>
      <c r="R22" s="12">
        <v>18</v>
      </c>
      <c r="S22" s="12">
        <v>35</v>
      </c>
      <c r="T22" s="12">
        <v>37</v>
      </c>
      <c r="U22" s="12">
        <v>28</v>
      </c>
      <c r="V22" s="12">
        <v>34</v>
      </c>
      <c r="W22" s="12">
        <v>53</v>
      </c>
      <c r="X22" s="12">
        <v>125</v>
      </c>
      <c r="Y22" s="12">
        <v>36</v>
      </c>
      <c r="Z22" s="12">
        <v>3</v>
      </c>
      <c r="AA22" s="12">
        <v>11</v>
      </c>
      <c r="AB22" s="12">
        <v>16</v>
      </c>
      <c r="AC22" s="12">
        <v>61</v>
      </c>
      <c r="AD22" s="12">
        <v>43</v>
      </c>
      <c r="AE22" s="12">
        <v>91</v>
      </c>
      <c r="AF22" s="12">
        <v>169</v>
      </c>
    </row>
    <row r="23" spans="1:32" x14ac:dyDescent="0.25">
      <c r="A23" s="19"/>
      <c r="B23" s="13" t="s">
        <v>514</v>
      </c>
      <c r="C23" s="14">
        <v>0.03</v>
      </c>
      <c r="D23" s="14">
        <v>0.04</v>
      </c>
      <c r="E23" s="15" t="s">
        <v>213</v>
      </c>
      <c r="F23" s="14">
        <v>0.02</v>
      </c>
      <c r="G23" s="14">
        <v>0.12</v>
      </c>
      <c r="H23" s="14">
        <v>0.06</v>
      </c>
      <c r="I23" s="14">
        <v>0.05</v>
      </c>
      <c r="J23" s="14">
        <v>0.02</v>
      </c>
      <c r="K23" s="14">
        <v>0.05</v>
      </c>
      <c r="L23" s="14">
        <v>0.11</v>
      </c>
      <c r="M23" s="15" t="s">
        <v>213</v>
      </c>
      <c r="N23" s="14">
        <v>0.02</v>
      </c>
      <c r="O23" s="14">
        <v>0.01</v>
      </c>
      <c r="P23" s="14">
        <v>0.04</v>
      </c>
      <c r="Q23" s="14">
        <v>0.01</v>
      </c>
      <c r="R23" s="14">
        <v>0.04</v>
      </c>
      <c r="S23" s="14">
        <v>0.04</v>
      </c>
      <c r="T23" s="14">
        <v>0.04</v>
      </c>
      <c r="U23" s="14">
        <v>0.05</v>
      </c>
      <c r="V23" s="14">
        <v>0.03</v>
      </c>
      <c r="W23" s="14">
        <v>0.11</v>
      </c>
      <c r="X23" s="14">
        <v>0.12</v>
      </c>
      <c r="Y23" s="14">
        <v>0.04</v>
      </c>
      <c r="Z23" s="15" t="s">
        <v>213</v>
      </c>
      <c r="AA23" s="14">
        <v>0.01</v>
      </c>
      <c r="AB23" s="14">
        <v>0.02</v>
      </c>
      <c r="AC23" s="14">
        <v>0.06</v>
      </c>
      <c r="AD23" s="14">
        <v>0.04</v>
      </c>
      <c r="AE23" s="14">
        <v>0.09</v>
      </c>
      <c r="AF23" s="14">
        <v>0.16</v>
      </c>
    </row>
    <row r="24" spans="1:32" x14ac:dyDescent="0.25">
      <c r="A24" s="19"/>
      <c r="B24" s="11" t="s">
        <v>515</v>
      </c>
      <c r="C24" s="12">
        <v>2808</v>
      </c>
      <c r="D24" s="12">
        <v>174</v>
      </c>
      <c r="E24" s="12">
        <v>38</v>
      </c>
      <c r="F24" s="12">
        <v>52</v>
      </c>
      <c r="G24" s="12">
        <v>363</v>
      </c>
      <c r="H24" s="12">
        <v>120</v>
      </c>
      <c r="I24" s="12">
        <v>138</v>
      </c>
      <c r="J24" s="12">
        <v>18</v>
      </c>
      <c r="K24" s="12">
        <v>177</v>
      </c>
      <c r="L24" s="12">
        <v>215</v>
      </c>
      <c r="M24" s="12">
        <v>32</v>
      </c>
      <c r="N24" s="12">
        <v>19</v>
      </c>
      <c r="O24" s="12">
        <v>244</v>
      </c>
      <c r="P24" s="12">
        <v>100</v>
      </c>
      <c r="Q24" s="12">
        <v>48</v>
      </c>
      <c r="R24" s="12">
        <v>19</v>
      </c>
      <c r="S24" s="12">
        <v>114</v>
      </c>
      <c r="T24" s="12">
        <v>108</v>
      </c>
      <c r="U24" s="12">
        <v>82</v>
      </c>
      <c r="V24" s="12">
        <v>45</v>
      </c>
      <c r="W24" s="12">
        <v>25</v>
      </c>
      <c r="X24" s="12">
        <v>194</v>
      </c>
      <c r="Y24" s="12">
        <v>142</v>
      </c>
      <c r="Z24" s="12">
        <v>43</v>
      </c>
      <c r="AA24" s="12">
        <v>24</v>
      </c>
      <c r="AB24" s="12">
        <v>70</v>
      </c>
      <c r="AC24" s="12">
        <v>130</v>
      </c>
      <c r="AD24" s="12">
        <v>67</v>
      </c>
      <c r="AE24" s="12">
        <v>221</v>
      </c>
      <c r="AF24" s="12">
        <v>253</v>
      </c>
    </row>
    <row r="25" spans="1:32" x14ac:dyDescent="0.25">
      <c r="A25" s="19"/>
      <c r="B25" s="13" t="s">
        <v>515</v>
      </c>
      <c r="C25" s="14">
        <v>0.11</v>
      </c>
      <c r="D25" s="14">
        <v>0.17</v>
      </c>
      <c r="E25" s="14">
        <v>0.04</v>
      </c>
      <c r="F25" s="14">
        <v>0.05</v>
      </c>
      <c r="G25" s="14">
        <v>0.36</v>
      </c>
      <c r="H25" s="14">
        <v>0.1</v>
      </c>
      <c r="I25" s="14">
        <v>0.09</v>
      </c>
      <c r="J25" s="14">
        <v>0.06</v>
      </c>
      <c r="K25" s="14">
        <v>0.18</v>
      </c>
      <c r="L25" s="14">
        <v>0.21</v>
      </c>
      <c r="M25" s="14">
        <v>0.03</v>
      </c>
      <c r="N25" s="14">
        <v>0.02</v>
      </c>
      <c r="O25" s="14">
        <v>0.24</v>
      </c>
      <c r="P25" s="14">
        <v>0.1</v>
      </c>
      <c r="Q25" s="14">
        <v>0.05</v>
      </c>
      <c r="R25" s="14">
        <v>0.04</v>
      </c>
      <c r="S25" s="14">
        <v>0.11</v>
      </c>
      <c r="T25" s="14">
        <v>0.11</v>
      </c>
      <c r="U25" s="14">
        <v>0.16</v>
      </c>
      <c r="V25" s="14">
        <v>0.04</v>
      </c>
      <c r="W25" s="14">
        <v>0.05</v>
      </c>
      <c r="X25" s="14">
        <v>0.19</v>
      </c>
      <c r="Y25" s="14">
        <v>0.14000000000000001</v>
      </c>
      <c r="Z25" s="14">
        <v>0.04</v>
      </c>
      <c r="AA25" s="14">
        <v>0.02</v>
      </c>
      <c r="AB25" s="14">
        <v>7.0000000000000007E-2</v>
      </c>
      <c r="AC25" s="14">
        <v>0.13</v>
      </c>
      <c r="AD25" s="14">
        <v>7.0000000000000007E-2</v>
      </c>
      <c r="AE25" s="14">
        <v>0.22</v>
      </c>
      <c r="AF25" s="14">
        <v>0.25</v>
      </c>
    </row>
    <row r="26" spans="1:32" x14ac:dyDescent="0.25">
      <c r="A26" s="19"/>
      <c r="B26" s="11" t="s">
        <v>516</v>
      </c>
      <c r="C26" s="12">
        <v>7100</v>
      </c>
      <c r="D26" s="12">
        <v>216</v>
      </c>
      <c r="E26" s="12">
        <v>367</v>
      </c>
      <c r="F26" s="12">
        <v>166</v>
      </c>
      <c r="G26" s="12">
        <v>157</v>
      </c>
      <c r="H26" s="12">
        <v>190</v>
      </c>
      <c r="I26" s="12">
        <v>258</v>
      </c>
      <c r="J26" s="12">
        <v>68</v>
      </c>
      <c r="K26" s="12">
        <v>302</v>
      </c>
      <c r="L26" s="12">
        <v>323</v>
      </c>
      <c r="M26" s="12">
        <v>397</v>
      </c>
      <c r="N26" s="12">
        <v>337</v>
      </c>
      <c r="O26" s="12">
        <v>276</v>
      </c>
      <c r="P26" s="12">
        <v>292</v>
      </c>
      <c r="Q26" s="12">
        <v>357</v>
      </c>
      <c r="R26" s="12">
        <v>208</v>
      </c>
      <c r="S26" s="12">
        <v>375</v>
      </c>
      <c r="T26" s="12">
        <v>324</v>
      </c>
      <c r="U26" s="12">
        <v>129</v>
      </c>
      <c r="V26" s="12">
        <v>392</v>
      </c>
      <c r="W26" s="12">
        <v>187</v>
      </c>
      <c r="X26" s="12">
        <v>201</v>
      </c>
      <c r="Y26" s="12">
        <v>294</v>
      </c>
      <c r="Z26" s="12">
        <v>252</v>
      </c>
      <c r="AA26" s="12">
        <v>216</v>
      </c>
      <c r="AB26" s="12">
        <v>440</v>
      </c>
      <c r="AC26" s="12">
        <v>177</v>
      </c>
      <c r="AD26" s="12">
        <v>242</v>
      </c>
      <c r="AE26" s="12">
        <v>216</v>
      </c>
      <c r="AF26" s="12">
        <v>152</v>
      </c>
    </row>
    <row r="27" spans="1:32" x14ac:dyDescent="0.25">
      <c r="A27" s="19"/>
      <c r="B27" s="13" t="s">
        <v>516</v>
      </c>
      <c r="C27" s="14">
        <v>0.27</v>
      </c>
      <c r="D27" s="14">
        <v>0.21</v>
      </c>
      <c r="E27" s="14">
        <v>0.35</v>
      </c>
      <c r="F27" s="14">
        <v>0.16</v>
      </c>
      <c r="G27" s="14">
        <v>0.15</v>
      </c>
      <c r="H27" s="14">
        <v>0.15</v>
      </c>
      <c r="I27" s="14">
        <v>0.17</v>
      </c>
      <c r="J27" s="14">
        <v>0.23</v>
      </c>
      <c r="K27" s="14">
        <v>0.3</v>
      </c>
      <c r="L27" s="14">
        <v>0.32</v>
      </c>
      <c r="M27" s="14">
        <v>0.39</v>
      </c>
      <c r="N27" s="14">
        <v>0.33</v>
      </c>
      <c r="O27" s="14">
        <v>0.28000000000000003</v>
      </c>
      <c r="P27" s="14">
        <v>0.28999999999999998</v>
      </c>
      <c r="Q27" s="14">
        <v>0.35</v>
      </c>
      <c r="R27" s="14">
        <v>0.42</v>
      </c>
      <c r="S27" s="14">
        <v>0.37</v>
      </c>
      <c r="T27" s="14">
        <v>0.32</v>
      </c>
      <c r="U27" s="14">
        <v>0.25</v>
      </c>
      <c r="V27" s="14">
        <v>0.38</v>
      </c>
      <c r="W27" s="14">
        <v>0.37</v>
      </c>
      <c r="X27" s="14">
        <v>0.2</v>
      </c>
      <c r="Y27" s="14">
        <v>0.28999999999999998</v>
      </c>
      <c r="Z27" s="14">
        <v>0.25</v>
      </c>
      <c r="AA27" s="14">
        <v>0.21</v>
      </c>
      <c r="AB27" s="14">
        <v>0.42</v>
      </c>
      <c r="AC27" s="14">
        <v>0.18</v>
      </c>
      <c r="AD27" s="14">
        <v>0.24</v>
      </c>
      <c r="AE27" s="14">
        <v>0.22</v>
      </c>
      <c r="AF27" s="14">
        <v>0.15</v>
      </c>
    </row>
    <row r="28" spans="1:32" x14ac:dyDescent="0.25">
      <c r="A28" s="19"/>
      <c r="B28" s="11" t="s">
        <v>517</v>
      </c>
      <c r="C28" s="12">
        <v>2059</v>
      </c>
      <c r="D28" s="12">
        <v>121</v>
      </c>
      <c r="E28" s="12">
        <v>41</v>
      </c>
      <c r="F28" s="12">
        <v>91</v>
      </c>
      <c r="G28" s="12">
        <v>158</v>
      </c>
      <c r="H28" s="12">
        <v>99</v>
      </c>
      <c r="I28" s="12">
        <v>128</v>
      </c>
      <c r="J28" s="12">
        <v>30</v>
      </c>
      <c r="K28" s="12">
        <v>126</v>
      </c>
      <c r="L28" s="12">
        <v>73</v>
      </c>
      <c r="M28" s="12">
        <v>65</v>
      </c>
      <c r="N28" s="12">
        <v>52</v>
      </c>
      <c r="O28" s="12">
        <v>79</v>
      </c>
      <c r="P28" s="12">
        <v>99</v>
      </c>
      <c r="Q28" s="12">
        <v>69</v>
      </c>
      <c r="R28" s="12">
        <v>77</v>
      </c>
      <c r="S28" s="12">
        <v>123</v>
      </c>
      <c r="T28" s="12">
        <v>102</v>
      </c>
      <c r="U28" s="12">
        <v>57</v>
      </c>
      <c r="V28" s="12">
        <v>70</v>
      </c>
      <c r="W28" s="12">
        <v>81</v>
      </c>
      <c r="X28" s="12">
        <v>191</v>
      </c>
      <c r="Y28" s="12">
        <v>101</v>
      </c>
      <c r="Z28" s="12">
        <v>14</v>
      </c>
      <c r="AA28" s="12">
        <v>63</v>
      </c>
      <c r="AB28" s="12">
        <v>72</v>
      </c>
      <c r="AC28" s="12">
        <v>112</v>
      </c>
      <c r="AD28" s="12">
        <v>125</v>
      </c>
      <c r="AE28" s="12">
        <v>97</v>
      </c>
      <c r="AF28" s="12">
        <v>131</v>
      </c>
    </row>
    <row r="29" spans="1:32" x14ac:dyDescent="0.25">
      <c r="A29" s="19"/>
      <c r="B29" s="13" t="s">
        <v>517</v>
      </c>
      <c r="C29" s="14">
        <v>0.08</v>
      </c>
      <c r="D29" s="14">
        <v>0.12</v>
      </c>
      <c r="E29" s="14">
        <v>0.04</v>
      </c>
      <c r="F29" s="14">
        <v>0.09</v>
      </c>
      <c r="G29" s="14">
        <v>0.16</v>
      </c>
      <c r="H29" s="14">
        <v>0.08</v>
      </c>
      <c r="I29" s="14">
        <v>0.08</v>
      </c>
      <c r="J29" s="14">
        <v>0.1</v>
      </c>
      <c r="K29" s="14">
        <v>0.13</v>
      </c>
      <c r="L29" s="14">
        <v>7.0000000000000007E-2</v>
      </c>
      <c r="M29" s="14">
        <v>0.06</v>
      </c>
      <c r="N29" s="14">
        <v>0.05</v>
      </c>
      <c r="O29" s="14">
        <v>0.08</v>
      </c>
      <c r="P29" s="14">
        <v>0.1</v>
      </c>
      <c r="Q29" s="14">
        <v>7.0000000000000007E-2</v>
      </c>
      <c r="R29" s="14">
        <v>0.15</v>
      </c>
      <c r="S29" s="14">
        <v>0.12</v>
      </c>
      <c r="T29" s="14">
        <v>0.1</v>
      </c>
      <c r="U29" s="14">
        <v>0.11</v>
      </c>
      <c r="V29" s="14">
        <v>7.0000000000000007E-2</v>
      </c>
      <c r="W29" s="14">
        <v>0.16</v>
      </c>
      <c r="X29" s="14">
        <v>0.19</v>
      </c>
      <c r="Y29" s="14">
        <v>0.1</v>
      </c>
      <c r="Z29" s="14">
        <v>0.01</v>
      </c>
      <c r="AA29" s="14">
        <v>0.06</v>
      </c>
      <c r="AB29" s="14">
        <v>7.0000000000000007E-2</v>
      </c>
      <c r="AC29" s="14">
        <v>0.11</v>
      </c>
      <c r="AD29" s="14">
        <v>0.12</v>
      </c>
      <c r="AE29" s="14">
        <v>0.1</v>
      </c>
      <c r="AF29" s="14">
        <v>0.13</v>
      </c>
    </row>
    <row r="30" spans="1:32" x14ac:dyDescent="0.25">
      <c r="A30" s="19"/>
      <c r="B30" s="11" t="s">
        <v>518</v>
      </c>
      <c r="C30" s="12">
        <v>8100</v>
      </c>
      <c r="D30" s="12">
        <v>524</v>
      </c>
      <c r="E30" s="12">
        <v>535</v>
      </c>
      <c r="F30" s="12">
        <v>525</v>
      </c>
      <c r="G30" s="12">
        <v>763</v>
      </c>
      <c r="H30" s="12">
        <v>89</v>
      </c>
      <c r="I30" s="12">
        <v>124</v>
      </c>
      <c r="J30" s="12">
        <v>36</v>
      </c>
      <c r="K30" s="12">
        <v>601</v>
      </c>
      <c r="L30" s="12">
        <v>306</v>
      </c>
      <c r="M30" s="12">
        <v>492</v>
      </c>
      <c r="N30" s="12">
        <v>92</v>
      </c>
      <c r="O30" s="12">
        <v>297</v>
      </c>
      <c r="P30" s="12">
        <v>446</v>
      </c>
      <c r="Q30" s="12">
        <v>296</v>
      </c>
      <c r="R30" s="12">
        <v>290</v>
      </c>
      <c r="S30" s="12">
        <v>317</v>
      </c>
      <c r="T30" s="12">
        <v>674</v>
      </c>
      <c r="U30" s="12">
        <v>200</v>
      </c>
      <c r="V30" s="12">
        <v>650</v>
      </c>
      <c r="W30" s="12">
        <v>376</v>
      </c>
      <c r="X30" s="12">
        <v>205</v>
      </c>
      <c r="Y30" s="12">
        <v>212</v>
      </c>
      <c r="Z30" s="12">
        <v>577</v>
      </c>
      <c r="AA30" s="12">
        <v>424</v>
      </c>
      <c r="AB30" s="12">
        <v>447</v>
      </c>
      <c r="AC30" s="12">
        <v>452</v>
      </c>
      <c r="AD30" s="12">
        <v>571</v>
      </c>
      <c r="AE30" s="12">
        <v>258</v>
      </c>
      <c r="AF30" s="12">
        <v>694</v>
      </c>
    </row>
    <row r="31" spans="1:32" x14ac:dyDescent="0.25">
      <c r="A31" s="19"/>
      <c r="B31" s="13" t="s">
        <v>518</v>
      </c>
      <c r="C31" s="14">
        <v>0.31</v>
      </c>
      <c r="D31" s="14">
        <v>0.51</v>
      </c>
      <c r="E31" s="14">
        <v>0.51</v>
      </c>
      <c r="F31" s="14">
        <v>0.49</v>
      </c>
      <c r="G31" s="14">
        <v>0.75</v>
      </c>
      <c r="H31" s="14">
        <v>7.0000000000000007E-2</v>
      </c>
      <c r="I31" s="14">
        <v>0.08</v>
      </c>
      <c r="J31" s="14">
        <v>0.12</v>
      </c>
      <c r="K31" s="14">
        <v>0.6</v>
      </c>
      <c r="L31" s="14">
        <v>0.3</v>
      </c>
      <c r="M31" s="14">
        <v>0.49</v>
      </c>
      <c r="N31" s="14">
        <v>0.09</v>
      </c>
      <c r="O31" s="14">
        <v>0.3</v>
      </c>
      <c r="P31" s="14">
        <v>0.45</v>
      </c>
      <c r="Q31" s="14">
        <v>0.28999999999999998</v>
      </c>
      <c r="R31" s="14">
        <v>0.57999999999999996</v>
      </c>
      <c r="S31" s="14">
        <v>0.32</v>
      </c>
      <c r="T31" s="14">
        <v>0.66</v>
      </c>
      <c r="U31" s="14">
        <v>0.39</v>
      </c>
      <c r="V31" s="14">
        <v>0.63</v>
      </c>
      <c r="W31" s="14">
        <v>0.75</v>
      </c>
      <c r="X31" s="14">
        <v>0.2</v>
      </c>
      <c r="Y31" s="14">
        <v>0.21</v>
      </c>
      <c r="Z31" s="14">
        <v>0.57000000000000006</v>
      </c>
      <c r="AA31" s="14">
        <v>0.41</v>
      </c>
      <c r="AB31" s="14">
        <v>0.43</v>
      </c>
      <c r="AC31" s="14">
        <v>0.45</v>
      </c>
      <c r="AD31" s="14">
        <v>0.57000000000000006</v>
      </c>
      <c r="AE31" s="14">
        <v>0.26</v>
      </c>
      <c r="AF31" s="14">
        <v>0.67</v>
      </c>
    </row>
    <row r="32" spans="1:32" x14ac:dyDescent="0.25">
      <c r="A32" s="19"/>
      <c r="B32" s="11" t="s">
        <v>519</v>
      </c>
      <c r="C32" s="12">
        <v>18415</v>
      </c>
      <c r="D32" s="12">
        <v>814</v>
      </c>
      <c r="E32" s="12">
        <v>198</v>
      </c>
      <c r="F32" s="12">
        <v>686</v>
      </c>
      <c r="G32" s="12">
        <v>208</v>
      </c>
      <c r="H32" s="12">
        <v>1040</v>
      </c>
      <c r="I32" s="12">
        <v>1295</v>
      </c>
      <c r="J32" s="12">
        <v>254</v>
      </c>
      <c r="K32" s="12">
        <v>399</v>
      </c>
      <c r="L32" s="12">
        <v>789</v>
      </c>
      <c r="M32" s="12">
        <v>82</v>
      </c>
      <c r="N32" s="12">
        <v>911</v>
      </c>
      <c r="O32" s="12">
        <v>577</v>
      </c>
      <c r="P32" s="12">
        <v>713</v>
      </c>
      <c r="Q32" s="12">
        <v>872</v>
      </c>
      <c r="R32" s="12">
        <v>192</v>
      </c>
      <c r="S32" s="12">
        <v>802</v>
      </c>
      <c r="T32" s="12">
        <v>240</v>
      </c>
      <c r="U32" s="12">
        <v>407</v>
      </c>
      <c r="V32" s="12">
        <v>87</v>
      </c>
      <c r="W32" s="12">
        <v>381</v>
      </c>
      <c r="X32" s="12">
        <v>958</v>
      </c>
      <c r="Y32" s="12">
        <v>781</v>
      </c>
      <c r="Z32" s="12">
        <v>481</v>
      </c>
      <c r="AA32" s="12">
        <v>704</v>
      </c>
      <c r="AB32" s="12">
        <v>807</v>
      </c>
      <c r="AC32" s="12">
        <v>300</v>
      </c>
      <c r="AD32" s="12">
        <v>574</v>
      </c>
      <c r="AE32" s="12">
        <v>833</v>
      </c>
      <c r="AF32" s="12">
        <v>472</v>
      </c>
    </row>
    <row r="33" spans="1:32" x14ac:dyDescent="0.25">
      <c r="A33" s="19"/>
      <c r="B33" s="13" t="s">
        <v>519</v>
      </c>
      <c r="C33" s="14">
        <v>0.70000000000000007</v>
      </c>
      <c r="D33" s="14">
        <v>0.8</v>
      </c>
      <c r="E33" s="14">
        <v>0.19</v>
      </c>
      <c r="F33" s="14">
        <v>0.64</v>
      </c>
      <c r="G33" s="14">
        <v>0.21</v>
      </c>
      <c r="H33" s="14">
        <v>0.85</v>
      </c>
      <c r="I33" s="14">
        <v>0.85</v>
      </c>
      <c r="J33" s="14">
        <v>0.86</v>
      </c>
      <c r="K33" s="14">
        <v>0.4</v>
      </c>
      <c r="L33" s="14">
        <v>0.78</v>
      </c>
      <c r="M33" s="14">
        <v>0.08</v>
      </c>
      <c r="N33" s="14">
        <v>0.9</v>
      </c>
      <c r="O33" s="14">
        <v>0.57000000000000006</v>
      </c>
      <c r="P33" s="14">
        <v>0.71</v>
      </c>
      <c r="Q33" s="14">
        <v>0.85</v>
      </c>
      <c r="R33" s="14">
        <v>0.38</v>
      </c>
      <c r="S33" s="14">
        <v>0.8</v>
      </c>
      <c r="T33" s="14">
        <v>0.23</v>
      </c>
      <c r="U33" s="14">
        <v>0.8</v>
      </c>
      <c r="V33" s="14">
        <v>0.08</v>
      </c>
      <c r="W33" s="14">
        <v>0.76</v>
      </c>
      <c r="X33" s="14">
        <v>0.95000000000000007</v>
      </c>
      <c r="Y33" s="14">
        <v>0.78</v>
      </c>
      <c r="Z33" s="14">
        <v>0.47</v>
      </c>
      <c r="AA33" s="14">
        <v>0.68</v>
      </c>
      <c r="AB33" s="14">
        <v>0.78</v>
      </c>
      <c r="AC33" s="14">
        <v>0.3</v>
      </c>
      <c r="AD33" s="14">
        <v>0.57000000000000006</v>
      </c>
      <c r="AE33" s="14">
        <v>0.83000000000000007</v>
      </c>
      <c r="AF33" s="14">
        <v>0.46</v>
      </c>
    </row>
    <row r="34" spans="1:32" x14ac:dyDescent="0.25">
      <c r="A34" s="19"/>
      <c r="B34" s="11" t="s">
        <v>520</v>
      </c>
      <c r="C34" s="12">
        <v>2454</v>
      </c>
      <c r="D34" s="12">
        <v>63</v>
      </c>
      <c r="E34" s="12">
        <v>78</v>
      </c>
      <c r="F34" s="12">
        <v>47</v>
      </c>
      <c r="G34" s="12">
        <v>48</v>
      </c>
      <c r="H34" s="12">
        <v>145</v>
      </c>
      <c r="I34" s="12">
        <v>173</v>
      </c>
      <c r="J34" s="12">
        <v>28</v>
      </c>
      <c r="K34" s="12">
        <v>205</v>
      </c>
      <c r="L34" s="12">
        <v>53</v>
      </c>
      <c r="M34" s="12">
        <v>6</v>
      </c>
      <c r="N34" s="12">
        <v>116</v>
      </c>
      <c r="O34" s="12">
        <v>73</v>
      </c>
      <c r="P34" s="12">
        <v>75</v>
      </c>
      <c r="Q34" s="12">
        <v>190</v>
      </c>
      <c r="R34" s="12">
        <v>29</v>
      </c>
      <c r="S34" s="12">
        <v>208</v>
      </c>
      <c r="T34" s="12">
        <v>65</v>
      </c>
      <c r="U34" s="12">
        <v>34</v>
      </c>
      <c r="V34" s="12">
        <v>43</v>
      </c>
      <c r="W34" s="12">
        <v>39</v>
      </c>
      <c r="X34" s="12">
        <v>57</v>
      </c>
      <c r="Y34" s="12">
        <v>166</v>
      </c>
      <c r="Z34" s="12">
        <v>26</v>
      </c>
      <c r="AA34" s="12">
        <v>44</v>
      </c>
      <c r="AB34" s="12">
        <v>66</v>
      </c>
      <c r="AC34" s="12">
        <v>31</v>
      </c>
      <c r="AD34" s="12">
        <v>152</v>
      </c>
      <c r="AE34" s="12">
        <v>56</v>
      </c>
      <c r="AF34" s="12">
        <v>20</v>
      </c>
    </row>
    <row r="35" spans="1:32" x14ac:dyDescent="0.25">
      <c r="A35" s="19"/>
      <c r="B35" s="13" t="s">
        <v>520</v>
      </c>
      <c r="C35" s="14">
        <v>0.09</v>
      </c>
      <c r="D35" s="14">
        <v>0.06</v>
      </c>
      <c r="E35" s="14">
        <v>7.0000000000000007E-2</v>
      </c>
      <c r="F35" s="14">
        <v>0.04</v>
      </c>
      <c r="G35" s="14">
        <v>0.05</v>
      </c>
      <c r="H35" s="14">
        <v>0.12</v>
      </c>
      <c r="I35" s="14">
        <v>0.11</v>
      </c>
      <c r="J35" s="14">
        <v>0.09</v>
      </c>
      <c r="K35" s="14">
        <v>0.2</v>
      </c>
      <c r="L35" s="14">
        <v>0.05</v>
      </c>
      <c r="M35" s="14">
        <v>0.01</v>
      </c>
      <c r="N35" s="14">
        <v>0.12</v>
      </c>
      <c r="O35" s="14">
        <v>7.0000000000000007E-2</v>
      </c>
      <c r="P35" s="14">
        <v>0.08</v>
      </c>
      <c r="Q35" s="14">
        <v>0.18</v>
      </c>
      <c r="R35" s="14">
        <v>0.06</v>
      </c>
      <c r="S35" s="14">
        <v>0.21</v>
      </c>
      <c r="T35" s="14">
        <v>0.06</v>
      </c>
      <c r="U35" s="14">
        <v>7.0000000000000007E-2</v>
      </c>
      <c r="V35" s="14">
        <v>0.04</v>
      </c>
      <c r="W35" s="14">
        <v>0.08</v>
      </c>
      <c r="X35" s="14">
        <v>0.06</v>
      </c>
      <c r="Y35" s="14">
        <v>0.17</v>
      </c>
      <c r="Z35" s="14">
        <v>0.03</v>
      </c>
      <c r="AA35" s="14">
        <v>0.04</v>
      </c>
      <c r="AB35" s="14">
        <v>0.06</v>
      </c>
      <c r="AC35" s="14">
        <v>0.03</v>
      </c>
      <c r="AD35" s="14">
        <v>0.15</v>
      </c>
      <c r="AE35" s="14">
        <v>0.06</v>
      </c>
      <c r="AF35" s="14">
        <v>0.02</v>
      </c>
    </row>
    <row r="36" spans="1:32" x14ac:dyDescent="0.25">
      <c r="A36" s="19"/>
      <c r="B36" s="11" t="s">
        <v>521</v>
      </c>
      <c r="C36" s="12">
        <v>689</v>
      </c>
      <c r="D36" s="12">
        <v>24</v>
      </c>
      <c r="E36" s="12">
        <v>18</v>
      </c>
      <c r="F36" s="12">
        <v>31</v>
      </c>
      <c r="G36" s="12">
        <v>51</v>
      </c>
      <c r="H36" s="12">
        <v>43</v>
      </c>
      <c r="I36" s="12">
        <v>49</v>
      </c>
      <c r="J36" s="12">
        <v>7</v>
      </c>
      <c r="K36" s="12">
        <v>42</v>
      </c>
      <c r="L36" s="12">
        <v>26</v>
      </c>
      <c r="M36" s="12">
        <v>4</v>
      </c>
      <c r="N36" s="12">
        <v>34</v>
      </c>
      <c r="O36" s="12">
        <v>40</v>
      </c>
      <c r="P36" s="12">
        <v>28</v>
      </c>
      <c r="Q36" s="12">
        <v>9</v>
      </c>
      <c r="R36" s="12">
        <v>11</v>
      </c>
      <c r="S36" s="12">
        <v>29</v>
      </c>
      <c r="T36" s="12">
        <v>19</v>
      </c>
      <c r="U36" s="12">
        <v>15</v>
      </c>
      <c r="V36" s="12">
        <v>14</v>
      </c>
      <c r="W36" s="12">
        <v>14</v>
      </c>
      <c r="X36" s="12">
        <v>22</v>
      </c>
      <c r="Y36" s="12">
        <v>31</v>
      </c>
      <c r="Z36" s="12">
        <v>21</v>
      </c>
      <c r="AA36" s="12">
        <v>16</v>
      </c>
      <c r="AB36" s="12">
        <v>6</v>
      </c>
      <c r="AC36" s="12">
        <v>12</v>
      </c>
      <c r="AD36" s="12">
        <v>15</v>
      </c>
      <c r="AE36" s="12">
        <v>44</v>
      </c>
      <c r="AF36" s="12">
        <v>48</v>
      </c>
    </row>
    <row r="37" spans="1:32" x14ac:dyDescent="0.25">
      <c r="A37" s="19"/>
      <c r="B37" s="13" t="s">
        <v>521</v>
      </c>
      <c r="C37" s="14">
        <v>0.03</v>
      </c>
      <c r="D37" s="14">
        <v>0.02</v>
      </c>
      <c r="E37" s="14">
        <v>0.02</v>
      </c>
      <c r="F37" s="14">
        <v>0.03</v>
      </c>
      <c r="G37" s="14">
        <v>0.05</v>
      </c>
      <c r="H37" s="14">
        <v>0.03</v>
      </c>
      <c r="I37" s="14">
        <v>0.03</v>
      </c>
      <c r="J37" s="14">
        <v>0.02</v>
      </c>
      <c r="K37" s="14">
        <v>0.04</v>
      </c>
      <c r="L37" s="14">
        <v>0.03</v>
      </c>
      <c r="M37" s="15" t="s">
        <v>213</v>
      </c>
      <c r="N37" s="14">
        <v>0.03</v>
      </c>
      <c r="O37" s="14">
        <v>0.04</v>
      </c>
      <c r="P37" s="14">
        <v>0.03</v>
      </c>
      <c r="Q37" s="14">
        <v>0.01</v>
      </c>
      <c r="R37" s="14">
        <v>0.02</v>
      </c>
      <c r="S37" s="14">
        <v>0.03</v>
      </c>
      <c r="T37" s="14">
        <v>0.02</v>
      </c>
      <c r="U37" s="14">
        <v>0.03</v>
      </c>
      <c r="V37" s="14">
        <v>0.01</v>
      </c>
      <c r="W37" s="14">
        <v>0.03</v>
      </c>
      <c r="X37" s="14">
        <v>0.02</v>
      </c>
      <c r="Y37" s="14">
        <v>0.03</v>
      </c>
      <c r="Z37" s="14">
        <v>0.02</v>
      </c>
      <c r="AA37" s="14">
        <v>0.02</v>
      </c>
      <c r="AB37" s="14">
        <v>0.01</v>
      </c>
      <c r="AC37" s="14">
        <v>0.01</v>
      </c>
      <c r="AD37" s="14">
        <v>0.01</v>
      </c>
      <c r="AE37" s="14">
        <v>0.04</v>
      </c>
      <c r="AF37" s="14">
        <v>0.05</v>
      </c>
    </row>
    <row r="38" spans="1:32" x14ac:dyDescent="0.25">
      <c r="A38" s="19"/>
      <c r="B38" s="11" t="s">
        <v>522</v>
      </c>
      <c r="C38" s="12">
        <v>1184</v>
      </c>
      <c r="D38" s="12">
        <v>25</v>
      </c>
      <c r="E38" s="12">
        <v>4</v>
      </c>
      <c r="F38" s="12">
        <v>16</v>
      </c>
      <c r="G38" s="12">
        <v>46</v>
      </c>
      <c r="H38" s="12">
        <v>157</v>
      </c>
      <c r="I38" s="12">
        <v>169</v>
      </c>
      <c r="J38" s="12">
        <v>12</v>
      </c>
      <c r="K38" s="12">
        <v>50</v>
      </c>
      <c r="L38" s="12">
        <v>30</v>
      </c>
      <c r="M38" s="12">
        <v>0</v>
      </c>
      <c r="N38" s="12">
        <v>2</v>
      </c>
      <c r="O38" s="12">
        <v>20</v>
      </c>
      <c r="P38" s="12">
        <v>14</v>
      </c>
      <c r="Q38" s="12">
        <v>14</v>
      </c>
      <c r="R38" s="12">
        <v>6</v>
      </c>
      <c r="S38" s="12">
        <v>37</v>
      </c>
      <c r="T38" s="12">
        <v>14</v>
      </c>
      <c r="U38" s="12">
        <v>26</v>
      </c>
      <c r="V38" s="12">
        <v>22</v>
      </c>
      <c r="W38" s="12">
        <v>12</v>
      </c>
      <c r="X38" s="12">
        <v>226</v>
      </c>
      <c r="Y38" s="12">
        <v>98</v>
      </c>
      <c r="Z38" s="12">
        <v>15</v>
      </c>
      <c r="AA38" s="12">
        <v>3</v>
      </c>
      <c r="AB38" s="12">
        <v>2</v>
      </c>
      <c r="AC38" s="12">
        <v>16</v>
      </c>
      <c r="AD38" s="12">
        <v>57</v>
      </c>
      <c r="AE38" s="12">
        <v>65</v>
      </c>
      <c r="AF38" s="12">
        <v>92</v>
      </c>
    </row>
    <row r="39" spans="1:32" x14ac:dyDescent="0.25">
      <c r="A39" s="19"/>
      <c r="B39" s="13" t="s">
        <v>522</v>
      </c>
      <c r="C39" s="14">
        <v>0.04</v>
      </c>
      <c r="D39" s="14">
        <v>0.02</v>
      </c>
      <c r="E39" s="15" t="s">
        <v>213</v>
      </c>
      <c r="F39" s="14">
        <v>0.02</v>
      </c>
      <c r="G39" s="14">
        <v>0.05</v>
      </c>
      <c r="H39" s="14">
        <v>0.13</v>
      </c>
      <c r="I39" s="14">
        <v>0.11</v>
      </c>
      <c r="J39" s="14">
        <v>0.04</v>
      </c>
      <c r="K39" s="14">
        <v>0.05</v>
      </c>
      <c r="L39" s="14">
        <v>0.03</v>
      </c>
      <c r="M39" s="15" t="s">
        <v>213</v>
      </c>
      <c r="N39" s="15" t="s">
        <v>213</v>
      </c>
      <c r="O39" s="14">
        <v>0.02</v>
      </c>
      <c r="P39" s="14">
        <v>0.01</v>
      </c>
      <c r="Q39" s="14">
        <v>0.01</v>
      </c>
      <c r="R39" s="14">
        <v>0.01</v>
      </c>
      <c r="S39" s="14">
        <v>0.04</v>
      </c>
      <c r="T39" s="14">
        <v>0.01</v>
      </c>
      <c r="U39" s="14">
        <v>0.05</v>
      </c>
      <c r="V39" s="14">
        <v>0.02</v>
      </c>
      <c r="W39" s="14">
        <v>0.02</v>
      </c>
      <c r="X39" s="14">
        <v>0.22</v>
      </c>
      <c r="Y39" s="14">
        <v>0.1</v>
      </c>
      <c r="Z39" s="14">
        <v>0.01</v>
      </c>
      <c r="AA39" s="15" t="s">
        <v>213</v>
      </c>
      <c r="AB39" s="15" t="s">
        <v>213</v>
      </c>
      <c r="AC39" s="14">
        <v>0.02</v>
      </c>
      <c r="AD39" s="14">
        <v>0.06</v>
      </c>
      <c r="AE39" s="14">
        <v>7.0000000000000007E-2</v>
      </c>
      <c r="AF39" s="14">
        <v>0.09</v>
      </c>
    </row>
    <row r="40" spans="1:32" x14ac:dyDescent="0.25">
      <c r="A40" s="19"/>
      <c r="B40" s="11" t="s">
        <v>523</v>
      </c>
      <c r="C40" s="12">
        <v>1078</v>
      </c>
      <c r="D40" s="12">
        <v>46</v>
      </c>
      <c r="E40" s="12">
        <v>19</v>
      </c>
      <c r="F40" s="12">
        <v>41</v>
      </c>
      <c r="G40" s="12">
        <v>142</v>
      </c>
      <c r="H40" s="12">
        <v>75</v>
      </c>
      <c r="I40" s="12">
        <v>83</v>
      </c>
      <c r="J40" s="12">
        <v>9</v>
      </c>
      <c r="K40" s="12">
        <v>73</v>
      </c>
      <c r="L40" s="12">
        <v>33</v>
      </c>
      <c r="M40" s="12">
        <v>12</v>
      </c>
      <c r="N40" s="12">
        <v>37</v>
      </c>
      <c r="O40" s="12">
        <v>56</v>
      </c>
      <c r="P40" s="12">
        <v>22</v>
      </c>
      <c r="Q40" s="12">
        <v>2</v>
      </c>
      <c r="R40" s="12">
        <v>18</v>
      </c>
      <c r="S40" s="12">
        <v>71</v>
      </c>
      <c r="T40" s="12">
        <v>59</v>
      </c>
      <c r="U40" s="12">
        <v>23</v>
      </c>
      <c r="V40" s="12">
        <v>25</v>
      </c>
      <c r="W40" s="12">
        <v>34</v>
      </c>
      <c r="X40" s="12">
        <v>83</v>
      </c>
      <c r="Y40" s="12">
        <v>32</v>
      </c>
      <c r="Z40" s="12">
        <v>20</v>
      </c>
      <c r="AA40" s="12">
        <v>13</v>
      </c>
      <c r="AB40" s="12">
        <v>15</v>
      </c>
      <c r="AC40" s="12">
        <v>44</v>
      </c>
      <c r="AD40" s="12">
        <v>42</v>
      </c>
      <c r="AE40" s="12">
        <v>89</v>
      </c>
      <c r="AF40" s="12">
        <v>144</v>
      </c>
    </row>
    <row r="41" spans="1:32" x14ac:dyDescent="0.25">
      <c r="A41" s="19"/>
      <c r="B41" s="13" t="s">
        <v>523</v>
      </c>
      <c r="C41" s="14">
        <v>0.04</v>
      </c>
      <c r="D41" s="14">
        <v>0.04</v>
      </c>
      <c r="E41" s="14">
        <v>0.02</v>
      </c>
      <c r="F41" s="14">
        <v>0.04</v>
      </c>
      <c r="G41" s="14">
        <v>0.14000000000000001</v>
      </c>
      <c r="H41" s="14">
        <v>0.06</v>
      </c>
      <c r="I41" s="14">
        <v>0.05</v>
      </c>
      <c r="J41" s="14">
        <v>0.03</v>
      </c>
      <c r="K41" s="14">
        <v>7.0000000000000007E-2</v>
      </c>
      <c r="L41" s="14">
        <v>0.03</v>
      </c>
      <c r="M41" s="14">
        <v>0.01</v>
      </c>
      <c r="N41" s="14">
        <v>0.04</v>
      </c>
      <c r="O41" s="14">
        <v>0.06</v>
      </c>
      <c r="P41" s="14">
        <v>0.02</v>
      </c>
      <c r="Q41" s="15" t="s">
        <v>213</v>
      </c>
      <c r="R41" s="14">
        <v>0.04</v>
      </c>
      <c r="S41" s="14">
        <v>7.0000000000000007E-2</v>
      </c>
      <c r="T41" s="14">
        <v>0.06</v>
      </c>
      <c r="U41" s="14">
        <v>0.04</v>
      </c>
      <c r="V41" s="14">
        <v>0.02</v>
      </c>
      <c r="W41" s="14">
        <v>7.0000000000000007E-2</v>
      </c>
      <c r="X41" s="14">
        <v>0.08</v>
      </c>
      <c r="Y41" s="14">
        <v>0.03</v>
      </c>
      <c r="Z41" s="14">
        <v>0.02</v>
      </c>
      <c r="AA41" s="14">
        <v>0.01</v>
      </c>
      <c r="AB41" s="14">
        <v>0.01</v>
      </c>
      <c r="AC41" s="14">
        <v>0.04</v>
      </c>
      <c r="AD41" s="14">
        <v>0.04</v>
      </c>
      <c r="AE41" s="14">
        <v>0.09</v>
      </c>
      <c r="AF41" s="14">
        <v>0.14000000000000001</v>
      </c>
    </row>
    <row r="42" spans="1:32" x14ac:dyDescent="0.25">
      <c r="A42" s="19"/>
      <c r="B42" s="11" t="s">
        <v>274</v>
      </c>
      <c r="C42" s="12">
        <v>26</v>
      </c>
      <c r="D42" s="12">
        <v>0</v>
      </c>
      <c r="E42" s="12">
        <v>1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3</v>
      </c>
      <c r="L42" s="12">
        <v>0</v>
      </c>
      <c r="M42" s="12">
        <v>6</v>
      </c>
      <c r="N42" s="12">
        <v>0</v>
      </c>
      <c r="O42" s="12">
        <v>3</v>
      </c>
      <c r="P42" s="12">
        <v>0</v>
      </c>
      <c r="Q42" s="12">
        <v>0</v>
      </c>
      <c r="R42" s="12">
        <v>0</v>
      </c>
      <c r="S42" s="12">
        <v>3</v>
      </c>
      <c r="T42" s="12">
        <v>2</v>
      </c>
      <c r="U42" s="12">
        <v>1</v>
      </c>
      <c r="V42" s="12">
        <v>1</v>
      </c>
      <c r="W42" s="12">
        <v>0</v>
      </c>
      <c r="X42" s="12">
        <v>0</v>
      </c>
      <c r="Y42" s="12">
        <v>4</v>
      </c>
      <c r="Z42" s="12">
        <v>0</v>
      </c>
      <c r="AA42" s="12">
        <v>2</v>
      </c>
      <c r="AB42" s="12">
        <v>0</v>
      </c>
      <c r="AC42" s="12">
        <v>2</v>
      </c>
      <c r="AD42" s="12">
        <v>1</v>
      </c>
      <c r="AE42" s="12">
        <v>7</v>
      </c>
      <c r="AF42" s="12">
        <v>0</v>
      </c>
    </row>
    <row r="43" spans="1:32" x14ac:dyDescent="0.25">
      <c r="A43" s="19"/>
      <c r="B43" s="13" t="s">
        <v>275</v>
      </c>
      <c r="C43" s="15" t="s">
        <v>213</v>
      </c>
      <c r="D43" s="15" t="s">
        <v>213</v>
      </c>
      <c r="E43" s="15" t="s">
        <v>213</v>
      </c>
      <c r="F43" s="15" t="s">
        <v>213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5" t="s">
        <v>213</v>
      </c>
      <c r="L43" s="15" t="s">
        <v>213</v>
      </c>
      <c r="M43" s="14">
        <v>0.01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5" t="s">
        <v>213</v>
      </c>
      <c r="T43" s="15" t="s">
        <v>213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5" t="s">
        <v>213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4">
        <v>0.01</v>
      </c>
      <c r="AF43" s="15" t="s">
        <v>213</v>
      </c>
    </row>
    <row r="44" spans="1:32" x14ac:dyDescent="0.25">
      <c r="A44" s="19"/>
      <c r="B44" s="11" t="s">
        <v>524</v>
      </c>
      <c r="C44" s="12">
        <v>2826</v>
      </c>
      <c r="D44" s="12">
        <v>44</v>
      </c>
      <c r="E44" s="12">
        <v>167</v>
      </c>
      <c r="F44" s="12">
        <v>123</v>
      </c>
      <c r="G44" s="12">
        <v>65</v>
      </c>
      <c r="H44" s="12">
        <v>131</v>
      </c>
      <c r="I44" s="12">
        <v>155</v>
      </c>
      <c r="J44" s="12">
        <v>24</v>
      </c>
      <c r="K44" s="12">
        <v>105</v>
      </c>
      <c r="L44" s="12">
        <v>74</v>
      </c>
      <c r="M44" s="12">
        <v>203</v>
      </c>
      <c r="N44" s="12">
        <v>69</v>
      </c>
      <c r="O44" s="12">
        <v>143</v>
      </c>
      <c r="P44" s="12">
        <v>133</v>
      </c>
      <c r="Q44" s="12">
        <v>73</v>
      </c>
      <c r="R44" s="12">
        <v>59</v>
      </c>
      <c r="S44" s="12">
        <v>105</v>
      </c>
      <c r="T44" s="12">
        <v>153</v>
      </c>
      <c r="U44" s="12">
        <v>35</v>
      </c>
      <c r="V44" s="12">
        <v>142</v>
      </c>
      <c r="W44" s="12">
        <v>48</v>
      </c>
      <c r="X44" s="12">
        <v>8</v>
      </c>
      <c r="Y44" s="12">
        <v>113</v>
      </c>
      <c r="Z44" s="12">
        <v>169</v>
      </c>
      <c r="AA44" s="12">
        <v>193</v>
      </c>
      <c r="AB44" s="12">
        <v>155</v>
      </c>
      <c r="AC44" s="12">
        <v>194</v>
      </c>
      <c r="AD44" s="12">
        <v>117</v>
      </c>
      <c r="AE44" s="12">
        <v>70</v>
      </c>
      <c r="AF44" s="12">
        <v>34</v>
      </c>
    </row>
    <row r="45" spans="1:32" x14ac:dyDescent="0.25">
      <c r="A45" s="19"/>
      <c r="B45" s="13" t="s">
        <v>277</v>
      </c>
      <c r="C45" s="14">
        <v>0.11</v>
      </c>
      <c r="D45" s="14">
        <v>0.04</v>
      </c>
      <c r="E45" s="14">
        <v>0.16</v>
      </c>
      <c r="F45" s="14">
        <v>0.12</v>
      </c>
      <c r="G45" s="14">
        <v>0.06</v>
      </c>
      <c r="H45" s="14">
        <v>0.11</v>
      </c>
      <c r="I45" s="14">
        <v>0.1</v>
      </c>
      <c r="J45" s="14">
        <v>0.08</v>
      </c>
      <c r="K45" s="14">
        <v>0.1</v>
      </c>
      <c r="L45" s="14">
        <v>0.08</v>
      </c>
      <c r="M45" s="14">
        <v>0.2</v>
      </c>
      <c r="N45" s="14">
        <v>7.0000000000000007E-2</v>
      </c>
      <c r="O45" s="14">
        <v>0.14000000000000001</v>
      </c>
      <c r="P45" s="14">
        <v>0.13</v>
      </c>
      <c r="Q45" s="14">
        <v>7.0000000000000007E-2</v>
      </c>
      <c r="R45" s="14">
        <v>0.12</v>
      </c>
      <c r="S45" s="14">
        <v>0.11</v>
      </c>
      <c r="T45" s="14">
        <v>0.15</v>
      </c>
      <c r="U45" s="14">
        <v>7.0000000000000007E-2</v>
      </c>
      <c r="V45" s="14">
        <v>0.14000000000000001</v>
      </c>
      <c r="W45" s="14">
        <v>0.1</v>
      </c>
      <c r="X45" s="14">
        <v>0.01</v>
      </c>
      <c r="Y45" s="14">
        <v>0.11</v>
      </c>
      <c r="Z45" s="14">
        <v>0.17</v>
      </c>
      <c r="AA45" s="14">
        <v>0.18</v>
      </c>
      <c r="AB45" s="14">
        <v>0.15</v>
      </c>
      <c r="AC45" s="14">
        <v>0.19</v>
      </c>
      <c r="AD45" s="14">
        <v>0.12</v>
      </c>
      <c r="AE45" s="14">
        <v>7.0000000000000007E-2</v>
      </c>
      <c r="AF45" s="14">
        <v>0.03</v>
      </c>
    </row>
    <row r="46" spans="1:32" x14ac:dyDescent="0.25">
      <c r="A46" s="19"/>
      <c r="B46" s="11" t="s">
        <v>224</v>
      </c>
      <c r="C46" s="12">
        <v>93</v>
      </c>
      <c r="D46" s="12">
        <v>1</v>
      </c>
      <c r="E46" s="12">
        <v>4</v>
      </c>
      <c r="F46" s="12">
        <v>2</v>
      </c>
      <c r="G46" s="12">
        <v>1</v>
      </c>
      <c r="H46" s="12">
        <v>0</v>
      </c>
      <c r="I46" s="12">
        <v>1</v>
      </c>
      <c r="J46" s="12">
        <v>1</v>
      </c>
      <c r="K46" s="12">
        <v>5</v>
      </c>
      <c r="L46" s="12">
        <v>2</v>
      </c>
      <c r="M46" s="12">
        <v>3</v>
      </c>
      <c r="N46" s="12">
        <v>2</v>
      </c>
      <c r="O46" s="12">
        <v>7</v>
      </c>
      <c r="P46" s="12">
        <v>1</v>
      </c>
      <c r="Q46" s="12">
        <v>0</v>
      </c>
      <c r="R46" s="12">
        <v>4</v>
      </c>
      <c r="S46" s="12">
        <v>1</v>
      </c>
      <c r="T46" s="12">
        <v>7</v>
      </c>
      <c r="U46" s="12">
        <v>1</v>
      </c>
      <c r="V46" s="12">
        <v>2</v>
      </c>
      <c r="W46" s="12">
        <v>0</v>
      </c>
      <c r="X46" s="12">
        <v>1</v>
      </c>
      <c r="Y46" s="12">
        <v>1</v>
      </c>
      <c r="Z46" s="12">
        <v>19</v>
      </c>
      <c r="AA46" s="12">
        <v>7</v>
      </c>
      <c r="AB46" s="12">
        <v>0</v>
      </c>
      <c r="AC46" s="12">
        <v>1</v>
      </c>
      <c r="AD46" s="12">
        <v>3</v>
      </c>
      <c r="AE46" s="12">
        <v>2</v>
      </c>
      <c r="AF46" s="12">
        <v>1</v>
      </c>
    </row>
    <row r="47" spans="1:32" x14ac:dyDescent="0.25">
      <c r="A47" s="19"/>
      <c r="B47" s="13" t="s">
        <v>237</v>
      </c>
      <c r="C47" s="15" t="s">
        <v>213</v>
      </c>
      <c r="D47" s="15" t="s">
        <v>213</v>
      </c>
      <c r="E47" s="15" t="s">
        <v>213</v>
      </c>
      <c r="F47" s="15" t="s">
        <v>213</v>
      </c>
      <c r="G47" s="15" t="s">
        <v>213</v>
      </c>
      <c r="H47" s="15" t="s">
        <v>213</v>
      </c>
      <c r="I47" s="15" t="s">
        <v>213</v>
      </c>
      <c r="J47" s="15" t="s">
        <v>213</v>
      </c>
      <c r="K47" s="14">
        <v>0.01</v>
      </c>
      <c r="L47" s="15" t="s">
        <v>213</v>
      </c>
      <c r="M47" s="15" t="s">
        <v>213</v>
      </c>
      <c r="N47" s="15" t="s">
        <v>213</v>
      </c>
      <c r="O47" s="14">
        <v>0.01</v>
      </c>
      <c r="P47" s="15" t="s">
        <v>213</v>
      </c>
      <c r="Q47" s="15" t="s">
        <v>213</v>
      </c>
      <c r="R47" s="14">
        <v>0.01</v>
      </c>
      <c r="S47" s="15" t="s">
        <v>213</v>
      </c>
      <c r="T47" s="14">
        <v>0.01</v>
      </c>
      <c r="U47" s="15" t="s">
        <v>213</v>
      </c>
      <c r="V47" s="15" t="s">
        <v>213</v>
      </c>
      <c r="W47" s="15" t="s">
        <v>213</v>
      </c>
      <c r="X47" s="15" t="s">
        <v>213</v>
      </c>
      <c r="Y47" s="15" t="s">
        <v>213</v>
      </c>
      <c r="Z47" s="14">
        <v>0.02</v>
      </c>
      <c r="AA47" s="14">
        <v>0.01</v>
      </c>
      <c r="AB47" s="15" t="s">
        <v>213</v>
      </c>
      <c r="AC47" s="15" t="s">
        <v>213</v>
      </c>
      <c r="AD47" s="15" t="s">
        <v>213</v>
      </c>
      <c r="AE47" s="15" t="s">
        <v>213</v>
      </c>
      <c r="AF47" s="15" t="s">
        <v>213</v>
      </c>
    </row>
    <row r="48" spans="1:32" ht="45.75" x14ac:dyDescent="0.25">
      <c r="A48" s="19"/>
      <c r="B48" s="11" t="s">
        <v>525</v>
      </c>
      <c r="C48" s="12">
        <v>23534</v>
      </c>
      <c r="D48" s="12">
        <v>976</v>
      </c>
      <c r="E48" s="12">
        <v>875</v>
      </c>
      <c r="F48" s="12">
        <v>938</v>
      </c>
      <c r="G48" s="12">
        <v>950</v>
      </c>
      <c r="H48" s="12">
        <v>1099</v>
      </c>
      <c r="I48" s="12">
        <v>1371</v>
      </c>
      <c r="J48" s="12">
        <v>272</v>
      </c>
      <c r="K48" s="12">
        <v>896</v>
      </c>
      <c r="L48" s="12">
        <v>929</v>
      </c>
      <c r="M48" s="12">
        <v>802</v>
      </c>
      <c r="N48" s="12">
        <v>940</v>
      </c>
      <c r="O48" s="12">
        <v>855</v>
      </c>
      <c r="P48" s="12">
        <v>870</v>
      </c>
      <c r="Q48" s="12">
        <v>958</v>
      </c>
      <c r="R48" s="12">
        <v>438</v>
      </c>
      <c r="S48" s="12">
        <v>897</v>
      </c>
      <c r="T48" s="12">
        <v>863</v>
      </c>
      <c r="U48" s="12">
        <v>472</v>
      </c>
      <c r="V48" s="12">
        <v>882</v>
      </c>
      <c r="W48" s="12">
        <v>454</v>
      </c>
      <c r="X48" s="12">
        <v>1001</v>
      </c>
      <c r="Y48" s="12">
        <v>890</v>
      </c>
      <c r="Z48" s="12">
        <v>828</v>
      </c>
      <c r="AA48" s="12">
        <v>837</v>
      </c>
      <c r="AB48" s="12">
        <v>886</v>
      </c>
      <c r="AC48" s="12">
        <v>810</v>
      </c>
      <c r="AD48" s="12">
        <v>883</v>
      </c>
      <c r="AE48" s="12">
        <v>929</v>
      </c>
      <c r="AF48" s="12">
        <v>995</v>
      </c>
    </row>
    <row r="49" spans="1:32" ht="34.5" x14ac:dyDescent="0.25">
      <c r="A49" s="19"/>
      <c r="B49" s="13" t="s">
        <v>526</v>
      </c>
      <c r="C49" s="14">
        <v>0.89</v>
      </c>
      <c r="D49" s="14">
        <v>0.96</v>
      </c>
      <c r="E49" s="14">
        <v>0.84</v>
      </c>
      <c r="F49" s="14">
        <v>0.88</v>
      </c>
      <c r="G49" s="14">
        <v>0.94000000000000006</v>
      </c>
      <c r="H49" s="14">
        <v>0.89</v>
      </c>
      <c r="I49" s="14">
        <v>0.9</v>
      </c>
      <c r="J49" s="14">
        <v>0.92</v>
      </c>
      <c r="K49" s="14">
        <v>0.89</v>
      </c>
      <c r="L49" s="14">
        <v>0.92</v>
      </c>
      <c r="M49" s="14">
        <v>0.8</v>
      </c>
      <c r="N49" s="14">
        <v>0.93</v>
      </c>
      <c r="O49" s="14">
        <v>0.85</v>
      </c>
      <c r="P49" s="14">
        <v>0.87</v>
      </c>
      <c r="Q49" s="14">
        <v>0.93</v>
      </c>
      <c r="R49" s="14">
        <v>0.87</v>
      </c>
      <c r="S49" s="14">
        <v>0.89</v>
      </c>
      <c r="T49" s="14">
        <v>0.84</v>
      </c>
      <c r="U49" s="14">
        <v>0.93</v>
      </c>
      <c r="V49" s="14">
        <v>0.86</v>
      </c>
      <c r="W49" s="14">
        <v>0.9</v>
      </c>
      <c r="X49" s="14">
        <v>0.99</v>
      </c>
      <c r="Y49" s="14">
        <v>0.89</v>
      </c>
      <c r="Z49" s="14">
        <v>0.81</v>
      </c>
      <c r="AA49" s="14">
        <v>0.81</v>
      </c>
      <c r="AB49" s="14">
        <v>0.85</v>
      </c>
      <c r="AC49" s="14">
        <v>0.81</v>
      </c>
      <c r="AD49" s="14">
        <v>0.88</v>
      </c>
      <c r="AE49" s="14">
        <v>0.93</v>
      </c>
      <c r="AF49" s="14">
        <v>0.97</v>
      </c>
    </row>
    <row r="50" spans="1:32" x14ac:dyDescent="0.25">
      <c r="A50" s="19"/>
      <c r="B50" s="11" t="s">
        <v>527</v>
      </c>
      <c r="C50" s="12">
        <v>2826</v>
      </c>
      <c r="D50" s="12">
        <v>44</v>
      </c>
      <c r="E50" s="12">
        <v>167</v>
      </c>
      <c r="F50" s="12">
        <v>123</v>
      </c>
      <c r="G50" s="12">
        <v>65</v>
      </c>
      <c r="H50" s="12">
        <v>131</v>
      </c>
      <c r="I50" s="12">
        <v>155</v>
      </c>
      <c r="J50" s="12">
        <v>24</v>
      </c>
      <c r="K50" s="12">
        <v>105</v>
      </c>
      <c r="L50" s="12">
        <v>74</v>
      </c>
      <c r="M50" s="12">
        <v>203</v>
      </c>
      <c r="N50" s="12">
        <v>69</v>
      </c>
      <c r="O50" s="12">
        <v>143</v>
      </c>
      <c r="P50" s="12">
        <v>133</v>
      </c>
      <c r="Q50" s="12">
        <v>73</v>
      </c>
      <c r="R50" s="12">
        <v>59</v>
      </c>
      <c r="S50" s="12">
        <v>105</v>
      </c>
      <c r="T50" s="12">
        <v>153</v>
      </c>
      <c r="U50" s="12">
        <v>35</v>
      </c>
      <c r="V50" s="12">
        <v>142</v>
      </c>
      <c r="W50" s="12">
        <v>48</v>
      </c>
      <c r="X50" s="12">
        <v>8</v>
      </c>
      <c r="Y50" s="12">
        <v>113</v>
      </c>
      <c r="Z50" s="12">
        <v>169</v>
      </c>
      <c r="AA50" s="12">
        <v>193</v>
      </c>
      <c r="AB50" s="12">
        <v>155</v>
      </c>
      <c r="AC50" s="12">
        <v>194</v>
      </c>
      <c r="AD50" s="12">
        <v>117</v>
      </c>
      <c r="AE50" s="12">
        <v>70</v>
      </c>
      <c r="AF50" s="12">
        <v>34</v>
      </c>
    </row>
    <row r="51" spans="1:32" x14ac:dyDescent="0.25">
      <c r="A51" s="19"/>
      <c r="B51" s="13" t="s">
        <v>528</v>
      </c>
      <c r="C51" s="14">
        <v>0.11</v>
      </c>
      <c r="D51" s="14">
        <v>0.04</v>
      </c>
      <c r="E51" s="14">
        <v>0.16</v>
      </c>
      <c r="F51" s="14">
        <v>0.12</v>
      </c>
      <c r="G51" s="14">
        <v>0.06</v>
      </c>
      <c r="H51" s="14">
        <v>0.11</v>
      </c>
      <c r="I51" s="14">
        <v>0.1</v>
      </c>
      <c r="J51" s="14">
        <v>0.08</v>
      </c>
      <c r="K51" s="14">
        <v>0.1</v>
      </c>
      <c r="L51" s="14">
        <v>0.08</v>
      </c>
      <c r="M51" s="14">
        <v>0.2</v>
      </c>
      <c r="N51" s="14">
        <v>7.0000000000000007E-2</v>
      </c>
      <c r="O51" s="14">
        <v>0.14000000000000001</v>
      </c>
      <c r="P51" s="14">
        <v>0.13</v>
      </c>
      <c r="Q51" s="14">
        <v>7.0000000000000007E-2</v>
      </c>
      <c r="R51" s="14">
        <v>0.12</v>
      </c>
      <c r="S51" s="14">
        <v>0.11</v>
      </c>
      <c r="T51" s="14">
        <v>0.15</v>
      </c>
      <c r="U51" s="14">
        <v>7.0000000000000007E-2</v>
      </c>
      <c r="V51" s="14">
        <v>0.14000000000000001</v>
      </c>
      <c r="W51" s="14">
        <v>0.1</v>
      </c>
      <c r="X51" s="14">
        <v>0.01</v>
      </c>
      <c r="Y51" s="14">
        <v>0.11</v>
      </c>
      <c r="Z51" s="14">
        <v>0.17</v>
      </c>
      <c r="AA51" s="14">
        <v>0.18</v>
      </c>
      <c r="AB51" s="14">
        <v>0.15</v>
      </c>
      <c r="AC51" s="14">
        <v>0.19</v>
      </c>
      <c r="AD51" s="14">
        <v>0.12</v>
      </c>
      <c r="AE51" s="14">
        <v>7.0000000000000007E-2</v>
      </c>
      <c r="AF51" s="14">
        <v>0.03</v>
      </c>
    </row>
    <row r="52" spans="1:32" x14ac:dyDescent="0.25">
      <c r="A52" s="20"/>
    </row>
    <row r="53" spans="1:32" x14ac:dyDescent="0.25">
      <c r="A53" s="20"/>
    </row>
  </sheetData>
  <mergeCells count="10">
    <mergeCell ref="B4:F4"/>
    <mergeCell ref="A10:A47"/>
    <mergeCell ref="H3:L3"/>
    <mergeCell ref="C8:AF8"/>
    <mergeCell ref="A48:A53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4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95</v>
      </c>
      <c r="C3" s="18"/>
      <c r="D3" s="18"/>
      <c r="E3" s="18"/>
      <c r="F3" s="18"/>
      <c r="H3" s="18" t="s">
        <v>96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HYPERLINK("#Content!A49","&lt;&lt;Back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529</v>
      </c>
      <c r="C12" s="12">
        <v>12123</v>
      </c>
      <c r="D12" s="12">
        <v>486</v>
      </c>
      <c r="E12" s="12">
        <v>10</v>
      </c>
      <c r="F12" s="12">
        <v>223</v>
      </c>
      <c r="G12" s="12">
        <v>13</v>
      </c>
      <c r="H12" s="12">
        <v>406</v>
      </c>
      <c r="I12" s="12">
        <v>423</v>
      </c>
      <c r="J12" s="12">
        <v>17</v>
      </c>
      <c r="K12" s="12">
        <v>35</v>
      </c>
      <c r="L12" s="12">
        <v>727</v>
      </c>
      <c r="M12" s="12">
        <v>2</v>
      </c>
      <c r="N12" s="12">
        <v>616</v>
      </c>
      <c r="O12" s="12">
        <v>418</v>
      </c>
      <c r="P12" s="12">
        <v>840</v>
      </c>
      <c r="Q12" s="12">
        <v>782</v>
      </c>
      <c r="R12" s="12">
        <v>5</v>
      </c>
      <c r="S12" s="12">
        <v>216</v>
      </c>
      <c r="T12" s="12">
        <v>877</v>
      </c>
      <c r="U12" s="12">
        <v>294</v>
      </c>
      <c r="V12" s="12">
        <v>604</v>
      </c>
      <c r="W12" s="12">
        <v>423</v>
      </c>
      <c r="X12" s="12">
        <v>130</v>
      </c>
      <c r="Y12" s="12">
        <v>627</v>
      </c>
      <c r="Z12" s="12">
        <v>890</v>
      </c>
      <c r="AA12" s="12">
        <v>806</v>
      </c>
      <c r="AB12" s="12">
        <v>66</v>
      </c>
      <c r="AC12" s="12">
        <v>694</v>
      </c>
      <c r="AD12" s="12">
        <v>610</v>
      </c>
      <c r="AE12" s="12">
        <v>11</v>
      </c>
      <c r="AF12" s="12">
        <v>15</v>
      </c>
    </row>
    <row r="13" spans="1:32" x14ac:dyDescent="0.25">
      <c r="A13" s="19"/>
      <c r="B13" s="13" t="s">
        <v>530</v>
      </c>
      <c r="C13" s="14">
        <v>0.46</v>
      </c>
      <c r="D13" s="14">
        <v>0.48</v>
      </c>
      <c r="E13" s="14">
        <v>0.01</v>
      </c>
      <c r="F13" s="14">
        <v>0.21</v>
      </c>
      <c r="G13" s="14">
        <v>0.01</v>
      </c>
      <c r="H13" s="14">
        <v>0.33</v>
      </c>
      <c r="I13" s="14">
        <v>0.28000000000000003</v>
      </c>
      <c r="J13" s="14">
        <v>0.06</v>
      </c>
      <c r="K13" s="14">
        <v>0.03</v>
      </c>
      <c r="L13" s="14">
        <v>0.72</v>
      </c>
      <c r="M13" s="15" t="s">
        <v>213</v>
      </c>
      <c r="N13" s="14">
        <v>0.61</v>
      </c>
      <c r="O13" s="14">
        <v>0.42</v>
      </c>
      <c r="P13" s="14">
        <v>0.84</v>
      </c>
      <c r="Q13" s="14">
        <v>0.76</v>
      </c>
      <c r="R13" s="14">
        <v>0.01</v>
      </c>
      <c r="S13" s="14">
        <v>0.21</v>
      </c>
      <c r="T13" s="14">
        <v>0.86</v>
      </c>
      <c r="U13" s="14">
        <v>0.57999999999999996</v>
      </c>
      <c r="V13" s="14">
        <v>0.59</v>
      </c>
      <c r="W13" s="14">
        <v>0.84</v>
      </c>
      <c r="X13" s="14">
        <v>0.13</v>
      </c>
      <c r="Y13" s="14">
        <v>0.63</v>
      </c>
      <c r="Z13" s="14">
        <v>0.88</v>
      </c>
      <c r="AA13" s="14">
        <v>0.78</v>
      </c>
      <c r="AB13" s="14">
        <v>0.06</v>
      </c>
      <c r="AC13" s="14">
        <v>0.69000000000000006</v>
      </c>
      <c r="AD13" s="14">
        <v>0.61</v>
      </c>
      <c r="AE13" s="14">
        <v>0.01</v>
      </c>
      <c r="AF13" s="14">
        <v>0.01</v>
      </c>
    </row>
    <row r="14" spans="1:32" x14ac:dyDescent="0.25">
      <c r="A14" s="19"/>
      <c r="B14" s="11" t="s">
        <v>531</v>
      </c>
      <c r="C14" s="12">
        <v>2530</v>
      </c>
      <c r="D14" s="12">
        <v>16</v>
      </c>
      <c r="E14" s="12">
        <v>861</v>
      </c>
      <c r="F14" s="12">
        <v>1</v>
      </c>
      <c r="G14" s="12">
        <v>18</v>
      </c>
      <c r="H14" s="12">
        <v>27</v>
      </c>
      <c r="I14" s="12">
        <v>34</v>
      </c>
      <c r="J14" s="12">
        <v>6</v>
      </c>
      <c r="K14" s="12">
        <v>192</v>
      </c>
      <c r="L14" s="12">
        <v>18</v>
      </c>
      <c r="M14" s="12">
        <v>951</v>
      </c>
      <c r="N14" s="12">
        <v>58</v>
      </c>
      <c r="O14" s="12">
        <v>11</v>
      </c>
      <c r="P14" s="12">
        <v>49</v>
      </c>
      <c r="Q14" s="12">
        <v>53</v>
      </c>
      <c r="R14" s="12">
        <v>471</v>
      </c>
      <c r="S14" s="12">
        <v>184</v>
      </c>
      <c r="T14" s="12">
        <v>21</v>
      </c>
      <c r="U14" s="12">
        <v>14</v>
      </c>
      <c r="V14" s="12">
        <v>10</v>
      </c>
      <c r="W14" s="12">
        <v>5</v>
      </c>
      <c r="X14" s="12">
        <v>7</v>
      </c>
      <c r="Y14" s="12">
        <v>11</v>
      </c>
      <c r="Z14" s="12">
        <v>10</v>
      </c>
      <c r="AA14" s="12">
        <v>2</v>
      </c>
      <c r="AB14" s="12">
        <v>887</v>
      </c>
      <c r="AC14" s="12">
        <v>27</v>
      </c>
      <c r="AD14" s="12">
        <v>10</v>
      </c>
      <c r="AE14" s="12">
        <v>18</v>
      </c>
      <c r="AF14" s="12">
        <v>5</v>
      </c>
    </row>
    <row r="15" spans="1:32" x14ac:dyDescent="0.25">
      <c r="A15" s="19"/>
      <c r="B15" s="13" t="s">
        <v>532</v>
      </c>
      <c r="C15" s="14">
        <v>0.1</v>
      </c>
      <c r="D15" s="14">
        <v>0.02</v>
      </c>
      <c r="E15" s="14">
        <v>0.82000000000000006</v>
      </c>
      <c r="F15" s="15" t="s">
        <v>213</v>
      </c>
      <c r="G15" s="14">
        <v>0.02</v>
      </c>
      <c r="H15" s="14">
        <v>0.02</v>
      </c>
      <c r="I15" s="14">
        <v>0.02</v>
      </c>
      <c r="J15" s="14">
        <v>0.02</v>
      </c>
      <c r="K15" s="14">
        <v>0.19</v>
      </c>
      <c r="L15" s="14">
        <v>0.02</v>
      </c>
      <c r="M15" s="14">
        <v>0.95000000000000007</v>
      </c>
      <c r="N15" s="14">
        <v>0.06</v>
      </c>
      <c r="O15" s="14">
        <v>0.01</v>
      </c>
      <c r="P15" s="14">
        <v>0.05</v>
      </c>
      <c r="Q15" s="14">
        <v>0.05</v>
      </c>
      <c r="R15" s="14">
        <v>0.94000000000000006</v>
      </c>
      <c r="S15" s="14">
        <v>0.18</v>
      </c>
      <c r="T15" s="14">
        <v>0.02</v>
      </c>
      <c r="U15" s="14">
        <v>0.03</v>
      </c>
      <c r="V15" s="14">
        <v>0.01</v>
      </c>
      <c r="W15" s="14">
        <v>0.01</v>
      </c>
      <c r="X15" s="14">
        <v>0.01</v>
      </c>
      <c r="Y15" s="14">
        <v>0.01</v>
      </c>
      <c r="Z15" s="14">
        <v>0.01</v>
      </c>
      <c r="AA15" s="15" t="s">
        <v>213</v>
      </c>
      <c r="AB15" s="14">
        <v>0.85</v>
      </c>
      <c r="AC15" s="14">
        <v>0.03</v>
      </c>
      <c r="AD15" s="14">
        <v>0.01</v>
      </c>
      <c r="AE15" s="14">
        <v>0.02</v>
      </c>
      <c r="AF15" s="14">
        <v>0.01</v>
      </c>
    </row>
    <row r="16" spans="1:32" x14ac:dyDescent="0.25">
      <c r="A16" s="19"/>
      <c r="B16" s="11" t="s">
        <v>533</v>
      </c>
      <c r="C16" s="12">
        <v>1947</v>
      </c>
      <c r="D16" s="12">
        <v>27</v>
      </c>
      <c r="E16" s="12">
        <v>5</v>
      </c>
      <c r="F16" s="12">
        <v>17</v>
      </c>
      <c r="G16" s="12">
        <v>533</v>
      </c>
      <c r="H16" s="12">
        <v>252</v>
      </c>
      <c r="I16" s="12">
        <v>286</v>
      </c>
      <c r="J16" s="12">
        <v>34</v>
      </c>
      <c r="K16" s="12">
        <v>54</v>
      </c>
      <c r="L16" s="12">
        <v>16</v>
      </c>
      <c r="M16" s="12">
        <v>0</v>
      </c>
      <c r="N16" s="12">
        <v>5</v>
      </c>
      <c r="O16" s="12">
        <v>17</v>
      </c>
      <c r="P16" s="12">
        <v>0</v>
      </c>
      <c r="Q16" s="12">
        <v>4</v>
      </c>
      <c r="R16" s="12">
        <v>1</v>
      </c>
      <c r="S16" s="12">
        <v>149</v>
      </c>
      <c r="T16" s="12">
        <v>3</v>
      </c>
      <c r="U16" s="12">
        <v>18</v>
      </c>
      <c r="V16" s="12">
        <v>78</v>
      </c>
      <c r="W16" s="12">
        <v>2</v>
      </c>
      <c r="X16" s="12">
        <v>144</v>
      </c>
      <c r="Y16" s="12">
        <v>48</v>
      </c>
      <c r="Z16" s="12">
        <v>4</v>
      </c>
      <c r="AA16" s="12">
        <v>18</v>
      </c>
      <c r="AB16" s="12">
        <v>40</v>
      </c>
      <c r="AC16" s="12">
        <v>2</v>
      </c>
      <c r="AD16" s="12">
        <v>112</v>
      </c>
      <c r="AE16" s="12">
        <v>571</v>
      </c>
      <c r="AF16" s="12">
        <v>311</v>
      </c>
    </row>
    <row r="17" spans="1:32" x14ac:dyDescent="0.25">
      <c r="A17" s="19"/>
      <c r="B17" s="13" t="s">
        <v>533</v>
      </c>
      <c r="C17" s="14">
        <v>7.0000000000000007E-2</v>
      </c>
      <c r="D17" s="14">
        <v>0.03</v>
      </c>
      <c r="E17" s="14">
        <v>0.01</v>
      </c>
      <c r="F17" s="14">
        <v>0.02</v>
      </c>
      <c r="G17" s="14">
        <v>0.52</v>
      </c>
      <c r="H17" s="14">
        <v>0.21</v>
      </c>
      <c r="I17" s="14">
        <v>0.19</v>
      </c>
      <c r="J17" s="14">
        <v>0.12</v>
      </c>
      <c r="K17" s="14">
        <v>0.05</v>
      </c>
      <c r="L17" s="14">
        <v>0.02</v>
      </c>
      <c r="M17" s="15" t="s">
        <v>213</v>
      </c>
      <c r="N17" s="14">
        <v>0.01</v>
      </c>
      <c r="O17" s="14">
        <v>0.02</v>
      </c>
      <c r="P17" s="15" t="s">
        <v>213</v>
      </c>
      <c r="Q17" s="14">
        <v>0.01</v>
      </c>
      <c r="R17" s="15" t="s">
        <v>213</v>
      </c>
      <c r="S17" s="14">
        <v>0.15</v>
      </c>
      <c r="T17" s="15" t="s">
        <v>213</v>
      </c>
      <c r="U17" s="14">
        <v>0.04</v>
      </c>
      <c r="V17" s="14">
        <v>0.08</v>
      </c>
      <c r="W17" s="15" t="s">
        <v>213</v>
      </c>
      <c r="X17" s="14">
        <v>0.14000000000000001</v>
      </c>
      <c r="Y17" s="14">
        <v>0.05</v>
      </c>
      <c r="Z17" s="15" t="s">
        <v>213</v>
      </c>
      <c r="AA17" s="14">
        <v>0.02</v>
      </c>
      <c r="AB17" s="14">
        <v>0.04</v>
      </c>
      <c r="AC17" s="15" t="s">
        <v>213</v>
      </c>
      <c r="AD17" s="14">
        <v>0.11</v>
      </c>
      <c r="AE17" s="14">
        <v>0.57000000000000006</v>
      </c>
      <c r="AF17" s="14">
        <v>0.3</v>
      </c>
    </row>
    <row r="18" spans="1:32" x14ac:dyDescent="0.25">
      <c r="A18" s="19"/>
      <c r="B18" s="11" t="s">
        <v>534</v>
      </c>
      <c r="C18" s="12">
        <v>702</v>
      </c>
      <c r="D18" s="12">
        <v>21</v>
      </c>
      <c r="E18" s="12">
        <v>21</v>
      </c>
      <c r="F18" s="12">
        <v>20</v>
      </c>
      <c r="G18" s="12">
        <v>69</v>
      </c>
      <c r="H18" s="12">
        <v>52</v>
      </c>
      <c r="I18" s="12">
        <v>71</v>
      </c>
      <c r="J18" s="12">
        <v>19</v>
      </c>
      <c r="K18" s="12">
        <v>106</v>
      </c>
      <c r="L18" s="12">
        <v>32</v>
      </c>
      <c r="M18" s="12">
        <v>2</v>
      </c>
      <c r="N18" s="12">
        <v>18</v>
      </c>
      <c r="O18" s="12">
        <v>16</v>
      </c>
      <c r="P18" s="12">
        <v>5</v>
      </c>
      <c r="Q18" s="12">
        <v>12</v>
      </c>
      <c r="R18" s="12">
        <v>2</v>
      </c>
      <c r="S18" s="12">
        <v>62</v>
      </c>
      <c r="T18" s="12">
        <v>4</v>
      </c>
      <c r="U18" s="12">
        <v>10</v>
      </c>
      <c r="V18" s="12">
        <v>73</v>
      </c>
      <c r="W18" s="12">
        <v>6</v>
      </c>
      <c r="X18" s="12">
        <v>49</v>
      </c>
      <c r="Y18" s="12">
        <v>23</v>
      </c>
      <c r="Z18" s="12">
        <v>10</v>
      </c>
      <c r="AA18" s="12">
        <v>11</v>
      </c>
      <c r="AB18" s="12">
        <v>29</v>
      </c>
      <c r="AC18" s="12">
        <v>10</v>
      </c>
      <c r="AD18" s="12">
        <v>21</v>
      </c>
      <c r="AE18" s="12">
        <v>67</v>
      </c>
      <c r="AF18" s="12">
        <v>62</v>
      </c>
    </row>
    <row r="19" spans="1:32" x14ac:dyDescent="0.25">
      <c r="A19" s="19"/>
      <c r="B19" s="13" t="s">
        <v>535</v>
      </c>
      <c r="C19" s="14">
        <v>0.03</v>
      </c>
      <c r="D19" s="14">
        <v>0.02</v>
      </c>
      <c r="E19" s="14">
        <v>0.02</v>
      </c>
      <c r="F19" s="14">
        <v>0.02</v>
      </c>
      <c r="G19" s="14">
        <v>7.0000000000000007E-2</v>
      </c>
      <c r="H19" s="14">
        <v>0.04</v>
      </c>
      <c r="I19" s="14">
        <v>0.05</v>
      </c>
      <c r="J19" s="14">
        <v>0.06</v>
      </c>
      <c r="K19" s="14">
        <v>0.11</v>
      </c>
      <c r="L19" s="14">
        <v>0.03</v>
      </c>
      <c r="M19" s="15" t="s">
        <v>213</v>
      </c>
      <c r="N19" s="14">
        <v>0.02</v>
      </c>
      <c r="O19" s="14">
        <v>0.02</v>
      </c>
      <c r="P19" s="15" t="s">
        <v>213</v>
      </c>
      <c r="Q19" s="14">
        <v>0.01</v>
      </c>
      <c r="R19" s="14">
        <v>0.01</v>
      </c>
      <c r="S19" s="14">
        <v>0.06</v>
      </c>
      <c r="T19" s="14">
        <v>0.01</v>
      </c>
      <c r="U19" s="14">
        <v>0.02</v>
      </c>
      <c r="V19" s="14">
        <v>7.0000000000000007E-2</v>
      </c>
      <c r="W19" s="14">
        <v>0.01</v>
      </c>
      <c r="X19" s="14">
        <v>0.05</v>
      </c>
      <c r="Y19" s="14">
        <v>0.02</v>
      </c>
      <c r="Z19" s="14">
        <v>0.01</v>
      </c>
      <c r="AA19" s="14">
        <v>0.01</v>
      </c>
      <c r="AB19" s="14">
        <v>0.03</v>
      </c>
      <c r="AC19" s="14">
        <v>0.01</v>
      </c>
      <c r="AD19" s="14">
        <v>0.02</v>
      </c>
      <c r="AE19" s="14">
        <v>7.0000000000000007E-2</v>
      </c>
      <c r="AF19" s="14">
        <v>0.06</v>
      </c>
    </row>
    <row r="20" spans="1:32" x14ac:dyDescent="0.25">
      <c r="A20" s="19"/>
      <c r="B20" s="11" t="s">
        <v>536</v>
      </c>
      <c r="C20" s="12">
        <v>55</v>
      </c>
      <c r="D20" s="12">
        <v>2</v>
      </c>
      <c r="E20" s="12">
        <v>2</v>
      </c>
      <c r="F20" s="12">
        <v>7</v>
      </c>
      <c r="G20" s="12">
        <v>1</v>
      </c>
      <c r="H20" s="12">
        <v>0</v>
      </c>
      <c r="I20" s="12">
        <v>0</v>
      </c>
      <c r="J20" s="12">
        <v>0</v>
      </c>
      <c r="K20" s="12">
        <v>7</v>
      </c>
      <c r="L20" s="12">
        <v>1</v>
      </c>
      <c r="M20" s="12">
        <v>0</v>
      </c>
      <c r="N20" s="12">
        <v>0</v>
      </c>
      <c r="O20" s="12">
        <v>4</v>
      </c>
      <c r="P20" s="12">
        <v>2</v>
      </c>
      <c r="Q20" s="12">
        <v>4</v>
      </c>
      <c r="R20" s="12">
        <v>0</v>
      </c>
      <c r="S20" s="12">
        <v>1</v>
      </c>
      <c r="T20" s="12">
        <v>0</v>
      </c>
      <c r="U20" s="12">
        <v>1</v>
      </c>
      <c r="V20" s="12">
        <v>5</v>
      </c>
      <c r="W20" s="12">
        <v>2</v>
      </c>
      <c r="X20" s="12">
        <v>10</v>
      </c>
      <c r="Y20" s="12">
        <v>1</v>
      </c>
      <c r="Z20" s="12">
        <v>0</v>
      </c>
      <c r="AA20" s="12">
        <v>0</v>
      </c>
      <c r="AB20" s="12">
        <v>1</v>
      </c>
      <c r="AC20" s="12">
        <v>2</v>
      </c>
      <c r="AD20" s="12">
        <v>2</v>
      </c>
      <c r="AE20" s="12">
        <v>2</v>
      </c>
      <c r="AF20" s="12">
        <v>1</v>
      </c>
    </row>
    <row r="21" spans="1:32" x14ac:dyDescent="0.25">
      <c r="A21" s="19"/>
      <c r="B21" s="13" t="s">
        <v>537</v>
      </c>
      <c r="C21" s="15" t="s">
        <v>213</v>
      </c>
      <c r="D21" s="15" t="s">
        <v>213</v>
      </c>
      <c r="E21" s="15" t="s">
        <v>213</v>
      </c>
      <c r="F21" s="14">
        <v>0.01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4">
        <v>0.01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5" t="s">
        <v>213</v>
      </c>
      <c r="T21" s="15" t="s">
        <v>213</v>
      </c>
      <c r="U21" s="15" t="s">
        <v>213</v>
      </c>
      <c r="V21" s="14">
        <v>0.01</v>
      </c>
      <c r="W21" s="15" t="s">
        <v>213</v>
      </c>
      <c r="X21" s="14">
        <v>0.01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  <row r="22" spans="1:32" x14ac:dyDescent="0.25">
      <c r="A22" s="19"/>
      <c r="B22" s="11" t="s">
        <v>538</v>
      </c>
      <c r="C22" s="12">
        <v>83</v>
      </c>
      <c r="D22" s="12">
        <v>9</v>
      </c>
      <c r="E22" s="12">
        <v>17</v>
      </c>
      <c r="F22" s="12">
        <v>0</v>
      </c>
      <c r="G22" s="12">
        <v>0</v>
      </c>
      <c r="H22" s="12">
        <v>3</v>
      </c>
      <c r="I22" s="12">
        <v>4</v>
      </c>
      <c r="J22" s="12">
        <v>1</v>
      </c>
      <c r="K22" s="12">
        <v>1</v>
      </c>
      <c r="L22" s="12">
        <v>2</v>
      </c>
      <c r="M22" s="12">
        <v>1</v>
      </c>
      <c r="N22" s="12">
        <v>3</v>
      </c>
      <c r="O22" s="12">
        <v>8</v>
      </c>
      <c r="P22" s="12">
        <v>7</v>
      </c>
      <c r="Q22" s="12">
        <v>2</v>
      </c>
      <c r="R22" s="12">
        <v>0</v>
      </c>
      <c r="S22" s="12">
        <v>0</v>
      </c>
      <c r="T22" s="12">
        <v>2</v>
      </c>
      <c r="U22" s="12">
        <v>0</v>
      </c>
      <c r="V22" s="12">
        <v>1</v>
      </c>
      <c r="W22" s="12">
        <v>2</v>
      </c>
      <c r="X22" s="12">
        <v>4</v>
      </c>
      <c r="Y22" s="12">
        <v>3</v>
      </c>
      <c r="Z22" s="12">
        <v>0</v>
      </c>
      <c r="AA22" s="12">
        <v>0</v>
      </c>
      <c r="AB22" s="12">
        <v>1</v>
      </c>
      <c r="AC22" s="12">
        <v>7</v>
      </c>
      <c r="AD22" s="12">
        <v>0</v>
      </c>
      <c r="AE22" s="12">
        <v>0</v>
      </c>
      <c r="AF22" s="12">
        <v>1</v>
      </c>
    </row>
    <row r="23" spans="1:32" x14ac:dyDescent="0.25">
      <c r="A23" s="19"/>
      <c r="B23" s="13" t="s">
        <v>539</v>
      </c>
      <c r="C23" s="15" t="s">
        <v>213</v>
      </c>
      <c r="D23" s="14">
        <v>0.01</v>
      </c>
      <c r="E23" s="14">
        <v>0.02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4">
        <v>0.01</v>
      </c>
      <c r="P23" s="14">
        <v>0.01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4">
        <v>0.01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4">
        <v>0.01</v>
      </c>
      <c r="AD23" s="15" t="s">
        <v>213</v>
      </c>
      <c r="AE23" s="15" t="s">
        <v>213</v>
      </c>
      <c r="AF23" s="15" t="s">
        <v>213</v>
      </c>
    </row>
    <row r="24" spans="1:32" x14ac:dyDescent="0.25">
      <c r="A24" s="19"/>
      <c r="B24" s="11" t="s">
        <v>540</v>
      </c>
      <c r="C24" s="12">
        <v>385</v>
      </c>
      <c r="D24" s="12">
        <v>36</v>
      </c>
      <c r="E24" s="12">
        <v>46</v>
      </c>
      <c r="F24" s="12">
        <v>2</v>
      </c>
      <c r="G24" s="12">
        <v>14</v>
      </c>
      <c r="H24" s="12">
        <v>26</v>
      </c>
      <c r="I24" s="12">
        <v>29</v>
      </c>
      <c r="J24" s="12">
        <v>3</v>
      </c>
      <c r="K24" s="12">
        <v>0</v>
      </c>
      <c r="L24" s="12">
        <v>8</v>
      </c>
      <c r="M24" s="12">
        <v>3</v>
      </c>
      <c r="N24" s="12">
        <v>3</v>
      </c>
      <c r="O24" s="12">
        <v>50</v>
      </c>
      <c r="P24" s="12">
        <v>7</v>
      </c>
      <c r="Q24" s="12">
        <v>1</v>
      </c>
      <c r="R24" s="12">
        <v>1</v>
      </c>
      <c r="S24" s="12">
        <v>0</v>
      </c>
      <c r="T24" s="12">
        <v>0</v>
      </c>
      <c r="U24" s="12">
        <v>19</v>
      </c>
      <c r="V24" s="12">
        <v>4</v>
      </c>
      <c r="W24" s="12">
        <v>1</v>
      </c>
      <c r="X24" s="12">
        <v>14</v>
      </c>
      <c r="Y24" s="12">
        <v>10</v>
      </c>
      <c r="Z24" s="12">
        <v>1</v>
      </c>
      <c r="AA24" s="12">
        <v>0</v>
      </c>
      <c r="AB24" s="12">
        <v>1</v>
      </c>
      <c r="AC24" s="12">
        <v>5</v>
      </c>
      <c r="AD24" s="12">
        <v>0</v>
      </c>
      <c r="AE24" s="12">
        <v>1</v>
      </c>
      <c r="AF24" s="12">
        <v>6</v>
      </c>
    </row>
    <row r="25" spans="1:32" x14ac:dyDescent="0.25">
      <c r="A25" s="19"/>
      <c r="B25" s="13" t="s">
        <v>541</v>
      </c>
      <c r="C25" s="14">
        <v>0.02</v>
      </c>
      <c r="D25" s="14">
        <v>0.04</v>
      </c>
      <c r="E25" s="14">
        <v>0.04</v>
      </c>
      <c r="F25" s="15" t="s">
        <v>213</v>
      </c>
      <c r="G25" s="14">
        <v>0.01</v>
      </c>
      <c r="H25" s="14">
        <v>0.02</v>
      </c>
      <c r="I25" s="14">
        <v>0.02</v>
      </c>
      <c r="J25" s="14">
        <v>0.01</v>
      </c>
      <c r="K25" s="15" t="s">
        <v>213</v>
      </c>
      <c r="L25" s="14">
        <v>0.01</v>
      </c>
      <c r="M25" s="15" t="s">
        <v>213</v>
      </c>
      <c r="N25" s="15" t="s">
        <v>213</v>
      </c>
      <c r="O25" s="14">
        <v>0.05</v>
      </c>
      <c r="P25" s="14">
        <v>0.01</v>
      </c>
      <c r="Q25" s="15" t="s">
        <v>213</v>
      </c>
      <c r="R25" s="15" t="s">
        <v>213</v>
      </c>
      <c r="S25" s="15" t="s">
        <v>213</v>
      </c>
      <c r="T25" s="15" t="s">
        <v>213</v>
      </c>
      <c r="U25" s="14">
        <v>0.04</v>
      </c>
      <c r="V25" s="14">
        <v>0.01</v>
      </c>
      <c r="W25" s="15" t="s">
        <v>213</v>
      </c>
      <c r="X25" s="14">
        <v>0.01</v>
      </c>
      <c r="Y25" s="14">
        <v>0.01</v>
      </c>
      <c r="Z25" s="15" t="s">
        <v>213</v>
      </c>
      <c r="AA25" s="15" t="s">
        <v>213</v>
      </c>
      <c r="AB25" s="15" t="s">
        <v>213</v>
      </c>
      <c r="AC25" s="14">
        <v>0.01</v>
      </c>
      <c r="AD25" s="15" t="s">
        <v>213</v>
      </c>
      <c r="AE25" s="15" t="s">
        <v>213</v>
      </c>
      <c r="AF25" s="14">
        <v>0.01</v>
      </c>
    </row>
    <row r="26" spans="1:32" x14ac:dyDescent="0.25">
      <c r="A26" s="19"/>
      <c r="B26" s="11" t="s">
        <v>542</v>
      </c>
      <c r="C26" s="12">
        <v>182</v>
      </c>
      <c r="D26" s="12">
        <v>22</v>
      </c>
      <c r="E26" s="12">
        <v>21</v>
      </c>
      <c r="F26" s="12">
        <v>0</v>
      </c>
      <c r="G26" s="12">
        <v>0</v>
      </c>
      <c r="H26" s="12">
        <v>6</v>
      </c>
      <c r="I26" s="12">
        <v>7</v>
      </c>
      <c r="J26" s="12">
        <v>1</v>
      </c>
      <c r="K26" s="12">
        <v>8</v>
      </c>
      <c r="L26" s="12">
        <v>6</v>
      </c>
      <c r="M26" s="12">
        <v>2</v>
      </c>
      <c r="N26" s="12">
        <v>4</v>
      </c>
      <c r="O26" s="12">
        <v>26</v>
      </c>
      <c r="P26" s="12">
        <v>4</v>
      </c>
      <c r="Q26" s="12">
        <v>1</v>
      </c>
      <c r="R26" s="12">
        <v>1</v>
      </c>
      <c r="S26" s="12">
        <v>1</v>
      </c>
      <c r="T26" s="12">
        <v>0</v>
      </c>
      <c r="U26" s="12">
        <v>12</v>
      </c>
      <c r="V26" s="12">
        <v>1</v>
      </c>
      <c r="W26" s="12">
        <v>2</v>
      </c>
      <c r="X26" s="12">
        <v>5</v>
      </c>
      <c r="Y26" s="12">
        <v>1</v>
      </c>
      <c r="Z26" s="12">
        <v>0</v>
      </c>
      <c r="AA26" s="12">
        <v>0</v>
      </c>
      <c r="AB26" s="12">
        <v>1</v>
      </c>
      <c r="AC26" s="12">
        <v>24</v>
      </c>
      <c r="AD26" s="12">
        <v>5</v>
      </c>
      <c r="AE26" s="12">
        <v>1</v>
      </c>
      <c r="AF26" s="12">
        <v>2</v>
      </c>
    </row>
    <row r="27" spans="1:32" x14ac:dyDescent="0.25">
      <c r="A27" s="19"/>
      <c r="B27" s="13" t="s">
        <v>543</v>
      </c>
      <c r="C27" s="14">
        <v>0.01</v>
      </c>
      <c r="D27" s="14">
        <v>0.02</v>
      </c>
      <c r="E27" s="14">
        <v>0.02</v>
      </c>
      <c r="F27" s="15" t="s">
        <v>213</v>
      </c>
      <c r="G27" s="15" t="s">
        <v>213</v>
      </c>
      <c r="H27" s="14">
        <v>0.01</v>
      </c>
      <c r="I27" s="14">
        <v>0.01</v>
      </c>
      <c r="J27" s="15" t="s">
        <v>213</v>
      </c>
      <c r="K27" s="14">
        <v>0.01</v>
      </c>
      <c r="L27" s="14">
        <v>0.01</v>
      </c>
      <c r="M27" s="15" t="s">
        <v>213</v>
      </c>
      <c r="N27" s="15" t="s">
        <v>213</v>
      </c>
      <c r="O27" s="14">
        <v>0.02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4">
        <v>0.02</v>
      </c>
      <c r="V27" s="15" t="s">
        <v>213</v>
      </c>
      <c r="W27" s="14">
        <v>0.01</v>
      </c>
      <c r="X27" s="14">
        <v>0.01</v>
      </c>
      <c r="Y27" s="15" t="s">
        <v>213</v>
      </c>
      <c r="Z27" s="15" t="s">
        <v>213</v>
      </c>
      <c r="AA27" s="15" t="s">
        <v>213</v>
      </c>
      <c r="AB27" s="15" t="s">
        <v>213</v>
      </c>
      <c r="AC27" s="14">
        <v>0.02</v>
      </c>
      <c r="AD27" s="14">
        <v>0.01</v>
      </c>
      <c r="AE27" s="15" t="s">
        <v>213</v>
      </c>
      <c r="AF27" s="15" t="s">
        <v>213</v>
      </c>
    </row>
    <row r="28" spans="1:32" x14ac:dyDescent="0.25">
      <c r="A28" s="19"/>
      <c r="B28" s="11" t="s">
        <v>544</v>
      </c>
      <c r="C28" s="12">
        <v>8</v>
      </c>
      <c r="D28" s="12">
        <v>1</v>
      </c>
      <c r="E28" s="12">
        <v>0</v>
      </c>
      <c r="F28" s="12">
        <v>1</v>
      </c>
      <c r="G28" s="12">
        <v>0</v>
      </c>
      <c r="H28" s="12">
        <v>1</v>
      </c>
      <c r="I28" s="12">
        <v>1</v>
      </c>
      <c r="J28" s="12">
        <v>0</v>
      </c>
      <c r="K28" s="12">
        <v>1</v>
      </c>
      <c r="L28" s="12">
        <v>0</v>
      </c>
      <c r="M28" s="12">
        <v>0</v>
      </c>
      <c r="N28" s="12">
        <v>0</v>
      </c>
      <c r="O28" s="12">
        <v>0</v>
      </c>
      <c r="P28" s="12">
        <v>2</v>
      </c>
      <c r="Q28" s="12">
        <v>0</v>
      </c>
      <c r="R28" s="12">
        <v>0</v>
      </c>
      <c r="S28" s="12">
        <v>0</v>
      </c>
      <c r="T28" s="12">
        <v>0</v>
      </c>
      <c r="U28" s="12">
        <v>1</v>
      </c>
      <c r="V28" s="12">
        <v>1</v>
      </c>
      <c r="W28" s="12">
        <v>0</v>
      </c>
      <c r="X28" s="12">
        <v>0</v>
      </c>
      <c r="Y28" s="12">
        <v>0</v>
      </c>
      <c r="Z28" s="12">
        <v>1</v>
      </c>
      <c r="AA28" s="12">
        <v>0</v>
      </c>
      <c r="AB28" s="12">
        <v>0</v>
      </c>
      <c r="AC28" s="12">
        <v>0</v>
      </c>
      <c r="AD28" s="12">
        <v>2</v>
      </c>
      <c r="AE28" s="12">
        <v>0</v>
      </c>
      <c r="AF28" s="12">
        <v>0</v>
      </c>
    </row>
    <row r="29" spans="1:32" x14ac:dyDescent="0.25">
      <c r="A29" s="19"/>
      <c r="B29" s="13" t="s">
        <v>544</v>
      </c>
      <c r="C29" s="15" t="s">
        <v>213</v>
      </c>
      <c r="D29" s="15" t="s">
        <v>213</v>
      </c>
      <c r="E29" s="15" t="s">
        <v>213</v>
      </c>
      <c r="F29" s="15" t="s">
        <v>213</v>
      </c>
      <c r="G29" s="15" t="s">
        <v>213</v>
      </c>
      <c r="H29" s="15" t="s">
        <v>213</v>
      </c>
      <c r="I29" s="15" t="s">
        <v>213</v>
      </c>
      <c r="J29" s="15" t="s">
        <v>213</v>
      </c>
      <c r="K29" s="15" t="s">
        <v>213</v>
      </c>
      <c r="L29" s="15" t="s">
        <v>213</v>
      </c>
      <c r="M29" s="15" t="s">
        <v>213</v>
      </c>
      <c r="N29" s="15" t="s">
        <v>213</v>
      </c>
      <c r="O29" s="15" t="s">
        <v>213</v>
      </c>
      <c r="P29" s="15" t="s">
        <v>213</v>
      </c>
      <c r="Q29" s="15" t="s">
        <v>213</v>
      </c>
      <c r="R29" s="15" t="s">
        <v>213</v>
      </c>
      <c r="S29" s="15" t="s">
        <v>213</v>
      </c>
      <c r="T29" s="15" t="s">
        <v>213</v>
      </c>
      <c r="U29" s="15" t="s">
        <v>213</v>
      </c>
      <c r="V29" s="15" t="s">
        <v>213</v>
      </c>
      <c r="W29" s="15" t="s">
        <v>213</v>
      </c>
      <c r="X29" s="15" t="s">
        <v>213</v>
      </c>
      <c r="Y29" s="15" t="s">
        <v>213</v>
      </c>
      <c r="Z29" s="15" t="s">
        <v>213</v>
      </c>
      <c r="AA29" s="15" t="s">
        <v>213</v>
      </c>
      <c r="AB29" s="15" t="s">
        <v>213</v>
      </c>
      <c r="AC29" s="15" t="s">
        <v>213</v>
      </c>
      <c r="AD29" s="15" t="s">
        <v>213</v>
      </c>
      <c r="AE29" s="15" t="s">
        <v>213</v>
      </c>
      <c r="AF29" s="15" t="s">
        <v>213</v>
      </c>
    </row>
    <row r="30" spans="1:32" x14ac:dyDescent="0.25">
      <c r="A30" s="19"/>
      <c r="B30" s="11" t="s">
        <v>545</v>
      </c>
      <c r="C30" s="12">
        <v>104</v>
      </c>
      <c r="D30" s="12">
        <v>4</v>
      </c>
      <c r="E30" s="12">
        <v>0</v>
      </c>
      <c r="F30" s="12">
        <v>7</v>
      </c>
      <c r="G30" s="12">
        <v>9</v>
      </c>
      <c r="H30" s="12">
        <v>6</v>
      </c>
      <c r="I30" s="12">
        <v>6</v>
      </c>
      <c r="J30" s="12">
        <v>0</v>
      </c>
      <c r="K30" s="12">
        <v>8</v>
      </c>
      <c r="L30" s="12">
        <v>6</v>
      </c>
      <c r="M30" s="12">
        <v>0</v>
      </c>
      <c r="N30" s="12">
        <v>1</v>
      </c>
      <c r="O30" s="12">
        <v>7</v>
      </c>
      <c r="P30" s="12">
        <v>0</v>
      </c>
      <c r="Q30" s="12">
        <v>7</v>
      </c>
      <c r="R30" s="12">
        <v>0</v>
      </c>
      <c r="S30" s="12">
        <v>0</v>
      </c>
      <c r="T30" s="12">
        <v>3</v>
      </c>
      <c r="U30" s="12">
        <v>2</v>
      </c>
      <c r="V30" s="12">
        <v>1</v>
      </c>
      <c r="W30" s="12">
        <v>0</v>
      </c>
      <c r="X30" s="12">
        <v>9</v>
      </c>
      <c r="Y30" s="12">
        <v>3</v>
      </c>
      <c r="Z30" s="12">
        <v>2</v>
      </c>
      <c r="AA30" s="12">
        <v>1</v>
      </c>
      <c r="AB30" s="12">
        <v>0</v>
      </c>
      <c r="AC30" s="12">
        <v>0</v>
      </c>
      <c r="AD30" s="12">
        <v>0</v>
      </c>
      <c r="AE30" s="12">
        <v>4</v>
      </c>
      <c r="AF30" s="12">
        <v>2</v>
      </c>
    </row>
    <row r="31" spans="1:32" x14ac:dyDescent="0.25">
      <c r="A31" s="19"/>
      <c r="B31" s="13" t="s">
        <v>546</v>
      </c>
      <c r="C31" s="15" t="s">
        <v>213</v>
      </c>
      <c r="D31" s="15" t="s">
        <v>213</v>
      </c>
      <c r="E31" s="15" t="s">
        <v>213</v>
      </c>
      <c r="F31" s="14">
        <v>0.01</v>
      </c>
      <c r="G31" s="14">
        <v>0.01</v>
      </c>
      <c r="H31" s="14">
        <v>0.01</v>
      </c>
      <c r="I31" s="15" t="s">
        <v>213</v>
      </c>
      <c r="J31" s="15" t="s">
        <v>213</v>
      </c>
      <c r="K31" s="14">
        <v>0.01</v>
      </c>
      <c r="L31" s="14">
        <v>0.01</v>
      </c>
      <c r="M31" s="15" t="s">
        <v>213</v>
      </c>
      <c r="N31" s="15" t="s">
        <v>213</v>
      </c>
      <c r="O31" s="14">
        <v>0.01</v>
      </c>
      <c r="P31" s="15" t="s">
        <v>213</v>
      </c>
      <c r="Q31" s="14">
        <v>0.01</v>
      </c>
      <c r="R31" s="15" t="s">
        <v>213</v>
      </c>
      <c r="S31" s="15" t="s">
        <v>213</v>
      </c>
      <c r="T31" s="15" t="s">
        <v>213</v>
      </c>
      <c r="U31" s="15" t="s">
        <v>213</v>
      </c>
      <c r="V31" s="15" t="s">
        <v>213</v>
      </c>
      <c r="W31" s="15" t="s">
        <v>213</v>
      </c>
      <c r="X31" s="14">
        <v>0.01</v>
      </c>
      <c r="Y31" s="15" t="s">
        <v>213</v>
      </c>
      <c r="Z31" s="15" t="s">
        <v>213</v>
      </c>
      <c r="AA31" s="15" t="s">
        <v>213</v>
      </c>
      <c r="AB31" s="15" t="s">
        <v>213</v>
      </c>
      <c r="AC31" s="15" t="s">
        <v>213</v>
      </c>
      <c r="AD31" s="15" t="s">
        <v>213</v>
      </c>
      <c r="AE31" s="15" t="s">
        <v>213</v>
      </c>
      <c r="AF31" s="15" t="s">
        <v>213</v>
      </c>
    </row>
    <row r="32" spans="1:32" x14ac:dyDescent="0.25">
      <c r="A32" s="19"/>
      <c r="B32" s="11" t="s">
        <v>547</v>
      </c>
      <c r="C32" s="12">
        <v>20</v>
      </c>
      <c r="D32" s="12">
        <v>5</v>
      </c>
      <c r="E32" s="12">
        <v>0</v>
      </c>
      <c r="F32" s="12">
        <v>0</v>
      </c>
      <c r="G32" s="12">
        <v>2</v>
      </c>
      <c r="H32" s="12">
        <v>1</v>
      </c>
      <c r="I32" s="12">
        <v>1</v>
      </c>
      <c r="J32" s="12">
        <v>0</v>
      </c>
      <c r="K32" s="12">
        <v>1</v>
      </c>
      <c r="L32" s="12">
        <v>8</v>
      </c>
      <c r="M32" s="12">
        <v>0</v>
      </c>
      <c r="N32" s="12">
        <v>0</v>
      </c>
      <c r="O32" s="12">
        <v>0</v>
      </c>
      <c r="P32" s="12">
        <v>0</v>
      </c>
      <c r="Q32" s="12">
        <v>3</v>
      </c>
      <c r="R32" s="12">
        <v>1</v>
      </c>
      <c r="S32" s="12">
        <v>1</v>
      </c>
      <c r="T32" s="12">
        <v>0</v>
      </c>
      <c r="U32" s="12">
        <v>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</row>
    <row r="33" spans="1:32" x14ac:dyDescent="0.25">
      <c r="A33" s="19"/>
      <c r="B33" s="13" t="s">
        <v>548</v>
      </c>
      <c r="C33" s="15" t="s">
        <v>213</v>
      </c>
      <c r="D33" s="15" t="s">
        <v>213</v>
      </c>
      <c r="E33" s="15" t="s">
        <v>213</v>
      </c>
      <c r="F33" s="15" t="s">
        <v>213</v>
      </c>
      <c r="G33" s="15" t="s">
        <v>213</v>
      </c>
      <c r="H33" s="15" t="s">
        <v>213</v>
      </c>
      <c r="I33" s="15" t="s">
        <v>213</v>
      </c>
      <c r="J33" s="15" t="s">
        <v>213</v>
      </c>
      <c r="K33" s="15" t="s">
        <v>213</v>
      </c>
      <c r="L33" s="14">
        <v>0.01</v>
      </c>
      <c r="M33" s="15" t="s">
        <v>213</v>
      </c>
      <c r="N33" s="15" t="s">
        <v>213</v>
      </c>
      <c r="O33" s="15" t="s">
        <v>213</v>
      </c>
      <c r="P33" s="15" t="s">
        <v>213</v>
      </c>
      <c r="Q33" s="15" t="s">
        <v>213</v>
      </c>
      <c r="R33" s="15" t="s">
        <v>213</v>
      </c>
      <c r="S33" s="15" t="s">
        <v>213</v>
      </c>
      <c r="T33" s="15" t="s">
        <v>213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5" t="s">
        <v>213</v>
      </c>
      <c r="Z33" s="15" t="s">
        <v>213</v>
      </c>
      <c r="AA33" s="15" t="s">
        <v>213</v>
      </c>
      <c r="AB33" s="15" t="s">
        <v>213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x14ac:dyDescent="0.25">
      <c r="A34" s="19"/>
      <c r="B34" s="11" t="s">
        <v>549</v>
      </c>
      <c r="C34" s="12">
        <v>2670</v>
      </c>
      <c r="D34" s="12">
        <v>92</v>
      </c>
      <c r="E34" s="12">
        <v>15</v>
      </c>
      <c r="F34" s="12">
        <v>267</v>
      </c>
      <c r="G34" s="12">
        <v>119</v>
      </c>
      <c r="H34" s="12">
        <v>89</v>
      </c>
      <c r="I34" s="12">
        <v>175</v>
      </c>
      <c r="J34" s="12">
        <v>86</v>
      </c>
      <c r="K34" s="12">
        <v>176</v>
      </c>
      <c r="L34" s="12">
        <v>29</v>
      </c>
      <c r="M34" s="12">
        <v>18</v>
      </c>
      <c r="N34" s="12">
        <v>96</v>
      </c>
      <c r="O34" s="12">
        <v>181</v>
      </c>
      <c r="P34" s="12">
        <v>36</v>
      </c>
      <c r="Q34" s="12">
        <v>87</v>
      </c>
      <c r="R34" s="12">
        <v>7</v>
      </c>
      <c r="S34" s="12">
        <v>66</v>
      </c>
      <c r="T34" s="12">
        <v>9</v>
      </c>
      <c r="U34" s="12">
        <v>39</v>
      </c>
      <c r="V34" s="12">
        <v>33</v>
      </c>
      <c r="W34" s="12">
        <v>12</v>
      </c>
      <c r="X34" s="12">
        <v>168</v>
      </c>
      <c r="Y34" s="12">
        <v>47</v>
      </c>
      <c r="Z34" s="12">
        <v>31</v>
      </c>
      <c r="AA34" s="12">
        <v>20</v>
      </c>
      <c r="AB34" s="12">
        <v>8</v>
      </c>
      <c r="AC34" s="12">
        <v>131</v>
      </c>
      <c r="AD34" s="12">
        <v>100</v>
      </c>
      <c r="AE34" s="12">
        <v>132</v>
      </c>
      <c r="AF34" s="12">
        <v>176</v>
      </c>
    </row>
    <row r="35" spans="1:32" x14ac:dyDescent="0.25">
      <c r="A35" s="19"/>
      <c r="B35" s="13" t="s">
        <v>550</v>
      </c>
      <c r="C35" s="14">
        <v>0.1</v>
      </c>
      <c r="D35" s="14">
        <v>0.09</v>
      </c>
      <c r="E35" s="14">
        <v>0.01</v>
      </c>
      <c r="F35" s="14">
        <v>0.25</v>
      </c>
      <c r="G35" s="14">
        <v>0.12</v>
      </c>
      <c r="H35" s="14">
        <v>7.0000000000000007E-2</v>
      </c>
      <c r="I35" s="14">
        <v>0.11</v>
      </c>
      <c r="J35" s="14">
        <v>0.28999999999999998</v>
      </c>
      <c r="K35" s="14">
        <v>0.17</v>
      </c>
      <c r="L35" s="14">
        <v>0.03</v>
      </c>
      <c r="M35" s="14">
        <v>0.02</v>
      </c>
      <c r="N35" s="14">
        <v>0.1</v>
      </c>
      <c r="O35" s="14">
        <v>0.18</v>
      </c>
      <c r="P35" s="14">
        <v>0.04</v>
      </c>
      <c r="Q35" s="14">
        <v>0.09</v>
      </c>
      <c r="R35" s="14">
        <v>0.02</v>
      </c>
      <c r="S35" s="14">
        <v>7.0000000000000007E-2</v>
      </c>
      <c r="T35" s="14">
        <v>0.01</v>
      </c>
      <c r="U35" s="14">
        <v>0.08</v>
      </c>
      <c r="V35" s="14">
        <v>0.03</v>
      </c>
      <c r="W35" s="14">
        <v>0.02</v>
      </c>
      <c r="X35" s="14">
        <v>0.17</v>
      </c>
      <c r="Y35" s="14">
        <v>0.05</v>
      </c>
      <c r="Z35" s="14">
        <v>0.03</v>
      </c>
      <c r="AA35" s="14">
        <v>0.02</v>
      </c>
      <c r="AB35" s="14">
        <v>0.01</v>
      </c>
      <c r="AC35" s="14">
        <v>0.13</v>
      </c>
      <c r="AD35" s="14">
        <v>0.1</v>
      </c>
      <c r="AE35" s="14">
        <v>0.13</v>
      </c>
      <c r="AF35" s="14">
        <v>0.17</v>
      </c>
    </row>
    <row r="36" spans="1:32" ht="23.25" x14ac:dyDescent="0.25">
      <c r="A36" s="19"/>
      <c r="B36" s="11" t="s">
        <v>551</v>
      </c>
      <c r="C36" s="12">
        <v>4549</v>
      </c>
      <c r="D36" s="12">
        <v>238</v>
      </c>
      <c r="E36" s="12">
        <v>37</v>
      </c>
      <c r="F36" s="12">
        <v>341</v>
      </c>
      <c r="G36" s="12">
        <v>189</v>
      </c>
      <c r="H36" s="12">
        <v>307</v>
      </c>
      <c r="I36" s="12">
        <v>416</v>
      </c>
      <c r="J36" s="12">
        <v>108</v>
      </c>
      <c r="K36" s="12">
        <v>260</v>
      </c>
      <c r="L36" s="12">
        <v>121</v>
      </c>
      <c r="M36" s="12">
        <v>21</v>
      </c>
      <c r="N36" s="12">
        <v>181</v>
      </c>
      <c r="O36" s="12">
        <v>219</v>
      </c>
      <c r="P36" s="12">
        <v>37</v>
      </c>
      <c r="Q36" s="12">
        <v>54</v>
      </c>
      <c r="R36" s="12">
        <v>3</v>
      </c>
      <c r="S36" s="12">
        <v>222</v>
      </c>
      <c r="T36" s="12">
        <v>79</v>
      </c>
      <c r="U36" s="12">
        <v>70</v>
      </c>
      <c r="V36" s="12">
        <v>188</v>
      </c>
      <c r="W36" s="12">
        <v>37</v>
      </c>
      <c r="X36" s="12">
        <v>375</v>
      </c>
      <c r="Y36" s="12">
        <v>177</v>
      </c>
      <c r="Z36" s="12">
        <v>47</v>
      </c>
      <c r="AA36" s="12">
        <v>138</v>
      </c>
      <c r="AB36" s="12">
        <v>1</v>
      </c>
      <c r="AC36" s="12">
        <v>59</v>
      </c>
      <c r="AD36" s="12">
        <v>119</v>
      </c>
      <c r="AE36" s="12">
        <v>137</v>
      </c>
      <c r="AF36" s="12">
        <v>360</v>
      </c>
    </row>
    <row r="37" spans="1:32" x14ac:dyDescent="0.25">
      <c r="A37" s="19"/>
      <c r="B37" s="13" t="s">
        <v>552</v>
      </c>
      <c r="C37" s="14">
        <v>0.17</v>
      </c>
      <c r="D37" s="14">
        <v>0.23</v>
      </c>
      <c r="E37" s="14">
        <v>0.04</v>
      </c>
      <c r="F37" s="14">
        <v>0.32</v>
      </c>
      <c r="G37" s="14">
        <v>0.19</v>
      </c>
      <c r="H37" s="14">
        <v>0.25</v>
      </c>
      <c r="I37" s="14">
        <v>0.27</v>
      </c>
      <c r="J37" s="14">
        <v>0.37</v>
      </c>
      <c r="K37" s="14">
        <v>0.26</v>
      </c>
      <c r="L37" s="14">
        <v>0.12</v>
      </c>
      <c r="M37" s="14">
        <v>0.02</v>
      </c>
      <c r="N37" s="14">
        <v>0.18</v>
      </c>
      <c r="O37" s="14">
        <v>0.22</v>
      </c>
      <c r="P37" s="14">
        <v>0.04</v>
      </c>
      <c r="Q37" s="14">
        <v>0.05</v>
      </c>
      <c r="R37" s="14">
        <v>0.01</v>
      </c>
      <c r="S37" s="14">
        <v>0.22</v>
      </c>
      <c r="T37" s="14">
        <v>0.08</v>
      </c>
      <c r="U37" s="14">
        <v>0.14000000000000001</v>
      </c>
      <c r="V37" s="14">
        <v>0.18</v>
      </c>
      <c r="W37" s="14">
        <v>0.08</v>
      </c>
      <c r="X37" s="14">
        <v>0.37</v>
      </c>
      <c r="Y37" s="14">
        <v>0.18</v>
      </c>
      <c r="Z37" s="14">
        <v>0.05</v>
      </c>
      <c r="AA37" s="14">
        <v>0.13</v>
      </c>
      <c r="AB37" s="15" t="s">
        <v>213</v>
      </c>
      <c r="AC37" s="14">
        <v>0.06</v>
      </c>
      <c r="AD37" s="14">
        <v>0.12</v>
      </c>
      <c r="AE37" s="14">
        <v>0.14000000000000001</v>
      </c>
      <c r="AF37" s="14">
        <v>0.35</v>
      </c>
    </row>
    <row r="38" spans="1:32" x14ac:dyDescent="0.25">
      <c r="A38" s="19"/>
      <c r="B38" s="11" t="s">
        <v>553</v>
      </c>
      <c r="C38" s="12">
        <v>943</v>
      </c>
      <c r="D38" s="12">
        <v>58</v>
      </c>
      <c r="E38" s="12">
        <v>8</v>
      </c>
      <c r="F38" s="12">
        <v>143</v>
      </c>
      <c r="G38" s="12">
        <v>47</v>
      </c>
      <c r="H38" s="12">
        <v>51</v>
      </c>
      <c r="I38" s="12">
        <v>71</v>
      </c>
      <c r="J38" s="12">
        <v>20</v>
      </c>
      <c r="K38" s="12">
        <v>124</v>
      </c>
      <c r="L38" s="12">
        <v>25</v>
      </c>
      <c r="M38" s="12">
        <v>4</v>
      </c>
      <c r="N38" s="12">
        <v>25</v>
      </c>
      <c r="O38" s="12">
        <v>33</v>
      </c>
      <c r="P38" s="12">
        <v>9</v>
      </c>
      <c r="Q38" s="12">
        <v>19</v>
      </c>
      <c r="R38" s="12">
        <v>6</v>
      </c>
      <c r="S38" s="12">
        <v>86</v>
      </c>
      <c r="T38" s="12">
        <v>24</v>
      </c>
      <c r="U38" s="12">
        <v>24</v>
      </c>
      <c r="V38" s="12">
        <v>14</v>
      </c>
      <c r="W38" s="12">
        <v>11</v>
      </c>
      <c r="X38" s="12">
        <v>90</v>
      </c>
      <c r="Y38" s="12">
        <v>38</v>
      </c>
      <c r="Z38" s="12">
        <v>20</v>
      </c>
      <c r="AA38" s="12">
        <v>38</v>
      </c>
      <c r="AB38" s="12">
        <v>6</v>
      </c>
      <c r="AC38" s="12">
        <v>39</v>
      </c>
      <c r="AD38" s="12">
        <v>11</v>
      </c>
      <c r="AE38" s="12">
        <v>50</v>
      </c>
      <c r="AF38" s="12">
        <v>81</v>
      </c>
    </row>
    <row r="39" spans="1:32" x14ac:dyDescent="0.25">
      <c r="A39" s="19"/>
      <c r="B39" s="13" t="s">
        <v>554</v>
      </c>
      <c r="C39" s="14">
        <v>0.04</v>
      </c>
      <c r="D39" s="14">
        <v>0.06</v>
      </c>
      <c r="E39" s="14">
        <v>0.01</v>
      </c>
      <c r="F39" s="14">
        <v>0.13</v>
      </c>
      <c r="G39" s="14">
        <v>0.05</v>
      </c>
      <c r="H39" s="14">
        <v>0.04</v>
      </c>
      <c r="I39" s="14">
        <v>0.05</v>
      </c>
      <c r="J39" s="14">
        <v>7.0000000000000007E-2</v>
      </c>
      <c r="K39" s="14">
        <v>0.12</v>
      </c>
      <c r="L39" s="14">
        <v>0.02</v>
      </c>
      <c r="M39" s="14">
        <v>0.01</v>
      </c>
      <c r="N39" s="14">
        <v>0.02</v>
      </c>
      <c r="O39" s="14">
        <v>0.03</v>
      </c>
      <c r="P39" s="14">
        <v>0.01</v>
      </c>
      <c r="Q39" s="14">
        <v>0.02</v>
      </c>
      <c r="R39" s="14">
        <v>0.01</v>
      </c>
      <c r="S39" s="14">
        <v>0.09</v>
      </c>
      <c r="T39" s="14">
        <v>0.02</v>
      </c>
      <c r="U39" s="14">
        <v>0.05</v>
      </c>
      <c r="V39" s="14">
        <v>0.01</v>
      </c>
      <c r="W39" s="14">
        <v>0.02</v>
      </c>
      <c r="X39" s="14">
        <v>0.09</v>
      </c>
      <c r="Y39" s="14">
        <v>0.04</v>
      </c>
      <c r="Z39" s="14">
        <v>0.02</v>
      </c>
      <c r="AA39" s="14">
        <v>0.04</v>
      </c>
      <c r="AB39" s="14">
        <v>0.01</v>
      </c>
      <c r="AC39" s="14">
        <v>0.04</v>
      </c>
      <c r="AD39" s="14">
        <v>0.01</v>
      </c>
      <c r="AE39" s="14">
        <v>0.05</v>
      </c>
      <c r="AF39" s="14">
        <v>0.08</v>
      </c>
    </row>
    <row r="40" spans="1:32" x14ac:dyDescent="0.25">
      <c r="A40" s="19"/>
      <c r="B40" s="11" t="s">
        <v>555</v>
      </c>
      <c r="C40" s="12">
        <v>99</v>
      </c>
      <c r="D40" s="12">
        <v>3</v>
      </c>
      <c r="E40" s="12">
        <v>1</v>
      </c>
      <c r="F40" s="12">
        <v>9</v>
      </c>
      <c r="G40" s="12">
        <v>1</v>
      </c>
      <c r="H40" s="12">
        <v>0</v>
      </c>
      <c r="I40" s="12">
        <v>0</v>
      </c>
      <c r="J40" s="12">
        <v>0</v>
      </c>
      <c r="K40" s="12">
        <v>16</v>
      </c>
      <c r="L40" s="12">
        <v>6</v>
      </c>
      <c r="M40" s="12">
        <v>2</v>
      </c>
      <c r="N40" s="12">
        <v>1</v>
      </c>
      <c r="O40" s="12">
        <v>13</v>
      </c>
      <c r="P40" s="12">
        <v>4</v>
      </c>
      <c r="Q40" s="12">
        <v>2</v>
      </c>
      <c r="R40" s="12">
        <v>0</v>
      </c>
      <c r="S40" s="12">
        <v>7</v>
      </c>
      <c r="T40" s="12">
        <v>0</v>
      </c>
      <c r="U40" s="12">
        <v>0</v>
      </c>
      <c r="V40" s="12">
        <v>13</v>
      </c>
      <c r="W40" s="12">
        <v>0</v>
      </c>
      <c r="X40" s="12">
        <v>1</v>
      </c>
      <c r="Y40" s="12">
        <v>13</v>
      </c>
      <c r="Z40" s="12">
        <v>1</v>
      </c>
      <c r="AA40" s="12">
        <v>1</v>
      </c>
      <c r="AB40" s="12">
        <v>0</v>
      </c>
      <c r="AC40" s="12">
        <v>5</v>
      </c>
      <c r="AD40" s="12">
        <v>9</v>
      </c>
      <c r="AE40" s="12">
        <v>2</v>
      </c>
      <c r="AF40" s="12">
        <v>2</v>
      </c>
    </row>
    <row r="41" spans="1:32" x14ac:dyDescent="0.25">
      <c r="A41" s="19"/>
      <c r="B41" s="13" t="s">
        <v>556</v>
      </c>
      <c r="C41" s="15" t="s">
        <v>213</v>
      </c>
      <c r="D41" s="15" t="s">
        <v>213</v>
      </c>
      <c r="E41" s="15" t="s">
        <v>213</v>
      </c>
      <c r="F41" s="14">
        <v>0.01</v>
      </c>
      <c r="G41" s="15" t="s">
        <v>213</v>
      </c>
      <c r="H41" s="15" t="s">
        <v>213</v>
      </c>
      <c r="I41" s="15" t="s">
        <v>213</v>
      </c>
      <c r="J41" s="15" t="s">
        <v>213</v>
      </c>
      <c r="K41" s="14">
        <v>0.02</v>
      </c>
      <c r="L41" s="15" t="s">
        <v>213</v>
      </c>
      <c r="M41" s="15" t="s">
        <v>213</v>
      </c>
      <c r="N41" s="15" t="s">
        <v>213</v>
      </c>
      <c r="O41" s="14">
        <v>0.01</v>
      </c>
      <c r="P41" s="15" t="s">
        <v>213</v>
      </c>
      <c r="Q41" s="15" t="s">
        <v>213</v>
      </c>
      <c r="R41" s="15" t="s">
        <v>213</v>
      </c>
      <c r="S41" s="14">
        <v>0.01</v>
      </c>
      <c r="T41" s="15" t="s">
        <v>213</v>
      </c>
      <c r="U41" s="15" t="s">
        <v>213</v>
      </c>
      <c r="V41" s="14">
        <v>0.01</v>
      </c>
      <c r="W41" s="15" t="s">
        <v>213</v>
      </c>
      <c r="X41" s="15" t="s">
        <v>213</v>
      </c>
      <c r="Y41" s="14">
        <v>0.01</v>
      </c>
      <c r="Z41" s="15" t="s">
        <v>213</v>
      </c>
      <c r="AA41" s="15" t="s">
        <v>213</v>
      </c>
      <c r="AB41" s="15" t="s">
        <v>213</v>
      </c>
      <c r="AC41" s="15" t="s">
        <v>213</v>
      </c>
      <c r="AD41" s="14">
        <v>0.01</v>
      </c>
      <c r="AE41" s="15" t="s">
        <v>213</v>
      </c>
      <c r="AF41" s="15" t="s">
        <v>213</v>
      </c>
    </row>
    <row r="42" spans="1:32" x14ac:dyDescent="0.25">
      <c r="A42" s="19"/>
      <c r="B42" s="11" t="s">
        <v>224</v>
      </c>
      <c r="C42" s="12">
        <v>53</v>
      </c>
      <c r="D42" s="12">
        <v>1</v>
      </c>
      <c r="E42" s="12">
        <v>2</v>
      </c>
      <c r="F42" s="12">
        <v>27</v>
      </c>
      <c r="G42" s="12">
        <v>2</v>
      </c>
      <c r="H42" s="12">
        <v>2</v>
      </c>
      <c r="I42" s="12">
        <v>3</v>
      </c>
      <c r="J42" s="12">
        <v>1</v>
      </c>
      <c r="K42" s="12">
        <v>19</v>
      </c>
      <c r="L42" s="12">
        <v>1</v>
      </c>
      <c r="M42" s="12">
        <v>1</v>
      </c>
      <c r="N42" s="12">
        <v>0</v>
      </c>
      <c r="O42" s="12">
        <v>2</v>
      </c>
      <c r="P42" s="12">
        <v>2</v>
      </c>
      <c r="Q42" s="12">
        <v>0</v>
      </c>
      <c r="R42" s="12">
        <v>2</v>
      </c>
      <c r="S42" s="12">
        <v>10</v>
      </c>
      <c r="T42" s="12">
        <v>2</v>
      </c>
      <c r="U42" s="12">
        <v>0</v>
      </c>
      <c r="V42" s="12">
        <v>0</v>
      </c>
      <c r="W42" s="12">
        <v>0</v>
      </c>
      <c r="X42" s="12">
        <v>4</v>
      </c>
      <c r="Y42" s="12">
        <v>1</v>
      </c>
      <c r="Z42" s="12">
        <v>1</v>
      </c>
      <c r="AA42" s="12">
        <v>1</v>
      </c>
      <c r="AB42" s="12">
        <v>0</v>
      </c>
      <c r="AC42" s="12">
        <v>1</v>
      </c>
      <c r="AD42" s="12">
        <v>2</v>
      </c>
      <c r="AE42" s="12">
        <v>6</v>
      </c>
      <c r="AF42" s="12">
        <v>8</v>
      </c>
    </row>
    <row r="43" spans="1:32" x14ac:dyDescent="0.25">
      <c r="A43" s="19"/>
      <c r="B43" s="13" t="s">
        <v>237</v>
      </c>
      <c r="C43" s="15" t="s">
        <v>213</v>
      </c>
      <c r="D43" s="15" t="s">
        <v>213</v>
      </c>
      <c r="E43" s="15" t="s">
        <v>213</v>
      </c>
      <c r="F43" s="14">
        <v>0.02</v>
      </c>
      <c r="G43" s="15" t="s">
        <v>213</v>
      </c>
      <c r="H43" s="15" t="s">
        <v>213</v>
      </c>
      <c r="I43" s="15" t="s">
        <v>213</v>
      </c>
      <c r="J43" s="15" t="s">
        <v>213</v>
      </c>
      <c r="K43" s="14">
        <v>0.02</v>
      </c>
      <c r="L43" s="15" t="s">
        <v>213</v>
      </c>
      <c r="M43" s="15" t="s">
        <v>213</v>
      </c>
      <c r="N43" s="15" t="s">
        <v>213</v>
      </c>
      <c r="O43" s="15" t="s">
        <v>213</v>
      </c>
      <c r="P43" s="15" t="s">
        <v>213</v>
      </c>
      <c r="Q43" s="15" t="s">
        <v>213</v>
      </c>
      <c r="R43" s="15" t="s">
        <v>213</v>
      </c>
      <c r="S43" s="14">
        <v>0.01</v>
      </c>
      <c r="T43" s="15" t="s">
        <v>213</v>
      </c>
      <c r="U43" s="15" t="s">
        <v>213</v>
      </c>
      <c r="V43" s="15" t="s">
        <v>213</v>
      </c>
      <c r="W43" s="15" t="s">
        <v>213</v>
      </c>
      <c r="X43" s="15" t="s">
        <v>213</v>
      </c>
      <c r="Y43" s="15" t="s">
        <v>213</v>
      </c>
      <c r="Z43" s="15" t="s">
        <v>213</v>
      </c>
      <c r="AA43" s="15" t="s">
        <v>213</v>
      </c>
      <c r="AB43" s="15" t="s">
        <v>213</v>
      </c>
      <c r="AC43" s="15" t="s">
        <v>213</v>
      </c>
      <c r="AD43" s="15" t="s">
        <v>213</v>
      </c>
      <c r="AE43" s="14">
        <v>0.01</v>
      </c>
      <c r="AF43" s="14">
        <v>0.01</v>
      </c>
    </row>
  </sheetData>
  <mergeCells count="9">
    <mergeCell ref="H3:L3"/>
    <mergeCell ref="C8:AF8"/>
    <mergeCell ref="B3:F3"/>
    <mergeCell ref="B5:F5"/>
    <mergeCell ref="A10:A43"/>
    <mergeCell ref="H5:L5"/>
    <mergeCell ref="B10:B11"/>
    <mergeCell ref="H4:L4"/>
    <mergeCell ref="B4:F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3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97</v>
      </c>
      <c r="C3" s="18"/>
      <c r="D3" s="18"/>
      <c r="E3" s="18"/>
      <c r="F3" s="18"/>
      <c r="H3" s="18" t="s">
        <v>98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557</v>
      </c>
      <c r="C12" s="12">
        <v>17303</v>
      </c>
      <c r="D12" s="12">
        <v>550</v>
      </c>
      <c r="E12" s="12">
        <v>898</v>
      </c>
      <c r="F12" s="12">
        <v>261</v>
      </c>
      <c r="G12" s="12">
        <v>633</v>
      </c>
      <c r="H12" s="12">
        <v>738</v>
      </c>
      <c r="I12" s="12">
        <v>814</v>
      </c>
      <c r="J12" s="12">
        <v>76</v>
      </c>
      <c r="K12" s="12">
        <v>386</v>
      </c>
      <c r="L12" s="12">
        <v>793</v>
      </c>
      <c r="M12" s="12">
        <v>955</v>
      </c>
      <c r="N12" s="12">
        <v>698</v>
      </c>
      <c r="O12" s="12">
        <v>461</v>
      </c>
      <c r="P12" s="12">
        <v>893</v>
      </c>
      <c r="Q12" s="12">
        <v>852</v>
      </c>
      <c r="R12" s="12">
        <v>480</v>
      </c>
      <c r="S12" s="12">
        <v>610</v>
      </c>
      <c r="T12" s="12">
        <v>906</v>
      </c>
      <c r="U12" s="12">
        <v>337</v>
      </c>
      <c r="V12" s="12">
        <v>765</v>
      </c>
      <c r="W12" s="12">
        <v>436</v>
      </c>
      <c r="X12" s="12">
        <v>329</v>
      </c>
      <c r="Y12" s="12">
        <v>709</v>
      </c>
      <c r="Z12" s="12">
        <v>913</v>
      </c>
      <c r="AA12" s="12">
        <v>838</v>
      </c>
      <c r="AB12" s="12">
        <v>1022</v>
      </c>
      <c r="AC12" s="12">
        <v>733</v>
      </c>
      <c r="AD12" s="12">
        <v>753</v>
      </c>
      <c r="AE12" s="12">
        <v>666</v>
      </c>
      <c r="AF12" s="12">
        <v>393</v>
      </c>
    </row>
    <row r="13" spans="1:32" x14ac:dyDescent="0.25">
      <c r="A13" s="19"/>
      <c r="B13" s="13" t="s">
        <v>558</v>
      </c>
      <c r="C13" s="14">
        <v>0.66</v>
      </c>
      <c r="D13" s="14">
        <v>0.54</v>
      </c>
      <c r="E13" s="14">
        <v>0.86</v>
      </c>
      <c r="F13" s="14">
        <v>0.24</v>
      </c>
      <c r="G13" s="14">
        <v>0.62</v>
      </c>
      <c r="H13" s="14">
        <v>0.6</v>
      </c>
      <c r="I13" s="14">
        <v>0.53</v>
      </c>
      <c r="J13" s="14">
        <v>0.26</v>
      </c>
      <c r="K13" s="14">
        <v>0.38</v>
      </c>
      <c r="L13" s="14">
        <v>0.79</v>
      </c>
      <c r="M13" s="14">
        <v>0.95000000000000007</v>
      </c>
      <c r="N13" s="14">
        <v>0.69000000000000006</v>
      </c>
      <c r="O13" s="14">
        <v>0.46</v>
      </c>
      <c r="P13" s="14">
        <v>0.89</v>
      </c>
      <c r="Q13" s="14">
        <v>0.83000000000000007</v>
      </c>
      <c r="R13" s="14">
        <v>0.96</v>
      </c>
      <c r="S13" s="14">
        <v>0.61</v>
      </c>
      <c r="T13" s="14">
        <v>0.89</v>
      </c>
      <c r="U13" s="14">
        <v>0.66</v>
      </c>
      <c r="V13" s="14">
        <v>0.75</v>
      </c>
      <c r="W13" s="14">
        <v>0.87</v>
      </c>
      <c r="X13" s="14">
        <v>0.33</v>
      </c>
      <c r="Y13" s="14">
        <v>0.71</v>
      </c>
      <c r="Z13" s="14">
        <v>0.9</v>
      </c>
      <c r="AA13" s="14">
        <v>0.81</v>
      </c>
      <c r="AB13" s="14">
        <v>0.98</v>
      </c>
      <c r="AC13" s="14">
        <v>0.73</v>
      </c>
      <c r="AD13" s="14">
        <v>0.75</v>
      </c>
      <c r="AE13" s="14">
        <v>0.67</v>
      </c>
      <c r="AF13" s="14">
        <v>0.38</v>
      </c>
    </row>
    <row r="14" spans="1:32" x14ac:dyDescent="0.25">
      <c r="A14" s="19"/>
      <c r="B14" s="11" t="s">
        <v>559</v>
      </c>
      <c r="C14" s="12">
        <v>55</v>
      </c>
      <c r="D14" s="12">
        <v>2</v>
      </c>
      <c r="E14" s="12">
        <v>2</v>
      </c>
      <c r="F14" s="12">
        <v>7</v>
      </c>
      <c r="G14" s="12">
        <v>1</v>
      </c>
      <c r="H14" s="12">
        <v>0</v>
      </c>
      <c r="I14" s="12">
        <v>0</v>
      </c>
      <c r="J14" s="12">
        <v>0</v>
      </c>
      <c r="K14" s="12">
        <v>7</v>
      </c>
      <c r="L14" s="12">
        <v>1</v>
      </c>
      <c r="M14" s="12">
        <v>0</v>
      </c>
      <c r="N14" s="12">
        <v>0</v>
      </c>
      <c r="O14" s="12">
        <v>4</v>
      </c>
      <c r="P14" s="12">
        <v>2</v>
      </c>
      <c r="Q14" s="12">
        <v>4</v>
      </c>
      <c r="R14" s="12">
        <v>0</v>
      </c>
      <c r="S14" s="12">
        <v>1</v>
      </c>
      <c r="T14" s="12">
        <v>0</v>
      </c>
      <c r="U14" s="12">
        <v>1</v>
      </c>
      <c r="V14" s="12">
        <v>5</v>
      </c>
      <c r="W14" s="12">
        <v>2</v>
      </c>
      <c r="X14" s="12">
        <v>10</v>
      </c>
      <c r="Y14" s="12">
        <v>1</v>
      </c>
      <c r="Z14" s="12">
        <v>0</v>
      </c>
      <c r="AA14" s="12">
        <v>0</v>
      </c>
      <c r="AB14" s="12">
        <v>1</v>
      </c>
      <c r="AC14" s="12">
        <v>2</v>
      </c>
      <c r="AD14" s="12">
        <v>2</v>
      </c>
      <c r="AE14" s="12">
        <v>2</v>
      </c>
      <c r="AF14" s="12">
        <v>1</v>
      </c>
    </row>
    <row r="15" spans="1:32" x14ac:dyDescent="0.25">
      <c r="A15" s="19"/>
      <c r="B15" s="13" t="s">
        <v>537</v>
      </c>
      <c r="C15" s="15" t="s">
        <v>213</v>
      </c>
      <c r="D15" s="15" t="s">
        <v>213</v>
      </c>
      <c r="E15" s="15" t="s">
        <v>213</v>
      </c>
      <c r="F15" s="14">
        <v>0.01</v>
      </c>
      <c r="G15" s="15" t="s">
        <v>213</v>
      </c>
      <c r="H15" s="15" t="s">
        <v>213</v>
      </c>
      <c r="I15" s="15" t="s">
        <v>213</v>
      </c>
      <c r="J15" s="15" t="s">
        <v>213</v>
      </c>
      <c r="K15" s="14">
        <v>0.01</v>
      </c>
      <c r="L15" s="15" t="s">
        <v>213</v>
      </c>
      <c r="M15" s="15" t="s">
        <v>213</v>
      </c>
      <c r="N15" s="15" t="s">
        <v>213</v>
      </c>
      <c r="O15" s="14">
        <v>0.01</v>
      </c>
      <c r="P15" s="15" t="s">
        <v>213</v>
      </c>
      <c r="Q15" s="15" t="s">
        <v>213</v>
      </c>
      <c r="R15" s="15" t="s">
        <v>213</v>
      </c>
      <c r="S15" s="15" t="s">
        <v>213</v>
      </c>
      <c r="T15" s="15" t="s">
        <v>213</v>
      </c>
      <c r="U15" s="15" t="s">
        <v>213</v>
      </c>
      <c r="V15" s="14">
        <v>0.01</v>
      </c>
      <c r="W15" s="15" t="s">
        <v>213</v>
      </c>
      <c r="X15" s="14">
        <v>0.01</v>
      </c>
      <c r="Y15" s="15" t="s">
        <v>213</v>
      </c>
      <c r="Z15" s="15" t="s">
        <v>213</v>
      </c>
      <c r="AA15" s="15" t="s">
        <v>213</v>
      </c>
      <c r="AB15" s="15" t="s">
        <v>213</v>
      </c>
      <c r="AC15" s="15" t="s">
        <v>213</v>
      </c>
      <c r="AD15" s="15" t="s">
        <v>213</v>
      </c>
      <c r="AE15" s="15" t="s">
        <v>213</v>
      </c>
      <c r="AF15" s="15" t="s">
        <v>213</v>
      </c>
    </row>
    <row r="16" spans="1:32" x14ac:dyDescent="0.25">
      <c r="A16" s="19"/>
      <c r="B16" s="11" t="s">
        <v>560</v>
      </c>
      <c r="C16" s="12">
        <v>650</v>
      </c>
      <c r="D16" s="12">
        <v>67</v>
      </c>
      <c r="E16" s="12">
        <v>84</v>
      </c>
      <c r="F16" s="12">
        <v>2</v>
      </c>
      <c r="G16" s="12">
        <v>14</v>
      </c>
      <c r="H16" s="12">
        <v>35</v>
      </c>
      <c r="I16" s="12">
        <v>41</v>
      </c>
      <c r="J16" s="12">
        <v>5</v>
      </c>
      <c r="K16" s="12">
        <v>9</v>
      </c>
      <c r="L16" s="12">
        <v>16</v>
      </c>
      <c r="M16" s="12">
        <v>6</v>
      </c>
      <c r="N16" s="12">
        <v>10</v>
      </c>
      <c r="O16" s="12">
        <v>84</v>
      </c>
      <c r="P16" s="12">
        <v>18</v>
      </c>
      <c r="Q16" s="12">
        <v>4</v>
      </c>
      <c r="R16" s="12">
        <v>2</v>
      </c>
      <c r="S16" s="12">
        <v>1</v>
      </c>
      <c r="T16" s="12">
        <v>2</v>
      </c>
      <c r="U16" s="12">
        <v>31</v>
      </c>
      <c r="V16" s="12">
        <v>6</v>
      </c>
      <c r="W16" s="12">
        <v>5</v>
      </c>
      <c r="X16" s="12">
        <v>23</v>
      </c>
      <c r="Y16" s="12">
        <v>14</v>
      </c>
      <c r="Z16" s="12">
        <v>1</v>
      </c>
      <c r="AA16" s="12">
        <v>0</v>
      </c>
      <c r="AB16" s="12">
        <v>3</v>
      </c>
      <c r="AC16" s="12">
        <v>37</v>
      </c>
      <c r="AD16" s="12">
        <v>5</v>
      </c>
      <c r="AE16" s="12">
        <v>2</v>
      </c>
      <c r="AF16" s="12">
        <v>8</v>
      </c>
    </row>
    <row r="17" spans="1:32" x14ac:dyDescent="0.25">
      <c r="A17" s="19"/>
      <c r="B17" s="13" t="s">
        <v>561</v>
      </c>
      <c r="C17" s="14">
        <v>0.03</v>
      </c>
      <c r="D17" s="14">
        <v>7.0000000000000007E-2</v>
      </c>
      <c r="E17" s="14">
        <v>0.08</v>
      </c>
      <c r="F17" s="15" t="s">
        <v>213</v>
      </c>
      <c r="G17" s="14">
        <v>0.01</v>
      </c>
      <c r="H17" s="14">
        <v>0.03</v>
      </c>
      <c r="I17" s="14">
        <v>0.03</v>
      </c>
      <c r="J17" s="14">
        <v>0.02</v>
      </c>
      <c r="K17" s="14">
        <v>0.01</v>
      </c>
      <c r="L17" s="14">
        <v>0.02</v>
      </c>
      <c r="M17" s="14">
        <v>0.01</v>
      </c>
      <c r="N17" s="14">
        <v>0.01</v>
      </c>
      <c r="O17" s="14">
        <v>0.08</v>
      </c>
      <c r="P17" s="14">
        <v>0.02</v>
      </c>
      <c r="Q17" s="15" t="s">
        <v>213</v>
      </c>
      <c r="R17" s="15" t="s">
        <v>213</v>
      </c>
      <c r="S17" s="15" t="s">
        <v>213</v>
      </c>
      <c r="T17" s="15" t="s">
        <v>213</v>
      </c>
      <c r="U17" s="14">
        <v>0.06</v>
      </c>
      <c r="V17" s="14">
        <v>0.01</v>
      </c>
      <c r="W17" s="14">
        <v>0.01</v>
      </c>
      <c r="X17" s="14">
        <v>0.02</v>
      </c>
      <c r="Y17" s="14">
        <v>0.01</v>
      </c>
      <c r="Z17" s="15" t="s">
        <v>213</v>
      </c>
      <c r="AA17" s="15" t="s">
        <v>213</v>
      </c>
      <c r="AB17" s="15" t="s">
        <v>213</v>
      </c>
      <c r="AC17" s="14">
        <v>0.04</v>
      </c>
      <c r="AD17" s="14">
        <v>0.01</v>
      </c>
      <c r="AE17" s="15" t="s">
        <v>213</v>
      </c>
      <c r="AF17" s="14">
        <v>0.01</v>
      </c>
    </row>
    <row r="18" spans="1:32" x14ac:dyDescent="0.25">
      <c r="A18" s="19"/>
      <c r="B18" s="11" t="s">
        <v>562</v>
      </c>
      <c r="C18" s="12">
        <v>8</v>
      </c>
      <c r="D18" s="12">
        <v>1</v>
      </c>
      <c r="E18" s="12">
        <v>0</v>
      </c>
      <c r="F18" s="12">
        <v>1</v>
      </c>
      <c r="G18" s="12">
        <v>0</v>
      </c>
      <c r="H18" s="12">
        <v>1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2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1</v>
      </c>
      <c r="W18" s="12">
        <v>0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>
        <v>0</v>
      </c>
      <c r="AD18" s="12">
        <v>2</v>
      </c>
      <c r="AE18" s="12">
        <v>0</v>
      </c>
      <c r="AF18" s="12">
        <v>0</v>
      </c>
    </row>
    <row r="19" spans="1:32" x14ac:dyDescent="0.25">
      <c r="A19" s="19"/>
      <c r="B19" s="13" t="s">
        <v>544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  <row r="20" spans="1:32" x14ac:dyDescent="0.25">
      <c r="A20" s="19"/>
      <c r="B20" s="11" t="s">
        <v>545</v>
      </c>
      <c r="C20" s="12">
        <v>104</v>
      </c>
      <c r="D20" s="12">
        <v>4</v>
      </c>
      <c r="E20" s="12">
        <v>0</v>
      </c>
      <c r="F20" s="12">
        <v>7</v>
      </c>
      <c r="G20" s="12">
        <v>9</v>
      </c>
      <c r="H20" s="12">
        <v>6</v>
      </c>
      <c r="I20" s="12">
        <v>6</v>
      </c>
      <c r="J20" s="12">
        <v>0</v>
      </c>
      <c r="K20" s="12">
        <v>8</v>
      </c>
      <c r="L20" s="12">
        <v>6</v>
      </c>
      <c r="M20" s="12">
        <v>0</v>
      </c>
      <c r="N20" s="12">
        <v>1</v>
      </c>
      <c r="O20" s="12">
        <v>7</v>
      </c>
      <c r="P20" s="12">
        <v>0</v>
      </c>
      <c r="Q20" s="12">
        <v>7</v>
      </c>
      <c r="R20" s="12">
        <v>0</v>
      </c>
      <c r="S20" s="12">
        <v>0</v>
      </c>
      <c r="T20" s="12">
        <v>3</v>
      </c>
      <c r="U20" s="12">
        <v>2</v>
      </c>
      <c r="V20" s="12">
        <v>1</v>
      </c>
      <c r="W20" s="12">
        <v>0</v>
      </c>
      <c r="X20" s="12">
        <v>9</v>
      </c>
      <c r="Y20" s="12">
        <v>3</v>
      </c>
      <c r="Z20" s="12">
        <v>2</v>
      </c>
      <c r="AA20" s="12">
        <v>1</v>
      </c>
      <c r="AB20" s="12">
        <v>0</v>
      </c>
      <c r="AC20" s="12">
        <v>0</v>
      </c>
      <c r="AD20" s="12">
        <v>0</v>
      </c>
      <c r="AE20" s="12">
        <v>4</v>
      </c>
      <c r="AF20" s="12">
        <v>2</v>
      </c>
    </row>
    <row r="21" spans="1:32" x14ac:dyDescent="0.25">
      <c r="A21" s="19"/>
      <c r="B21" s="13" t="s">
        <v>546</v>
      </c>
      <c r="C21" s="15" t="s">
        <v>213</v>
      </c>
      <c r="D21" s="15" t="s">
        <v>213</v>
      </c>
      <c r="E21" s="15" t="s">
        <v>213</v>
      </c>
      <c r="F21" s="14">
        <v>0.01</v>
      </c>
      <c r="G21" s="14">
        <v>0.01</v>
      </c>
      <c r="H21" s="14">
        <v>0.01</v>
      </c>
      <c r="I21" s="15" t="s">
        <v>213</v>
      </c>
      <c r="J21" s="15" t="s">
        <v>213</v>
      </c>
      <c r="K21" s="14">
        <v>0.01</v>
      </c>
      <c r="L21" s="14">
        <v>0.01</v>
      </c>
      <c r="M21" s="15" t="s">
        <v>213</v>
      </c>
      <c r="N21" s="15" t="s">
        <v>213</v>
      </c>
      <c r="O21" s="14">
        <v>0.01</v>
      </c>
      <c r="P21" s="15" t="s">
        <v>213</v>
      </c>
      <c r="Q21" s="14">
        <v>0.01</v>
      </c>
      <c r="R21" s="15" t="s">
        <v>213</v>
      </c>
      <c r="S21" s="15" t="s">
        <v>213</v>
      </c>
      <c r="T21" s="15" t="s">
        <v>213</v>
      </c>
      <c r="U21" s="14">
        <v>0.01</v>
      </c>
      <c r="V21" s="15" t="s">
        <v>213</v>
      </c>
      <c r="W21" s="15" t="s">
        <v>213</v>
      </c>
      <c r="X21" s="14">
        <v>0.01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  <row r="22" spans="1:32" x14ac:dyDescent="0.25">
      <c r="A22" s="19"/>
      <c r="B22" s="11" t="s">
        <v>547</v>
      </c>
      <c r="C22" s="12">
        <v>20</v>
      </c>
      <c r="D22" s="12">
        <v>5</v>
      </c>
      <c r="E22" s="12">
        <v>0</v>
      </c>
      <c r="F22" s="12">
        <v>0</v>
      </c>
      <c r="G22" s="12">
        <v>2</v>
      </c>
      <c r="H22" s="12">
        <v>1</v>
      </c>
      <c r="I22" s="12">
        <v>1</v>
      </c>
      <c r="J22" s="12">
        <v>0</v>
      </c>
      <c r="K22" s="12">
        <v>1</v>
      </c>
      <c r="L22" s="12">
        <v>8</v>
      </c>
      <c r="M22" s="12">
        <v>0</v>
      </c>
      <c r="N22" s="12">
        <v>0</v>
      </c>
      <c r="O22" s="12">
        <v>0</v>
      </c>
      <c r="P22" s="12">
        <v>0</v>
      </c>
      <c r="Q22" s="12">
        <v>3</v>
      </c>
      <c r="R22" s="12">
        <v>1</v>
      </c>
      <c r="S22" s="12">
        <v>1</v>
      </c>
      <c r="T22" s="12">
        <v>0</v>
      </c>
      <c r="U22" s="12">
        <v>2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</row>
    <row r="23" spans="1:32" x14ac:dyDescent="0.25">
      <c r="A23" s="19"/>
      <c r="B23" s="13" t="s">
        <v>548</v>
      </c>
      <c r="C23" s="15" t="s">
        <v>213</v>
      </c>
      <c r="D23" s="14">
        <v>0.01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4">
        <v>0.01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  <row r="24" spans="1:32" x14ac:dyDescent="0.25">
      <c r="A24" s="19"/>
      <c r="B24" s="11" t="s">
        <v>549</v>
      </c>
      <c r="C24" s="12">
        <v>2670</v>
      </c>
      <c r="D24" s="12">
        <v>92</v>
      </c>
      <c r="E24" s="12">
        <v>15</v>
      </c>
      <c r="F24" s="12">
        <v>267</v>
      </c>
      <c r="G24" s="12">
        <v>119</v>
      </c>
      <c r="H24" s="12">
        <v>89</v>
      </c>
      <c r="I24" s="12">
        <v>175</v>
      </c>
      <c r="J24" s="12">
        <v>86</v>
      </c>
      <c r="K24" s="12">
        <v>176</v>
      </c>
      <c r="L24" s="12">
        <v>29</v>
      </c>
      <c r="M24" s="12">
        <v>18</v>
      </c>
      <c r="N24" s="12">
        <v>96</v>
      </c>
      <c r="O24" s="12">
        <v>181</v>
      </c>
      <c r="P24" s="12">
        <v>36</v>
      </c>
      <c r="Q24" s="12">
        <v>87</v>
      </c>
      <c r="R24" s="12">
        <v>7</v>
      </c>
      <c r="S24" s="12">
        <v>66</v>
      </c>
      <c r="T24" s="12">
        <v>9</v>
      </c>
      <c r="U24" s="12">
        <v>39</v>
      </c>
      <c r="V24" s="12">
        <v>33</v>
      </c>
      <c r="W24" s="12">
        <v>12</v>
      </c>
      <c r="X24" s="12">
        <v>168</v>
      </c>
      <c r="Y24" s="12">
        <v>47</v>
      </c>
      <c r="Z24" s="12">
        <v>31</v>
      </c>
      <c r="AA24" s="12">
        <v>20</v>
      </c>
      <c r="AB24" s="12">
        <v>8</v>
      </c>
      <c r="AC24" s="12">
        <v>131</v>
      </c>
      <c r="AD24" s="12">
        <v>100</v>
      </c>
      <c r="AE24" s="12">
        <v>132</v>
      </c>
      <c r="AF24" s="12">
        <v>176</v>
      </c>
    </row>
    <row r="25" spans="1:32" x14ac:dyDescent="0.25">
      <c r="A25" s="19"/>
      <c r="B25" s="13" t="s">
        <v>550</v>
      </c>
      <c r="C25" s="14">
        <v>0.1</v>
      </c>
      <c r="D25" s="14">
        <v>0.09</v>
      </c>
      <c r="E25" s="14">
        <v>0.01</v>
      </c>
      <c r="F25" s="14">
        <v>0.25</v>
      </c>
      <c r="G25" s="14">
        <v>0.12</v>
      </c>
      <c r="H25" s="14">
        <v>7.0000000000000007E-2</v>
      </c>
      <c r="I25" s="14">
        <v>0.12</v>
      </c>
      <c r="J25" s="14">
        <v>0.28999999999999998</v>
      </c>
      <c r="K25" s="14">
        <v>0.17</v>
      </c>
      <c r="L25" s="14">
        <v>0.03</v>
      </c>
      <c r="M25" s="14">
        <v>0.02</v>
      </c>
      <c r="N25" s="14">
        <v>0.1</v>
      </c>
      <c r="O25" s="14">
        <v>0.18</v>
      </c>
      <c r="P25" s="14">
        <v>0.04</v>
      </c>
      <c r="Q25" s="14">
        <v>0.09</v>
      </c>
      <c r="R25" s="14">
        <v>0.02</v>
      </c>
      <c r="S25" s="14">
        <v>7.0000000000000007E-2</v>
      </c>
      <c r="T25" s="14">
        <v>0.01</v>
      </c>
      <c r="U25" s="14">
        <v>0.08</v>
      </c>
      <c r="V25" s="14">
        <v>0.03</v>
      </c>
      <c r="W25" s="14">
        <v>0.02</v>
      </c>
      <c r="X25" s="14">
        <v>0.17</v>
      </c>
      <c r="Y25" s="14">
        <v>0.05</v>
      </c>
      <c r="Z25" s="14">
        <v>0.03</v>
      </c>
      <c r="AA25" s="14">
        <v>0.02</v>
      </c>
      <c r="AB25" s="14">
        <v>0.01</v>
      </c>
      <c r="AC25" s="14">
        <v>0.13</v>
      </c>
      <c r="AD25" s="14">
        <v>0.1</v>
      </c>
      <c r="AE25" s="14">
        <v>0.13</v>
      </c>
      <c r="AF25" s="14">
        <v>0.17</v>
      </c>
    </row>
    <row r="26" spans="1:32" ht="23.25" x14ac:dyDescent="0.25">
      <c r="A26" s="19"/>
      <c r="B26" s="11" t="s">
        <v>551</v>
      </c>
      <c r="C26" s="12">
        <v>4549</v>
      </c>
      <c r="D26" s="12">
        <v>238</v>
      </c>
      <c r="E26" s="12">
        <v>37</v>
      </c>
      <c r="F26" s="12">
        <v>341</v>
      </c>
      <c r="G26" s="12">
        <v>189</v>
      </c>
      <c r="H26" s="12">
        <v>307</v>
      </c>
      <c r="I26" s="12">
        <v>416</v>
      </c>
      <c r="J26" s="12">
        <v>108</v>
      </c>
      <c r="K26" s="12">
        <v>260</v>
      </c>
      <c r="L26" s="12">
        <v>121</v>
      </c>
      <c r="M26" s="12">
        <v>21</v>
      </c>
      <c r="N26" s="12">
        <v>181</v>
      </c>
      <c r="O26" s="12">
        <v>219</v>
      </c>
      <c r="P26" s="12">
        <v>37</v>
      </c>
      <c r="Q26" s="12">
        <v>54</v>
      </c>
      <c r="R26" s="12">
        <v>3</v>
      </c>
      <c r="S26" s="12">
        <v>222</v>
      </c>
      <c r="T26" s="12">
        <v>79</v>
      </c>
      <c r="U26" s="12">
        <v>70</v>
      </c>
      <c r="V26" s="12">
        <v>188</v>
      </c>
      <c r="W26" s="12">
        <v>37</v>
      </c>
      <c r="X26" s="12">
        <v>375</v>
      </c>
      <c r="Y26" s="12">
        <v>177</v>
      </c>
      <c r="Z26" s="12">
        <v>47</v>
      </c>
      <c r="AA26" s="12">
        <v>138</v>
      </c>
      <c r="AB26" s="12">
        <v>1</v>
      </c>
      <c r="AC26" s="12">
        <v>59</v>
      </c>
      <c r="AD26" s="12">
        <v>119</v>
      </c>
      <c r="AE26" s="12">
        <v>137</v>
      </c>
      <c r="AF26" s="12">
        <v>360</v>
      </c>
    </row>
    <row r="27" spans="1:32" x14ac:dyDescent="0.25">
      <c r="A27" s="19"/>
      <c r="B27" s="13" t="s">
        <v>563</v>
      </c>
      <c r="C27" s="14">
        <v>0.17</v>
      </c>
      <c r="D27" s="14">
        <v>0.23</v>
      </c>
      <c r="E27" s="14">
        <v>0.04</v>
      </c>
      <c r="F27" s="14">
        <v>0.32</v>
      </c>
      <c r="G27" s="14">
        <v>0.19</v>
      </c>
      <c r="H27" s="14">
        <v>0.25</v>
      </c>
      <c r="I27" s="14">
        <v>0.27</v>
      </c>
      <c r="J27" s="14">
        <v>0.36</v>
      </c>
      <c r="K27" s="14">
        <v>0.26</v>
      </c>
      <c r="L27" s="14">
        <v>0.12</v>
      </c>
      <c r="M27" s="14">
        <v>0.02</v>
      </c>
      <c r="N27" s="14">
        <v>0.18</v>
      </c>
      <c r="O27" s="14">
        <v>0.22</v>
      </c>
      <c r="P27" s="14">
        <v>0.04</v>
      </c>
      <c r="Q27" s="14">
        <v>0.05</v>
      </c>
      <c r="R27" s="14">
        <v>0.01</v>
      </c>
      <c r="S27" s="14">
        <v>0.22</v>
      </c>
      <c r="T27" s="14">
        <v>0.08</v>
      </c>
      <c r="U27" s="14">
        <v>0.14000000000000001</v>
      </c>
      <c r="V27" s="14">
        <v>0.18</v>
      </c>
      <c r="W27" s="14">
        <v>0.08</v>
      </c>
      <c r="X27" s="14">
        <v>0.37</v>
      </c>
      <c r="Y27" s="14">
        <v>0.18</v>
      </c>
      <c r="Z27" s="14">
        <v>0.05</v>
      </c>
      <c r="AA27" s="14">
        <v>0.13</v>
      </c>
      <c r="AB27" s="15" t="s">
        <v>213</v>
      </c>
      <c r="AC27" s="14">
        <v>0.06</v>
      </c>
      <c r="AD27" s="14">
        <v>0.12</v>
      </c>
      <c r="AE27" s="14">
        <v>0.14000000000000001</v>
      </c>
      <c r="AF27" s="14">
        <v>0.35</v>
      </c>
    </row>
    <row r="28" spans="1:32" x14ac:dyDescent="0.25">
      <c r="A28" s="19"/>
      <c r="B28" s="11" t="s">
        <v>553</v>
      </c>
      <c r="C28" s="12">
        <v>943</v>
      </c>
      <c r="D28" s="12">
        <v>58</v>
      </c>
      <c r="E28" s="12">
        <v>8</v>
      </c>
      <c r="F28" s="12">
        <v>143</v>
      </c>
      <c r="G28" s="12">
        <v>47</v>
      </c>
      <c r="H28" s="12">
        <v>51</v>
      </c>
      <c r="I28" s="12">
        <v>71</v>
      </c>
      <c r="J28" s="12">
        <v>20</v>
      </c>
      <c r="K28" s="12">
        <v>124</v>
      </c>
      <c r="L28" s="12">
        <v>25</v>
      </c>
      <c r="M28" s="12">
        <v>4</v>
      </c>
      <c r="N28" s="12">
        <v>25</v>
      </c>
      <c r="O28" s="12">
        <v>33</v>
      </c>
      <c r="P28" s="12">
        <v>9</v>
      </c>
      <c r="Q28" s="12">
        <v>19</v>
      </c>
      <c r="R28" s="12">
        <v>6</v>
      </c>
      <c r="S28" s="12">
        <v>86</v>
      </c>
      <c r="T28" s="12">
        <v>24</v>
      </c>
      <c r="U28" s="12">
        <v>24</v>
      </c>
      <c r="V28" s="12">
        <v>14</v>
      </c>
      <c r="W28" s="12">
        <v>11</v>
      </c>
      <c r="X28" s="12">
        <v>90</v>
      </c>
      <c r="Y28" s="12">
        <v>38</v>
      </c>
      <c r="Z28" s="12">
        <v>20</v>
      </c>
      <c r="AA28" s="12">
        <v>38</v>
      </c>
      <c r="AB28" s="12">
        <v>6</v>
      </c>
      <c r="AC28" s="12">
        <v>39</v>
      </c>
      <c r="AD28" s="12">
        <v>11</v>
      </c>
      <c r="AE28" s="12">
        <v>50</v>
      </c>
      <c r="AF28" s="12">
        <v>81</v>
      </c>
    </row>
    <row r="29" spans="1:32" x14ac:dyDescent="0.25">
      <c r="A29" s="19"/>
      <c r="B29" s="13" t="s">
        <v>554</v>
      </c>
      <c r="C29" s="14">
        <v>0.04</v>
      </c>
      <c r="D29" s="14">
        <v>0.06</v>
      </c>
      <c r="E29" s="14">
        <v>0.01</v>
      </c>
      <c r="F29" s="14">
        <v>0.13</v>
      </c>
      <c r="G29" s="14">
        <v>0.05</v>
      </c>
      <c r="H29" s="14">
        <v>0.04</v>
      </c>
      <c r="I29" s="14">
        <v>0.05</v>
      </c>
      <c r="J29" s="14">
        <v>7.0000000000000007E-2</v>
      </c>
      <c r="K29" s="14">
        <v>0.12</v>
      </c>
      <c r="L29" s="14">
        <v>0.02</v>
      </c>
      <c r="M29" s="15" t="s">
        <v>213</v>
      </c>
      <c r="N29" s="14">
        <v>0.02</v>
      </c>
      <c r="O29" s="14">
        <v>0.03</v>
      </c>
      <c r="P29" s="14">
        <v>0.01</v>
      </c>
      <c r="Q29" s="14">
        <v>0.02</v>
      </c>
      <c r="R29" s="14">
        <v>0.01</v>
      </c>
      <c r="S29" s="14">
        <v>0.08</v>
      </c>
      <c r="T29" s="14">
        <v>0.02</v>
      </c>
      <c r="U29" s="14">
        <v>0.05</v>
      </c>
      <c r="V29" s="14">
        <v>0.01</v>
      </c>
      <c r="W29" s="14">
        <v>0.02</v>
      </c>
      <c r="X29" s="14">
        <v>0.09</v>
      </c>
      <c r="Y29" s="14">
        <v>0.04</v>
      </c>
      <c r="Z29" s="14">
        <v>0.02</v>
      </c>
      <c r="AA29" s="14">
        <v>0.04</v>
      </c>
      <c r="AB29" s="14">
        <v>0.01</v>
      </c>
      <c r="AC29" s="14">
        <v>0.04</v>
      </c>
      <c r="AD29" s="14">
        <v>0.01</v>
      </c>
      <c r="AE29" s="14">
        <v>0.05</v>
      </c>
      <c r="AF29" s="14">
        <v>0.08</v>
      </c>
    </row>
    <row r="30" spans="1:32" x14ac:dyDescent="0.25">
      <c r="A30" s="19"/>
      <c r="B30" s="11" t="s">
        <v>555</v>
      </c>
      <c r="C30" s="12">
        <v>99</v>
      </c>
      <c r="D30" s="12">
        <v>3</v>
      </c>
      <c r="E30" s="12">
        <v>1</v>
      </c>
      <c r="F30" s="12">
        <v>9</v>
      </c>
      <c r="G30" s="12">
        <v>1</v>
      </c>
      <c r="H30" s="12">
        <v>0</v>
      </c>
      <c r="I30" s="12">
        <v>0</v>
      </c>
      <c r="J30" s="12">
        <v>0</v>
      </c>
      <c r="K30" s="12">
        <v>16</v>
      </c>
      <c r="L30" s="12">
        <v>6</v>
      </c>
      <c r="M30" s="12">
        <v>2</v>
      </c>
      <c r="N30" s="12">
        <v>1</v>
      </c>
      <c r="O30" s="12">
        <v>13</v>
      </c>
      <c r="P30" s="12">
        <v>4</v>
      </c>
      <c r="Q30" s="12">
        <v>2</v>
      </c>
      <c r="R30" s="12">
        <v>0</v>
      </c>
      <c r="S30" s="12">
        <v>7</v>
      </c>
      <c r="T30" s="12">
        <v>0</v>
      </c>
      <c r="U30" s="12">
        <v>0</v>
      </c>
      <c r="V30" s="12">
        <v>13</v>
      </c>
      <c r="W30" s="12">
        <v>0</v>
      </c>
      <c r="X30" s="12">
        <v>1</v>
      </c>
      <c r="Y30" s="12">
        <v>13</v>
      </c>
      <c r="Z30" s="12">
        <v>1</v>
      </c>
      <c r="AA30" s="12">
        <v>1</v>
      </c>
      <c r="AB30" s="12">
        <v>0</v>
      </c>
      <c r="AC30" s="12">
        <v>5</v>
      </c>
      <c r="AD30" s="12">
        <v>9</v>
      </c>
      <c r="AE30" s="12">
        <v>2</v>
      </c>
      <c r="AF30" s="12">
        <v>2</v>
      </c>
    </row>
    <row r="31" spans="1:32" x14ac:dyDescent="0.25">
      <c r="A31" s="19"/>
      <c r="B31" s="13" t="s">
        <v>556</v>
      </c>
      <c r="C31" s="15" t="s">
        <v>213</v>
      </c>
      <c r="D31" s="15" t="s">
        <v>213</v>
      </c>
      <c r="E31" s="15" t="s">
        <v>213</v>
      </c>
      <c r="F31" s="14">
        <v>0.01</v>
      </c>
      <c r="G31" s="15" t="s">
        <v>213</v>
      </c>
      <c r="H31" s="15" t="s">
        <v>213</v>
      </c>
      <c r="I31" s="15" t="s">
        <v>213</v>
      </c>
      <c r="J31" s="15" t="s">
        <v>213</v>
      </c>
      <c r="K31" s="14">
        <v>0.02</v>
      </c>
      <c r="L31" s="15" t="s">
        <v>213</v>
      </c>
      <c r="M31" s="15" t="s">
        <v>213</v>
      </c>
      <c r="N31" s="15" t="s">
        <v>213</v>
      </c>
      <c r="O31" s="14">
        <v>0.01</v>
      </c>
      <c r="P31" s="15" t="s">
        <v>213</v>
      </c>
      <c r="Q31" s="15" t="s">
        <v>213</v>
      </c>
      <c r="R31" s="15" t="s">
        <v>213</v>
      </c>
      <c r="S31" s="14">
        <v>0.01</v>
      </c>
      <c r="T31" s="15" t="s">
        <v>213</v>
      </c>
      <c r="U31" s="15" t="s">
        <v>213</v>
      </c>
      <c r="V31" s="14">
        <v>0.01</v>
      </c>
      <c r="W31" s="15" t="s">
        <v>213</v>
      </c>
      <c r="X31" s="15" t="s">
        <v>213</v>
      </c>
      <c r="Y31" s="14">
        <v>0.01</v>
      </c>
      <c r="Z31" s="15" t="s">
        <v>213</v>
      </c>
      <c r="AA31" s="15" t="s">
        <v>213</v>
      </c>
      <c r="AB31" s="15" t="s">
        <v>213</v>
      </c>
      <c r="AC31" s="15" t="s">
        <v>213</v>
      </c>
      <c r="AD31" s="14">
        <v>0.01</v>
      </c>
      <c r="AE31" s="15" t="s">
        <v>213</v>
      </c>
      <c r="AF31" s="15" t="s">
        <v>213</v>
      </c>
    </row>
    <row r="32" spans="1:32" x14ac:dyDescent="0.25">
      <c r="A32" s="19"/>
      <c r="B32" s="11" t="s">
        <v>224</v>
      </c>
      <c r="C32" s="12">
        <v>53</v>
      </c>
      <c r="D32" s="12">
        <v>1</v>
      </c>
      <c r="E32" s="12">
        <v>2</v>
      </c>
      <c r="F32" s="12">
        <v>27</v>
      </c>
      <c r="G32" s="12">
        <v>2</v>
      </c>
      <c r="H32" s="12">
        <v>2</v>
      </c>
      <c r="I32" s="12">
        <v>3</v>
      </c>
      <c r="J32" s="12">
        <v>1</v>
      </c>
      <c r="K32" s="12">
        <v>19</v>
      </c>
      <c r="L32" s="12">
        <v>1</v>
      </c>
      <c r="M32" s="12">
        <v>1</v>
      </c>
      <c r="N32" s="12">
        <v>0</v>
      </c>
      <c r="O32" s="12">
        <v>2</v>
      </c>
      <c r="P32" s="12">
        <v>2</v>
      </c>
      <c r="Q32" s="12">
        <v>0</v>
      </c>
      <c r="R32" s="12">
        <v>2</v>
      </c>
      <c r="S32" s="12">
        <v>10</v>
      </c>
      <c r="T32" s="12">
        <v>2</v>
      </c>
      <c r="U32" s="12">
        <v>0</v>
      </c>
      <c r="V32" s="12">
        <v>0</v>
      </c>
      <c r="W32" s="12">
        <v>0</v>
      </c>
      <c r="X32" s="12">
        <v>4</v>
      </c>
      <c r="Y32" s="12">
        <v>1</v>
      </c>
      <c r="Z32" s="12">
        <v>1</v>
      </c>
      <c r="AA32" s="12">
        <v>1</v>
      </c>
      <c r="AB32" s="12">
        <v>0</v>
      </c>
      <c r="AC32" s="12">
        <v>1</v>
      </c>
      <c r="AD32" s="12">
        <v>2</v>
      </c>
      <c r="AE32" s="12">
        <v>6</v>
      </c>
      <c r="AF32" s="12">
        <v>8</v>
      </c>
    </row>
    <row r="33" spans="1:32" x14ac:dyDescent="0.25">
      <c r="A33" s="19"/>
      <c r="B33" s="13" t="s">
        <v>237</v>
      </c>
      <c r="C33" s="15" t="s">
        <v>213</v>
      </c>
      <c r="D33" s="15" t="s">
        <v>213</v>
      </c>
      <c r="E33" s="15" t="s">
        <v>213</v>
      </c>
      <c r="F33" s="14">
        <v>0.03</v>
      </c>
      <c r="G33" s="15" t="s">
        <v>213</v>
      </c>
      <c r="H33" s="15" t="s">
        <v>213</v>
      </c>
      <c r="I33" s="15" t="s">
        <v>213</v>
      </c>
      <c r="J33" s="15" t="s">
        <v>213</v>
      </c>
      <c r="K33" s="14">
        <v>0.02</v>
      </c>
      <c r="L33" s="15" t="s">
        <v>213</v>
      </c>
      <c r="M33" s="15" t="s">
        <v>213</v>
      </c>
      <c r="N33" s="15" t="s">
        <v>213</v>
      </c>
      <c r="O33" s="15" t="s">
        <v>213</v>
      </c>
      <c r="P33" s="15" t="s">
        <v>213</v>
      </c>
      <c r="Q33" s="15" t="s">
        <v>213</v>
      </c>
      <c r="R33" s="15" t="s">
        <v>213</v>
      </c>
      <c r="S33" s="14">
        <v>0.01</v>
      </c>
      <c r="T33" s="15" t="s">
        <v>213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5" t="s">
        <v>213</v>
      </c>
      <c r="Z33" s="15" t="s">
        <v>213</v>
      </c>
      <c r="AA33" s="15" t="s">
        <v>213</v>
      </c>
      <c r="AB33" s="15" t="s">
        <v>213</v>
      </c>
      <c r="AC33" s="15" t="s">
        <v>213</v>
      </c>
      <c r="AD33" s="15" t="s">
        <v>213</v>
      </c>
      <c r="AE33" s="14">
        <v>0.01</v>
      </c>
      <c r="AF33" s="14">
        <v>0.01</v>
      </c>
    </row>
  </sheetData>
  <mergeCells count="9">
    <mergeCell ref="B4:F4"/>
    <mergeCell ref="H3:L3"/>
    <mergeCell ref="C8:AF8"/>
    <mergeCell ref="A10:A33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2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99</v>
      </c>
      <c r="C3" s="18"/>
      <c r="D3" s="18"/>
      <c r="E3" s="18"/>
      <c r="F3" s="18"/>
      <c r="H3" s="18" t="s">
        <v>100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564</v>
      </c>
      <c r="C12" s="12">
        <v>3274</v>
      </c>
      <c r="D12" s="12">
        <v>143</v>
      </c>
      <c r="E12" s="12">
        <v>112</v>
      </c>
      <c r="F12" s="12">
        <v>129</v>
      </c>
      <c r="G12" s="12">
        <v>132</v>
      </c>
      <c r="H12" s="12">
        <v>146</v>
      </c>
      <c r="I12" s="12">
        <v>177</v>
      </c>
      <c r="J12" s="12">
        <v>31</v>
      </c>
      <c r="K12" s="12">
        <v>124</v>
      </c>
      <c r="L12" s="12">
        <v>157</v>
      </c>
      <c r="M12" s="12">
        <v>120</v>
      </c>
      <c r="N12" s="12">
        <v>126</v>
      </c>
      <c r="O12" s="12">
        <v>145</v>
      </c>
      <c r="P12" s="12">
        <v>119</v>
      </c>
      <c r="Q12" s="12">
        <v>117</v>
      </c>
      <c r="R12" s="12">
        <v>61</v>
      </c>
      <c r="S12" s="12">
        <v>120</v>
      </c>
      <c r="T12" s="12">
        <v>114</v>
      </c>
      <c r="U12" s="12">
        <v>67</v>
      </c>
      <c r="V12" s="12">
        <v>126</v>
      </c>
      <c r="W12" s="12">
        <v>55</v>
      </c>
      <c r="X12" s="12">
        <v>146</v>
      </c>
      <c r="Y12" s="12">
        <v>122</v>
      </c>
      <c r="Z12" s="12">
        <v>117</v>
      </c>
      <c r="AA12" s="12">
        <v>123</v>
      </c>
      <c r="AB12" s="12">
        <v>135</v>
      </c>
      <c r="AC12" s="12">
        <v>115</v>
      </c>
      <c r="AD12" s="12">
        <v>117</v>
      </c>
      <c r="AE12" s="12">
        <v>131</v>
      </c>
      <c r="AF12" s="12">
        <v>93</v>
      </c>
    </row>
    <row r="13" spans="1:32" x14ac:dyDescent="0.25">
      <c r="A13" s="19"/>
      <c r="B13" s="13" t="s">
        <v>564</v>
      </c>
      <c r="C13" s="14">
        <v>0.12</v>
      </c>
      <c r="D13" s="14">
        <v>0.14000000000000001</v>
      </c>
      <c r="E13" s="14">
        <v>0.11</v>
      </c>
      <c r="F13" s="14">
        <v>0.12</v>
      </c>
      <c r="G13" s="14">
        <v>0.13</v>
      </c>
      <c r="H13" s="14">
        <v>0.12</v>
      </c>
      <c r="I13" s="14">
        <v>0.12</v>
      </c>
      <c r="J13" s="14">
        <v>0.11</v>
      </c>
      <c r="K13" s="14">
        <v>0.12</v>
      </c>
      <c r="L13" s="14">
        <v>0.16</v>
      </c>
      <c r="M13" s="14">
        <v>0.12</v>
      </c>
      <c r="N13" s="14">
        <v>0.12</v>
      </c>
      <c r="O13" s="14">
        <v>0.14000000000000001</v>
      </c>
      <c r="P13" s="14">
        <v>0.12</v>
      </c>
      <c r="Q13" s="14">
        <v>0.11</v>
      </c>
      <c r="R13" s="14">
        <v>0.12</v>
      </c>
      <c r="S13" s="14">
        <v>0.12</v>
      </c>
      <c r="T13" s="14">
        <v>0.11</v>
      </c>
      <c r="U13" s="14">
        <v>0.13</v>
      </c>
      <c r="V13" s="14">
        <v>0.12</v>
      </c>
      <c r="W13" s="14">
        <v>0.11</v>
      </c>
      <c r="X13" s="14">
        <v>0.15</v>
      </c>
      <c r="Y13" s="14">
        <v>0.12</v>
      </c>
      <c r="Z13" s="14">
        <v>0.12</v>
      </c>
      <c r="AA13" s="14">
        <v>0.12</v>
      </c>
      <c r="AB13" s="14">
        <v>0.13</v>
      </c>
      <c r="AC13" s="14">
        <v>0.11</v>
      </c>
      <c r="AD13" s="14">
        <v>0.12</v>
      </c>
      <c r="AE13" s="14">
        <v>0.13</v>
      </c>
      <c r="AF13" s="14">
        <v>0.09</v>
      </c>
    </row>
    <row r="14" spans="1:32" x14ac:dyDescent="0.25">
      <c r="A14" s="19"/>
      <c r="B14" s="11" t="s">
        <v>565</v>
      </c>
      <c r="C14" s="12">
        <v>5677</v>
      </c>
      <c r="D14" s="12">
        <v>237</v>
      </c>
      <c r="E14" s="12">
        <v>201</v>
      </c>
      <c r="F14" s="12">
        <v>232</v>
      </c>
      <c r="G14" s="12">
        <v>236</v>
      </c>
      <c r="H14" s="12">
        <v>276</v>
      </c>
      <c r="I14" s="12">
        <v>337</v>
      </c>
      <c r="J14" s="12">
        <v>61</v>
      </c>
      <c r="K14" s="12">
        <v>238</v>
      </c>
      <c r="L14" s="12">
        <v>241</v>
      </c>
      <c r="M14" s="12">
        <v>189</v>
      </c>
      <c r="N14" s="12">
        <v>204</v>
      </c>
      <c r="O14" s="12">
        <v>216</v>
      </c>
      <c r="P14" s="12">
        <v>212</v>
      </c>
      <c r="Q14" s="12">
        <v>191</v>
      </c>
      <c r="R14" s="12">
        <v>139</v>
      </c>
      <c r="S14" s="12">
        <v>221</v>
      </c>
      <c r="T14" s="12">
        <v>242</v>
      </c>
      <c r="U14" s="12">
        <v>143</v>
      </c>
      <c r="V14" s="12">
        <v>225</v>
      </c>
      <c r="W14" s="12">
        <v>162</v>
      </c>
      <c r="X14" s="12">
        <v>233</v>
      </c>
      <c r="Y14" s="12">
        <v>237</v>
      </c>
      <c r="Z14" s="12">
        <v>241</v>
      </c>
      <c r="AA14" s="12">
        <v>200</v>
      </c>
      <c r="AB14" s="12">
        <v>222</v>
      </c>
      <c r="AC14" s="12">
        <v>210</v>
      </c>
      <c r="AD14" s="12">
        <v>240</v>
      </c>
      <c r="AE14" s="12">
        <v>229</v>
      </c>
      <c r="AF14" s="12">
        <v>251</v>
      </c>
    </row>
    <row r="15" spans="1:32" x14ac:dyDescent="0.25">
      <c r="A15" s="19"/>
      <c r="B15" s="13" t="s">
        <v>565</v>
      </c>
      <c r="C15" s="14">
        <v>0.21</v>
      </c>
      <c r="D15" s="14">
        <v>0.23</v>
      </c>
      <c r="E15" s="14">
        <v>0.19</v>
      </c>
      <c r="F15" s="14">
        <v>0.22</v>
      </c>
      <c r="G15" s="14">
        <v>0.23</v>
      </c>
      <c r="H15" s="14">
        <v>0.22</v>
      </c>
      <c r="I15" s="14">
        <v>0.22</v>
      </c>
      <c r="J15" s="14">
        <v>0.2</v>
      </c>
      <c r="K15" s="14">
        <v>0.24</v>
      </c>
      <c r="L15" s="14">
        <v>0.24</v>
      </c>
      <c r="M15" s="14">
        <v>0.19</v>
      </c>
      <c r="N15" s="14">
        <v>0.2</v>
      </c>
      <c r="O15" s="14">
        <v>0.22</v>
      </c>
      <c r="P15" s="14">
        <v>0.21</v>
      </c>
      <c r="Q15" s="14">
        <v>0.19</v>
      </c>
      <c r="R15" s="14">
        <v>0.28000000000000003</v>
      </c>
      <c r="S15" s="14">
        <v>0.22</v>
      </c>
      <c r="T15" s="14">
        <v>0.24</v>
      </c>
      <c r="U15" s="14">
        <v>0.28000000000000003</v>
      </c>
      <c r="V15" s="14">
        <v>0.22</v>
      </c>
      <c r="W15" s="14">
        <v>0.32</v>
      </c>
      <c r="X15" s="14">
        <v>0.23</v>
      </c>
      <c r="Y15" s="14">
        <v>0.24</v>
      </c>
      <c r="Z15" s="14">
        <v>0.24</v>
      </c>
      <c r="AA15" s="14">
        <v>0.19</v>
      </c>
      <c r="AB15" s="14">
        <v>0.21</v>
      </c>
      <c r="AC15" s="14">
        <v>0.21</v>
      </c>
      <c r="AD15" s="14">
        <v>0.24</v>
      </c>
      <c r="AE15" s="14">
        <v>0.23</v>
      </c>
      <c r="AF15" s="14">
        <v>0.24</v>
      </c>
    </row>
    <row r="16" spans="1:32" x14ac:dyDescent="0.25">
      <c r="A16" s="19"/>
      <c r="B16" s="11" t="s">
        <v>566</v>
      </c>
      <c r="C16" s="12">
        <v>6482</v>
      </c>
      <c r="D16" s="12">
        <v>237</v>
      </c>
      <c r="E16" s="12">
        <v>273</v>
      </c>
      <c r="F16" s="12">
        <v>294</v>
      </c>
      <c r="G16" s="12">
        <v>226</v>
      </c>
      <c r="H16" s="12">
        <v>272</v>
      </c>
      <c r="I16" s="12">
        <v>337</v>
      </c>
      <c r="J16" s="12">
        <v>65</v>
      </c>
      <c r="K16" s="12">
        <v>249</v>
      </c>
      <c r="L16" s="12">
        <v>275</v>
      </c>
      <c r="M16" s="12">
        <v>263</v>
      </c>
      <c r="N16" s="12">
        <v>278</v>
      </c>
      <c r="O16" s="12">
        <v>231</v>
      </c>
      <c r="P16" s="12">
        <v>238</v>
      </c>
      <c r="Q16" s="12">
        <v>255</v>
      </c>
      <c r="R16" s="12">
        <v>125</v>
      </c>
      <c r="S16" s="12">
        <v>244</v>
      </c>
      <c r="T16" s="12">
        <v>246</v>
      </c>
      <c r="U16" s="12">
        <v>131</v>
      </c>
      <c r="V16" s="12">
        <v>282</v>
      </c>
      <c r="W16" s="12">
        <v>119</v>
      </c>
      <c r="X16" s="12">
        <v>223</v>
      </c>
      <c r="Y16" s="12">
        <v>237</v>
      </c>
      <c r="Z16" s="12">
        <v>268</v>
      </c>
      <c r="AA16" s="12">
        <v>260</v>
      </c>
      <c r="AB16" s="12">
        <v>281</v>
      </c>
      <c r="AC16" s="12">
        <v>259</v>
      </c>
      <c r="AD16" s="12">
        <v>277</v>
      </c>
      <c r="AE16" s="12">
        <v>216</v>
      </c>
      <c r="AF16" s="12">
        <v>247</v>
      </c>
    </row>
    <row r="17" spans="1:32" x14ac:dyDescent="0.25">
      <c r="A17" s="19"/>
      <c r="B17" s="13" t="s">
        <v>566</v>
      </c>
      <c r="C17" s="14">
        <v>0.25</v>
      </c>
      <c r="D17" s="14">
        <v>0.23</v>
      </c>
      <c r="E17" s="14">
        <v>0.26</v>
      </c>
      <c r="F17" s="14">
        <v>0.28000000000000003</v>
      </c>
      <c r="G17" s="14">
        <v>0.22</v>
      </c>
      <c r="H17" s="14">
        <v>0.22</v>
      </c>
      <c r="I17" s="14">
        <v>0.22</v>
      </c>
      <c r="J17" s="14">
        <v>0.22</v>
      </c>
      <c r="K17" s="14">
        <v>0.25</v>
      </c>
      <c r="L17" s="14">
        <v>0.27</v>
      </c>
      <c r="M17" s="14">
        <v>0.26</v>
      </c>
      <c r="N17" s="14">
        <v>0.28000000000000003</v>
      </c>
      <c r="O17" s="14">
        <v>0.23</v>
      </c>
      <c r="P17" s="14">
        <v>0.24</v>
      </c>
      <c r="Q17" s="14">
        <v>0.25</v>
      </c>
      <c r="R17" s="14">
        <v>0.25</v>
      </c>
      <c r="S17" s="14">
        <v>0.24</v>
      </c>
      <c r="T17" s="14">
        <v>0.24</v>
      </c>
      <c r="U17" s="14">
        <v>0.26</v>
      </c>
      <c r="V17" s="14">
        <v>0.28000000000000003</v>
      </c>
      <c r="W17" s="14">
        <v>0.24</v>
      </c>
      <c r="X17" s="14">
        <v>0.22</v>
      </c>
      <c r="Y17" s="14">
        <v>0.24</v>
      </c>
      <c r="Z17" s="14">
        <v>0.26</v>
      </c>
      <c r="AA17" s="14">
        <v>0.25</v>
      </c>
      <c r="AB17" s="14">
        <v>0.27</v>
      </c>
      <c r="AC17" s="14">
        <v>0.26</v>
      </c>
      <c r="AD17" s="14">
        <v>0.27</v>
      </c>
      <c r="AE17" s="14">
        <v>0.22</v>
      </c>
      <c r="AF17" s="14">
        <v>0.24</v>
      </c>
    </row>
    <row r="18" spans="1:32" x14ac:dyDescent="0.25">
      <c r="A18" s="19"/>
      <c r="B18" s="11" t="s">
        <v>567</v>
      </c>
      <c r="C18" s="12">
        <v>11021</v>
      </c>
      <c r="D18" s="12">
        <v>404</v>
      </c>
      <c r="E18" s="12">
        <v>460</v>
      </c>
      <c r="F18" s="12">
        <v>409</v>
      </c>
      <c r="G18" s="12">
        <v>422</v>
      </c>
      <c r="H18" s="12">
        <v>535</v>
      </c>
      <c r="I18" s="12">
        <v>676</v>
      </c>
      <c r="J18" s="12">
        <v>140</v>
      </c>
      <c r="K18" s="12">
        <v>394</v>
      </c>
      <c r="L18" s="12">
        <v>334</v>
      </c>
      <c r="M18" s="12">
        <v>435</v>
      </c>
      <c r="N18" s="12">
        <v>403</v>
      </c>
      <c r="O18" s="12">
        <v>413</v>
      </c>
      <c r="P18" s="12">
        <v>435</v>
      </c>
      <c r="Q18" s="12">
        <v>468</v>
      </c>
      <c r="R18" s="12">
        <v>177</v>
      </c>
      <c r="S18" s="12">
        <v>419</v>
      </c>
      <c r="T18" s="12">
        <v>420</v>
      </c>
      <c r="U18" s="12">
        <v>167</v>
      </c>
      <c r="V18" s="12">
        <v>394</v>
      </c>
      <c r="W18" s="12">
        <v>166</v>
      </c>
      <c r="X18" s="12">
        <v>407</v>
      </c>
      <c r="Y18" s="12">
        <v>407</v>
      </c>
      <c r="Z18" s="12">
        <v>390</v>
      </c>
      <c r="AA18" s="12">
        <v>453</v>
      </c>
      <c r="AB18" s="12">
        <v>403</v>
      </c>
      <c r="AC18" s="12">
        <v>422</v>
      </c>
      <c r="AD18" s="12">
        <v>369</v>
      </c>
      <c r="AE18" s="12">
        <v>425</v>
      </c>
      <c r="AF18" s="12">
        <v>439</v>
      </c>
    </row>
    <row r="19" spans="1:32" x14ac:dyDescent="0.25">
      <c r="A19" s="19"/>
      <c r="B19" s="13" t="s">
        <v>567</v>
      </c>
      <c r="C19" s="14">
        <v>0.42</v>
      </c>
      <c r="D19" s="14">
        <v>0.4</v>
      </c>
      <c r="E19" s="14">
        <v>0.44</v>
      </c>
      <c r="F19" s="14">
        <v>0.38</v>
      </c>
      <c r="G19" s="14">
        <v>0.42</v>
      </c>
      <c r="H19" s="14">
        <v>0.44</v>
      </c>
      <c r="I19" s="14">
        <v>0.44</v>
      </c>
      <c r="J19" s="14">
        <v>0.47</v>
      </c>
      <c r="K19" s="14">
        <v>0.39</v>
      </c>
      <c r="L19" s="14">
        <v>0.33</v>
      </c>
      <c r="M19" s="14">
        <v>0.43</v>
      </c>
      <c r="N19" s="14">
        <v>0.4</v>
      </c>
      <c r="O19" s="14">
        <v>0.41</v>
      </c>
      <c r="P19" s="14">
        <v>0.43</v>
      </c>
      <c r="Q19" s="14">
        <v>0.45</v>
      </c>
      <c r="R19" s="14">
        <v>0.35</v>
      </c>
      <c r="S19" s="14">
        <v>0.42</v>
      </c>
      <c r="T19" s="14">
        <v>0.41</v>
      </c>
      <c r="U19" s="14">
        <v>0.33</v>
      </c>
      <c r="V19" s="14">
        <v>0.38</v>
      </c>
      <c r="W19" s="14">
        <v>0.33</v>
      </c>
      <c r="X19" s="14">
        <v>0.4</v>
      </c>
      <c r="Y19" s="14">
        <v>0.4</v>
      </c>
      <c r="Z19" s="14">
        <v>0.38</v>
      </c>
      <c r="AA19" s="14">
        <v>0.44</v>
      </c>
      <c r="AB19" s="14">
        <v>0.39</v>
      </c>
      <c r="AC19" s="14">
        <v>0.42</v>
      </c>
      <c r="AD19" s="14">
        <v>0.37</v>
      </c>
      <c r="AE19" s="14">
        <v>0.42</v>
      </c>
      <c r="AF19" s="14">
        <v>0.43</v>
      </c>
    </row>
    <row r="20" spans="1:32" x14ac:dyDescent="0.25">
      <c r="A20" s="19"/>
      <c r="B20" s="11" t="s">
        <v>568</v>
      </c>
      <c r="C20" s="12">
        <v>49.28</v>
      </c>
      <c r="D20" s="12">
        <v>48.14</v>
      </c>
      <c r="E20" s="12">
        <v>50.38</v>
      </c>
      <c r="F20" s="12">
        <v>48.4</v>
      </c>
      <c r="G20" s="12">
        <v>49.8</v>
      </c>
      <c r="H20" s="12">
        <v>49.71</v>
      </c>
      <c r="I20" s="12">
        <v>50.02</v>
      </c>
      <c r="J20" s="12">
        <v>51.33</v>
      </c>
      <c r="K20" s="12">
        <v>48.27</v>
      </c>
      <c r="L20" s="12">
        <v>46.22</v>
      </c>
      <c r="M20" s="12">
        <v>49.95</v>
      </c>
      <c r="N20" s="12">
        <v>49.13</v>
      </c>
      <c r="O20" s="12">
        <v>48.7</v>
      </c>
      <c r="P20" s="12">
        <v>49.15</v>
      </c>
      <c r="Q20" s="12">
        <v>50.48</v>
      </c>
      <c r="R20" s="12">
        <v>47.02</v>
      </c>
      <c r="S20" s="12">
        <v>49.48</v>
      </c>
      <c r="T20" s="12">
        <v>49.44</v>
      </c>
      <c r="U20" s="12">
        <v>45.97</v>
      </c>
      <c r="V20" s="12">
        <v>48.71</v>
      </c>
      <c r="W20" s="12">
        <v>46.61</v>
      </c>
      <c r="X20" s="12">
        <v>48.01</v>
      </c>
      <c r="Y20" s="12">
        <v>48.68</v>
      </c>
      <c r="Z20" s="12">
        <v>48.44</v>
      </c>
      <c r="AA20" s="12">
        <v>50.56</v>
      </c>
      <c r="AB20" s="12">
        <v>48.06</v>
      </c>
      <c r="AC20" s="12">
        <v>49.66</v>
      </c>
      <c r="AD20" s="12">
        <v>47.62</v>
      </c>
      <c r="AE20" s="12">
        <v>49.53</v>
      </c>
      <c r="AF20" s="12">
        <v>51.18</v>
      </c>
    </row>
    <row r="21" spans="1:32" x14ac:dyDescent="0.25">
      <c r="A21" s="19"/>
      <c r="B21" s="13" t="s">
        <v>569</v>
      </c>
      <c r="C21" s="15" t="s">
        <v>213</v>
      </c>
      <c r="D21" s="15" t="s">
        <v>213</v>
      </c>
      <c r="E21" s="15" t="s">
        <v>213</v>
      </c>
      <c r="F21" s="15" t="s">
        <v>213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5" t="s">
        <v>213</v>
      </c>
      <c r="T21" s="15" t="s">
        <v>213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2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101</v>
      </c>
      <c r="C3" s="18"/>
      <c r="D3" s="18"/>
      <c r="E3" s="18"/>
      <c r="F3" s="18"/>
      <c r="H3" s="18" t="s">
        <v>102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564</v>
      </c>
      <c r="C12" s="12">
        <v>3274</v>
      </c>
      <c r="D12" s="12">
        <v>143</v>
      </c>
      <c r="E12" s="12">
        <v>112</v>
      </c>
      <c r="F12" s="12">
        <v>129</v>
      </c>
      <c r="G12" s="12">
        <v>132</v>
      </c>
      <c r="H12" s="12">
        <v>146</v>
      </c>
      <c r="I12" s="12">
        <v>177</v>
      </c>
      <c r="J12" s="12">
        <v>31</v>
      </c>
      <c r="K12" s="12">
        <v>124</v>
      </c>
      <c r="L12" s="12">
        <v>157</v>
      </c>
      <c r="M12" s="12">
        <v>120</v>
      </c>
      <c r="N12" s="12">
        <v>126</v>
      </c>
      <c r="O12" s="12">
        <v>145</v>
      </c>
      <c r="P12" s="12">
        <v>119</v>
      </c>
      <c r="Q12" s="12">
        <v>117</v>
      </c>
      <c r="R12" s="12">
        <v>61</v>
      </c>
      <c r="S12" s="12">
        <v>120</v>
      </c>
      <c r="T12" s="12">
        <v>114</v>
      </c>
      <c r="U12" s="12">
        <v>67</v>
      </c>
      <c r="V12" s="12">
        <v>126</v>
      </c>
      <c r="W12" s="12">
        <v>55</v>
      </c>
      <c r="X12" s="12">
        <v>146</v>
      </c>
      <c r="Y12" s="12">
        <v>122</v>
      </c>
      <c r="Z12" s="12">
        <v>117</v>
      </c>
      <c r="AA12" s="12">
        <v>123</v>
      </c>
      <c r="AB12" s="12">
        <v>135</v>
      </c>
      <c r="AC12" s="12">
        <v>115</v>
      </c>
      <c r="AD12" s="12">
        <v>117</v>
      </c>
      <c r="AE12" s="12">
        <v>131</v>
      </c>
      <c r="AF12" s="12">
        <v>93</v>
      </c>
    </row>
    <row r="13" spans="1:32" x14ac:dyDescent="0.25">
      <c r="A13" s="19"/>
      <c r="B13" s="13" t="s">
        <v>564</v>
      </c>
      <c r="C13" s="14">
        <v>0.12</v>
      </c>
      <c r="D13" s="14">
        <v>0.14000000000000001</v>
      </c>
      <c r="E13" s="14">
        <v>0.11</v>
      </c>
      <c r="F13" s="14">
        <v>0.12</v>
      </c>
      <c r="G13" s="14">
        <v>0.13</v>
      </c>
      <c r="H13" s="14">
        <v>0.12</v>
      </c>
      <c r="I13" s="14">
        <v>0.12</v>
      </c>
      <c r="J13" s="14">
        <v>0.1</v>
      </c>
      <c r="K13" s="14">
        <v>0.12</v>
      </c>
      <c r="L13" s="14">
        <v>0.16</v>
      </c>
      <c r="M13" s="14">
        <v>0.12</v>
      </c>
      <c r="N13" s="14">
        <v>0.13</v>
      </c>
      <c r="O13" s="14">
        <v>0.14000000000000001</v>
      </c>
      <c r="P13" s="14">
        <v>0.12</v>
      </c>
      <c r="Q13" s="14">
        <v>0.11</v>
      </c>
      <c r="R13" s="14">
        <v>0.12</v>
      </c>
      <c r="S13" s="14">
        <v>0.12</v>
      </c>
      <c r="T13" s="14">
        <v>0.11</v>
      </c>
      <c r="U13" s="14">
        <v>0.13</v>
      </c>
      <c r="V13" s="14">
        <v>0.12</v>
      </c>
      <c r="W13" s="14">
        <v>0.11</v>
      </c>
      <c r="X13" s="14">
        <v>0.14000000000000001</v>
      </c>
      <c r="Y13" s="14">
        <v>0.12</v>
      </c>
      <c r="Z13" s="14">
        <v>0.12</v>
      </c>
      <c r="AA13" s="14">
        <v>0.12</v>
      </c>
      <c r="AB13" s="14">
        <v>0.13</v>
      </c>
      <c r="AC13" s="14">
        <v>0.12</v>
      </c>
      <c r="AD13" s="14">
        <v>0.12</v>
      </c>
      <c r="AE13" s="14">
        <v>0.13</v>
      </c>
      <c r="AF13" s="14">
        <v>0.09</v>
      </c>
    </row>
    <row r="14" spans="1:32" x14ac:dyDescent="0.25">
      <c r="A14" s="19"/>
      <c r="B14" s="11" t="s">
        <v>570</v>
      </c>
      <c r="C14" s="12">
        <v>3459</v>
      </c>
      <c r="D14" s="12">
        <v>153</v>
      </c>
      <c r="E14" s="12">
        <v>127</v>
      </c>
      <c r="F14" s="12">
        <v>135</v>
      </c>
      <c r="G14" s="12">
        <v>120</v>
      </c>
      <c r="H14" s="12">
        <v>180</v>
      </c>
      <c r="I14" s="12">
        <v>211</v>
      </c>
      <c r="J14" s="12">
        <v>31</v>
      </c>
      <c r="K14" s="12">
        <v>136</v>
      </c>
      <c r="L14" s="12">
        <v>128</v>
      </c>
      <c r="M14" s="12">
        <v>115</v>
      </c>
      <c r="N14" s="12">
        <v>137</v>
      </c>
      <c r="O14" s="12">
        <v>151</v>
      </c>
      <c r="P14" s="12">
        <v>133</v>
      </c>
      <c r="Q14" s="12">
        <v>99</v>
      </c>
      <c r="R14" s="12">
        <v>96</v>
      </c>
      <c r="S14" s="12">
        <v>136</v>
      </c>
      <c r="T14" s="12">
        <v>157</v>
      </c>
      <c r="U14" s="12">
        <v>84</v>
      </c>
      <c r="V14" s="12">
        <v>133</v>
      </c>
      <c r="W14" s="12">
        <v>91</v>
      </c>
      <c r="X14" s="12">
        <v>152</v>
      </c>
      <c r="Y14" s="12">
        <v>135</v>
      </c>
      <c r="Z14" s="12">
        <v>124</v>
      </c>
      <c r="AA14" s="12">
        <v>110</v>
      </c>
      <c r="AB14" s="12">
        <v>127</v>
      </c>
      <c r="AC14" s="12">
        <v>133</v>
      </c>
      <c r="AD14" s="12">
        <v>148</v>
      </c>
      <c r="AE14" s="12">
        <v>152</v>
      </c>
      <c r="AF14" s="12">
        <v>137</v>
      </c>
    </row>
    <row r="15" spans="1:32" x14ac:dyDescent="0.25">
      <c r="A15" s="19"/>
      <c r="B15" s="13" t="s">
        <v>570</v>
      </c>
      <c r="C15" s="14">
        <v>0.13</v>
      </c>
      <c r="D15" s="14">
        <v>0.15</v>
      </c>
      <c r="E15" s="14">
        <v>0.12</v>
      </c>
      <c r="F15" s="14">
        <v>0.13</v>
      </c>
      <c r="G15" s="14">
        <v>0.12</v>
      </c>
      <c r="H15" s="14">
        <v>0.15</v>
      </c>
      <c r="I15" s="14">
        <v>0.14000000000000001</v>
      </c>
      <c r="J15" s="14">
        <v>0.11</v>
      </c>
      <c r="K15" s="14">
        <v>0.14000000000000001</v>
      </c>
      <c r="L15" s="14">
        <v>0.13</v>
      </c>
      <c r="M15" s="14">
        <v>0.12</v>
      </c>
      <c r="N15" s="14">
        <v>0.14000000000000001</v>
      </c>
      <c r="O15" s="14">
        <v>0.15</v>
      </c>
      <c r="P15" s="14">
        <v>0.13</v>
      </c>
      <c r="Q15" s="14">
        <v>0.1</v>
      </c>
      <c r="R15" s="14">
        <v>0.19</v>
      </c>
      <c r="S15" s="14">
        <v>0.14000000000000001</v>
      </c>
      <c r="T15" s="14">
        <v>0.16</v>
      </c>
      <c r="U15" s="14">
        <v>0.17</v>
      </c>
      <c r="V15" s="14">
        <v>0.13</v>
      </c>
      <c r="W15" s="14">
        <v>0.18</v>
      </c>
      <c r="X15" s="14">
        <v>0.15</v>
      </c>
      <c r="Y15" s="14">
        <v>0.13</v>
      </c>
      <c r="Z15" s="14">
        <v>0.12</v>
      </c>
      <c r="AA15" s="14">
        <v>0.11</v>
      </c>
      <c r="AB15" s="14">
        <v>0.12</v>
      </c>
      <c r="AC15" s="14">
        <v>0.13</v>
      </c>
      <c r="AD15" s="14">
        <v>0.15</v>
      </c>
      <c r="AE15" s="14">
        <v>0.15</v>
      </c>
      <c r="AF15" s="14">
        <v>0.13</v>
      </c>
    </row>
    <row r="16" spans="1:32" x14ac:dyDescent="0.25">
      <c r="A16" s="19"/>
      <c r="B16" s="11" t="s">
        <v>571</v>
      </c>
      <c r="C16" s="12">
        <v>4207</v>
      </c>
      <c r="D16" s="12">
        <v>151</v>
      </c>
      <c r="E16" s="12">
        <v>148</v>
      </c>
      <c r="F16" s="12">
        <v>174</v>
      </c>
      <c r="G16" s="12">
        <v>178</v>
      </c>
      <c r="H16" s="12">
        <v>187</v>
      </c>
      <c r="I16" s="12">
        <v>241</v>
      </c>
      <c r="J16" s="12">
        <v>54</v>
      </c>
      <c r="K16" s="12">
        <v>191</v>
      </c>
      <c r="L16" s="12">
        <v>213</v>
      </c>
      <c r="M16" s="12">
        <v>160</v>
      </c>
      <c r="N16" s="12">
        <v>140</v>
      </c>
      <c r="O16" s="12">
        <v>135</v>
      </c>
      <c r="P16" s="12">
        <v>166</v>
      </c>
      <c r="Q16" s="12">
        <v>165</v>
      </c>
      <c r="R16" s="12">
        <v>81</v>
      </c>
      <c r="S16" s="12">
        <v>166</v>
      </c>
      <c r="T16" s="12">
        <v>154</v>
      </c>
      <c r="U16" s="12">
        <v>114</v>
      </c>
      <c r="V16" s="12">
        <v>158</v>
      </c>
      <c r="W16" s="12">
        <v>109</v>
      </c>
      <c r="X16" s="12">
        <v>151</v>
      </c>
      <c r="Y16" s="12">
        <v>175</v>
      </c>
      <c r="Z16" s="12">
        <v>211</v>
      </c>
      <c r="AA16" s="12">
        <v>158</v>
      </c>
      <c r="AB16" s="12">
        <v>193</v>
      </c>
      <c r="AC16" s="12">
        <v>172</v>
      </c>
      <c r="AD16" s="12">
        <v>184</v>
      </c>
      <c r="AE16" s="12">
        <v>153</v>
      </c>
      <c r="AF16" s="12">
        <v>179</v>
      </c>
    </row>
    <row r="17" spans="1:32" x14ac:dyDescent="0.25">
      <c r="A17" s="19"/>
      <c r="B17" s="13" t="s">
        <v>571</v>
      </c>
      <c r="C17" s="14">
        <v>0.16</v>
      </c>
      <c r="D17" s="14">
        <v>0.15</v>
      </c>
      <c r="E17" s="14">
        <v>0.14000000000000001</v>
      </c>
      <c r="F17" s="14">
        <v>0.16</v>
      </c>
      <c r="G17" s="14">
        <v>0.17</v>
      </c>
      <c r="H17" s="14">
        <v>0.15</v>
      </c>
      <c r="I17" s="14">
        <v>0.16</v>
      </c>
      <c r="J17" s="14">
        <v>0.18</v>
      </c>
      <c r="K17" s="14">
        <v>0.19</v>
      </c>
      <c r="L17" s="14">
        <v>0.21</v>
      </c>
      <c r="M17" s="14">
        <v>0.16</v>
      </c>
      <c r="N17" s="14">
        <v>0.14000000000000001</v>
      </c>
      <c r="O17" s="14">
        <v>0.14000000000000001</v>
      </c>
      <c r="P17" s="14">
        <v>0.16</v>
      </c>
      <c r="Q17" s="14">
        <v>0.16</v>
      </c>
      <c r="R17" s="14">
        <v>0.16</v>
      </c>
      <c r="S17" s="14">
        <v>0.17</v>
      </c>
      <c r="T17" s="14">
        <v>0.15</v>
      </c>
      <c r="U17" s="14">
        <v>0.22</v>
      </c>
      <c r="V17" s="14">
        <v>0.15</v>
      </c>
      <c r="W17" s="14">
        <v>0.22</v>
      </c>
      <c r="X17" s="14">
        <v>0.15</v>
      </c>
      <c r="Y17" s="14">
        <v>0.18</v>
      </c>
      <c r="Z17" s="14">
        <v>0.21</v>
      </c>
      <c r="AA17" s="14">
        <v>0.15</v>
      </c>
      <c r="AB17" s="14">
        <v>0.19</v>
      </c>
      <c r="AC17" s="14">
        <v>0.17</v>
      </c>
      <c r="AD17" s="14">
        <v>0.18</v>
      </c>
      <c r="AE17" s="14">
        <v>0.16</v>
      </c>
      <c r="AF17" s="14">
        <v>0.17</v>
      </c>
    </row>
    <row r="18" spans="1:32" x14ac:dyDescent="0.25">
      <c r="A18" s="19"/>
      <c r="B18" s="11" t="s">
        <v>572</v>
      </c>
      <c r="C18" s="12">
        <v>4492</v>
      </c>
      <c r="D18" s="12">
        <v>170</v>
      </c>
      <c r="E18" s="12">
        <v>199</v>
      </c>
      <c r="F18" s="12">
        <v>217</v>
      </c>
      <c r="G18" s="12">
        <v>163</v>
      </c>
      <c r="H18" s="12">
        <v>182</v>
      </c>
      <c r="I18" s="12">
        <v>222</v>
      </c>
      <c r="J18" s="12">
        <v>41</v>
      </c>
      <c r="K18" s="12">
        <v>161</v>
      </c>
      <c r="L18" s="12">
        <v>175</v>
      </c>
      <c r="M18" s="12">
        <v>176</v>
      </c>
      <c r="N18" s="12">
        <v>205</v>
      </c>
      <c r="O18" s="12">
        <v>160</v>
      </c>
      <c r="P18" s="12">
        <v>151</v>
      </c>
      <c r="Q18" s="12">
        <v>183</v>
      </c>
      <c r="R18" s="12">
        <v>86</v>
      </c>
      <c r="S18" s="12">
        <v>163</v>
      </c>
      <c r="T18" s="12">
        <v>177</v>
      </c>
      <c r="U18" s="12">
        <v>76</v>
      </c>
      <c r="V18" s="12">
        <v>215</v>
      </c>
      <c r="W18" s="12">
        <v>81</v>
      </c>
      <c r="X18" s="12">
        <v>153</v>
      </c>
      <c r="Y18" s="12">
        <v>165</v>
      </c>
      <c r="Z18" s="12">
        <v>174</v>
      </c>
      <c r="AA18" s="12">
        <v>193</v>
      </c>
      <c r="AB18" s="12">
        <v>183</v>
      </c>
      <c r="AC18" s="12">
        <v>164</v>
      </c>
      <c r="AD18" s="12">
        <v>185</v>
      </c>
      <c r="AE18" s="12">
        <v>140</v>
      </c>
      <c r="AF18" s="12">
        <v>183</v>
      </c>
    </row>
    <row r="19" spans="1:32" x14ac:dyDescent="0.25">
      <c r="A19" s="19"/>
      <c r="B19" s="13" t="s">
        <v>572</v>
      </c>
      <c r="C19" s="14">
        <v>0.17</v>
      </c>
      <c r="D19" s="14">
        <v>0.16</v>
      </c>
      <c r="E19" s="14">
        <v>0.19</v>
      </c>
      <c r="F19" s="14">
        <v>0.2</v>
      </c>
      <c r="G19" s="14">
        <v>0.16</v>
      </c>
      <c r="H19" s="14">
        <v>0.15</v>
      </c>
      <c r="I19" s="14">
        <v>0.14000000000000001</v>
      </c>
      <c r="J19" s="14">
        <v>0.14000000000000001</v>
      </c>
      <c r="K19" s="14">
        <v>0.16</v>
      </c>
      <c r="L19" s="14">
        <v>0.17</v>
      </c>
      <c r="M19" s="14">
        <v>0.17</v>
      </c>
      <c r="N19" s="14">
        <v>0.2</v>
      </c>
      <c r="O19" s="14">
        <v>0.16</v>
      </c>
      <c r="P19" s="14">
        <v>0.15</v>
      </c>
      <c r="Q19" s="14">
        <v>0.18</v>
      </c>
      <c r="R19" s="14">
        <v>0.17</v>
      </c>
      <c r="S19" s="14">
        <v>0.16</v>
      </c>
      <c r="T19" s="14">
        <v>0.17</v>
      </c>
      <c r="U19" s="14">
        <v>0.15</v>
      </c>
      <c r="V19" s="14">
        <v>0.21</v>
      </c>
      <c r="W19" s="14">
        <v>0.16</v>
      </c>
      <c r="X19" s="14">
        <v>0.15</v>
      </c>
      <c r="Y19" s="14">
        <v>0.16</v>
      </c>
      <c r="Z19" s="14">
        <v>0.17</v>
      </c>
      <c r="AA19" s="14">
        <v>0.18</v>
      </c>
      <c r="AB19" s="14">
        <v>0.18</v>
      </c>
      <c r="AC19" s="14">
        <v>0.16</v>
      </c>
      <c r="AD19" s="14">
        <v>0.18</v>
      </c>
      <c r="AE19" s="14">
        <v>0.14000000000000001</v>
      </c>
      <c r="AF19" s="14">
        <v>0.18</v>
      </c>
    </row>
    <row r="20" spans="1:32" x14ac:dyDescent="0.25">
      <c r="A20" s="19"/>
      <c r="B20" s="11" t="s">
        <v>573</v>
      </c>
      <c r="C20" s="12">
        <v>4306</v>
      </c>
      <c r="D20" s="12">
        <v>161</v>
      </c>
      <c r="E20" s="12">
        <v>170</v>
      </c>
      <c r="F20" s="12">
        <v>150</v>
      </c>
      <c r="G20" s="12">
        <v>158</v>
      </c>
      <c r="H20" s="12">
        <v>224</v>
      </c>
      <c r="I20" s="12">
        <v>278</v>
      </c>
      <c r="J20" s="12">
        <v>54</v>
      </c>
      <c r="K20" s="12">
        <v>149</v>
      </c>
      <c r="L20" s="12">
        <v>142</v>
      </c>
      <c r="M20" s="12">
        <v>165</v>
      </c>
      <c r="N20" s="12">
        <v>165</v>
      </c>
      <c r="O20" s="12">
        <v>153</v>
      </c>
      <c r="P20" s="12">
        <v>166</v>
      </c>
      <c r="Q20" s="12">
        <v>182</v>
      </c>
      <c r="R20" s="12">
        <v>72</v>
      </c>
      <c r="S20" s="12">
        <v>165</v>
      </c>
      <c r="T20" s="12">
        <v>177</v>
      </c>
      <c r="U20" s="12">
        <v>77</v>
      </c>
      <c r="V20" s="12">
        <v>145</v>
      </c>
      <c r="W20" s="12">
        <v>60</v>
      </c>
      <c r="X20" s="12">
        <v>164</v>
      </c>
      <c r="Y20" s="12">
        <v>175</v>
      </c>
      <c r="Z20" s="12">
        <v>145</v>
      </c>
      <c r="AA20" s="12">
        <v>167</v>
      </c>
      <c r="AB20" s="12">
        <v>155</v>
      </c>
      <c r="AC20" s="12">
        <v>165</v>
      </c>
      <c r="AD20" s="12">
        <v>150</v>
      </c>
      <c r="AE20" s="12">
        <v>151</v>
      </c>
      <c r="AF20" s="12">
        <v>160</v>
      </c>
    </row>
    <row r="21" spans="1:32" x14ac:dyDescent="0.25">
      <c r="A21" s="19"/>
      <c r="B21" s="13" t="s">
        <v>573</v>
      </c>
      <c r="C21" s="14">
        <v>0.16</v>
      </c>
      <c r="D21" s="14">
        <v>0.16</v>
      </c>
      <c r="E21" s="14">
        <v>0.16</v>
      </c>
      <c r="F21" s="14">
        <v>0.14000000000000001</v>
      </c>
      <c r="G21" s="14">
        <v>0.16</v>
      </c>
      <c r="H21" s="14">
        <v>0.18</v>
      </c>
      <c r="I21" s="14">
        <v>0.18</v>
      </c>
      <c r="J21" s="14">
        <v>0.18</v>
      </c>
      <c r="K21" s="14">
        <v>0.15</v>
      </c>
      <c r="L21" s="14">
        <v>0.14000000000000001</v>
      </c>
      <c r="M21" s="14">
        <v>0.16</v>
      </c>
      <c r="N21" s="14">
        <v>0.16</v>
      </c>
      <c r="O21" s="14">
        <v>0.15</v>
      </c>
      <c r="P21" s="14">
        <v>0.17</v>
      </c>
      <c r="Q21" s="14">
        <v>0.18</v>
      </c>
      <c r="R21" s="14">
        <v>0.15</v>
      </c>
      <c r="S21" s="14">
        <v>0.16</v>
      </c>
      <c r="T21" s="14">
        <v>0.17</v>
      </c>
      <c r="U21" s="14">
        <v>0.15</v>
      </c>
      <c r="V21" s="14">
        <v>0.14000000000000001</v>
      </c>
      <c r="W21" s="14">
        <v>0.12</v>
      </c>
      <c r="X21" s="14">
        <v>0.16</v>
      </c>
      <c r="Y21" s="14">
        <v>0.17</v>
      </c>
      <c r="Z21" s="14">
        <v>0.14000000000000001</v>
      </c>
      <c r="AA21" s="14">
        <v>0.16</v>
      </c>
      <c r="AB21" s="14">
        <v>0.15</v>
      </c>
      <c r="AC21" s="14">
        <v>0.16</v>
      </c>
      <c r="AD21" s="14">
        <v>0.15</v>
      </c>
      <c r="AE21" s="14">
        <v>0.15</v>
      </c>
      <c r="AF21" s="14">
        <v>0.16</v>
      </c>
    </row>
    <row r="22" spans="1:32" x14ac:dyDescent="0.25">
      <c r="A22" s="19"/>
      <c r="B22" s="11" t="s">
        <v>574</v>
      </c>
      <c r="C22" s="12">
        <v>4154</v>
      </c>
      <c r="D22" s="12">
        <v>161</v>
      </c>
      <c r="E22" s="12">
        <v>212</v>
      </c>
      <c r="F22" s="12">
        <v>190</v>
      </c>
      <c r="G22" s="12">
        <v>144</v>
      </c>
      <c r="H22" s="12">
        <v>165</v>
      </c>
      <c r="I22" s="12">
        <v>223</v>
      </c>
      <c r="J22" s="12">
        <v>58</v>
      </c>
      <c r="K22" s="12">
        <v>152</v>
      </c>
      <c r="L22" s="12">
        <v>123</v>
      </c>
      <c r="M22" s="12">
        <v>154</v>
      </c>
      <c r="N22" s="12">
        <v>146</v>
      </c>
      <c r="O22" s="12">
        <v>156</v>
      </c>
      <c r="P22" s="12">
        <v>207</v>
      </c>
      <c r="Q22" s="12">
        <v>188</v>
      </c>
      <c r="R22" s="12">
        <v>61</v>
      </c>
      <c r="S22" s="12">
        <v>134</v>
      </c>
      <c r="T22" s="12">
        <v>124</v>
      </c>
      <c r="U22" s="12">
        <v>58</v>
      </c>
      <c r="V22" s="12">
        <v>169</v>
      </c>
      <c r="W22" s="12">
        <v>67</v>
      </c>
      <c r="X22" s="12">
        <v>168</v>
      </c>
      <c r="Y22" s="12">
        <v>147</v>
      </c>
      <c r="Z22" s="12">
        <v>161</v>
      </c>
      <c r="AA22" s="12">
        <v>156</v>
      </c>
      <c r="AB22" s="12">
        <v>172</v>
      </c>
      <c r="AC22" s="12">
        <v>157</v>
      </c>
      <c r="AD22" s="12">
        <v>159</v>
      </c>
      <c r="AE22" s="12">
        <v>162</v>
      </c>
      <c r="AF22" s="12">
        <v>126</v>
      </c>
    </row>
    <row r="23" spans="1:32" x14ac:dyDescent="0.25">
      <c r="A23" s="19"/>
      <c r="B23" s="13" t="s">
        <v>574</v>
      </c>
      <c r="C23" s="14">
        <v>0.16</v>
      </c>
      <c r="D23" s="14">
        <v>0.16</v>
      </c>
      <c r="E23" s="14">
        <v>0.2</v>
      </c>
      <c r="F23" s="14">
        <v>0.18</v>
      </c>
      <c r="G23" s="14">
        <v>0.14000000000000001</v>
      </c>
      <c r="H23" s="14">
        <v>0.13</v>
      </c>
      <c r="I23" s="14">
        <v>0.15</v>
      </c>
      <c r="J23" s="14">
        <v>0.19</v>
      </c>
      <c r="K23" s="14">
        <v>0.15</v>
      </c>
      <c r="L23" s="14">
        <v>0.12</v>
      </c>
      <c r="M23" s="14">
        <v>0.15</v>
      </c>
      <c r="N23" s="14">
        <v>0.14000000000000001</v>
      </c>
      <c r="O23" s="14">
        <v>0.16</v>
      </c>
      <c r="P23" s="14">
        <v>0.21</v>
      </c>
      <c r="Q23" s="14">
        <v>0.18</v>
      </c>
      <c r="R23" s="14">
        <v>0.12</v>
      </c>
      <c r="S23" s="14">
        <v>0.13</v>
      </c>
      <c r="T23" s="14">
        <v>0.12</v>
      </c>
      <c r="U23" s="14">
        <v>0.12</v>
      </c>
      <c r="V23" s="14">
        <v>0.17</v>
      </c>
      <c r="W23" s="14">
        <v>0.13</v>
      </c>
      <c r="X23" s="14">
        <v>0.17</v>
      </c>
      <c r="Y23" s="14">
        <v>0.15</v>
      </c>
      <c r="Z23" s="14">
        <v>0.16</v>
      </c>
      <c r="AA23" s="14">
        <v>0.15</v>
      </c>
      <c r="AB23" s="14">
        <v>0.16</v>
      </c>
      <c r="AC23" s="14">
        <v>0.16</v>
      </c>
      <c r="AD23" s="14">
        <v>0.16</v>
      </c>
      <c r="AE23" s="14">
        <v>0.16</v>
      </c>
      <c r="AF23" s="14">
        <v>0.12</v>
      </c>
    </row>
    <row r="24" spans="1:32" x14ac:dyDescent="0.25">
      <c r="A24" s="19"/>
      <c r="B24" s="11" t="s">
        <v>575</v>
      </c>
      <c r="C24" s="12">
        <v>2561</v>
      </c>
      <c r="D24" s="12">
        <v>82</v>
      </c>
      <c r="E24" s="12">
        <v>77</v>
      </c>
      <c r="F24" s="12">
        <v>70</v>
      </c>
      <c r="G24" s="12">
        <v>119</v>
      </c>
      <c r="H24" s="12">
        <v>146</v>
      </c>
      <c r="I24" s="12">
        <v>175</v>
      </c>
      <c r="J24" s="12">
        <v>29</v>
      </c>
      <c r="K24" s="12">
        <v>93</v>
      </c>
      <c r="L24" s="12">
        <v>68</v>
      </c>
      <c r="M24" s="12">
        <v>116</v>
      </c>
      <c r="N24" s="12">
        <v>92</v>
      </c>
      <c r="O24" s="12">
        <v>103</v>
      </c>
      <c r="P24" s="12">
        <v>61</v>
      </c>
      <c r="Q24" s="12">
        <v>98</v>
      </c>
      <c r="R24" s="12">
        <v>44</v>
      </c>
      <c r="S24" s="12">
        <v>120</v>
      </c>
      <c r="T24" s="12">
        <v>120</v>
      </c>
      <c r="U24" s="12">
        <v>32</v>
      </c>
      <c r="V24" s="12">
        <v>79</v>
      </c>
      <c r="W24" s="12">
        <v>38</v>
      </c>
      <c r="X24" s="12">
        <v>75</v>
      </c>
      <c r="Y24" s="12">
        <v>86</v>
      </c>
      <c r="Z24" s="12">
        <v>85</v>
      </c>
      <c r="AA24" s="12">
        <v>131</v>
      </c>
      <c r="AB24" s="12">
        <v>76</v>
      </c>
      <c r="AC24" s="12">
        <v>100</v>
      </c>
      <c r="AD24" s="12">
        <v>60</v>
      </c>
      <c r="AE24" s="12">
        <v>112</v>
      </c>
      <c r="AF24" s="12">
        <v>153</v>
      </c>
    </row>
    <row r="25" spans="1:32" x14ac:dyDescent="0.25">
      <c r="A25" s="19"/>
      <c r="B25" s="13" t="s">
        <v>575</v>
      </c>
      <c r="C25" s="14">
        <v>0.1</v>
      </c>
      <c r="D25" s="14">
        <v>0.08</v>
      </c>
      <c r="E25" s="14">
        <v>0.08</v>
      </c>
      <c r="F25" s="14">
        <v>7.0000000000000007E-2</v>
      </c>
      <c r="G25" s="14">
        <v>0.12</v>
      </c>
      <c r="H25" s="14">
        <v>0.12</v>
      </c>
      <c r="I25" s="14">
        <v>0.11</v>
      </c>
      <c r="J25" s="14">
        <v>0.1</v>
      </c>
      <c r="K25" s="14">
        <v>0.09</v>
      </c>
      <c r="L25" s="14">
        <v>7.0000000000000007E-2</v>
      </c>
      <c r="M25" s="14">
        <v>0.12</v>
      </c>
      <c r="N25" s="14">
        <v>0.09</v>
      </c>
      <c r="O25" s="14">
        <v>0.1</v>
      </c>
      <c r="P25" s="14">
        <v>0.06</v>
      </c>
      <c r="Q25" s="14">
        <v>0.09</v>
      </c>
      <c r="R25" s="14">
        <v>0.09</v>
      </c>
      <c r="S25" s="14">
        <v>0.12</v>
      </c>
      <c r="T25" s="14">
        <v>0.12</v>
      </c>
      <c r="U25" s="14">
        <v>0.06</v>
      </c>
      <c r="V25" s="14">
        <v>0.08</v>
      </c>
      <c r="W25" s="14">
        <v>0.08</v>
      </c>
      <c r="X25" s="14">
        <v>0.08</v>
      </c>
      <c r="Y25" s="14">
        <v>0.09</v>
      </c>
      <c r="Z25" s="14">
        <v>0.08</v>
      </c>
      <c r="AA25" s="14">
        <v>0.13</v>
      </c>
      <c r="AB25" s="14">
        <v>7.0000000000000007E-2</v>
      </c>
      <c r="AC25" s="14">
        <v>0.1</v>
      </c>
      <c r="AD25" s="14">
        <v>0.06</v>
      </c>
      <c r="AE25" s="14">
        <v>0.11</v>
      </c>
      <c r="AF25" s="14">
        <v>0.15</v>
      </c>
    </row>
    <row r="26" spans="1:32" x14ac:dyDescent="0.25">
      <c r="A26" s="19"/>
      <c r="B26" s="11" t="s">
        <v>568</v>
      </c>
      <c r="C26" s="12">
        <v>49.28</v>
      </c>
      <c r="D26" s="12">
        <v>48.14</v>
      </c>
      <c r="E26" s="12">
        <v>50.38</v>
      </c>
      <c r="F26" s="12">
        <v>48.4</v>
      </c>
      <c r="G26" s="12">
        <v>49.8</v>
      </c>
      <c r="H26" s="12">
        <v>49.71</v>
      </c>
      <c r="I26" s="12">
        <v>50.02</v>
      </c>
      <c r="J26" s="12">
        <v>51.33</v>
      </c>
      <c r="K26" s="12">
        <v>48.27</v>
      </c>
      <c r="L26" s="12">
        <v>46.22</v>
      </c>
      <c r="M26" s="12">
        <v>49.95</v>
      </c>
      <c r="N26" s="12">
        <v>49.13</v>
      </c>
      <c r="O26" s="12">
        <v>48.7</v>
      </c>
      <c r="P26" s="12">
        <v>49.15</v>
      </c>
      <c r="Q26" s="12">
        <v>50.48</v>
      </c>
      <c r="R26" s="12">
        <v>47.02</v>
      </c>
      <c r="S26" s="12">
        <v>49.48</v>
      </c>
      <c r="T26" s="12">
        <v>49.44</v>
      </c>
      <c r="U26" s="12">
        <v>45.97</v>
      </c>
      <c r="V26" s="12">
        <v>48.71</v>
      </c>
      <c r="W26" s="12">
        <v>46.61</v>
      </c>
      <c r="X26" s="12">
        <v>48.01</v>
      </c>
      <c r="Y26" s="12">
        <v>48.68</v>
      </c>
      <c r="Z26" s="12">
        <v>48.44</v>
      </c>
      <c r="AA26" s="12">
        <v>50.56</v>
      </c>
      <c r="AB26" s="12">
        <v>48.06</v>
      </c>
      <c r="AC26" s="12">
        <v>49.66</v>
      </c>
      <c r="AD26" s="12">
        <v>47.62</v>
      </c>
      <c r="AE26" s="12">
        <v>49.53</v>
      </c>
      <c r="AF26" s="12">
        <v>51.18</v>
      </c>
    </row>
    <row r="27" spans="1:32" x14ac:dyDescent="0.25">
      <c r="A27" s="19"/>
      <c r="B27" s="13" t="s">
        <v>569</v>
      </c>
      <c r="C27" s="15" t="s">
        <v>213</v>
      </c>
      <c r="D27" s="15" t="s">
        <v>213</v>
      </c>
      <c r="E27" s="15" t="s">
        <v>213</v>
      </c>
      <c r="F27" s="15" t="s">
        <v>213</v>
      </c>
      <c r="G27" s="15" t="s">
        <v>213</v>
      </c>
      <c r="H27" s="15" t="s">
        <v>213</v>
      </c>
      <c r="I27" s="15" t="s">
        <v>213</v>
      </c>
      <c r="J27" s="15" t="s">
        <v>213</v>
      </c>
      <c r="K27" s="15" t="s">
        <v>213</v>
      </c>
      <c r="L27" s="15" t="s">
        <v>213</v>
      </c>
      <c r="M27" s="15" t="s">
        <v>213</v>
      </c>
      <c r="N27" s="15" t="s">
        <v>213</v>
      </c>
      <c r="O27" s="15" t="s">
        <v>213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5" t="s">
        <v>213</v>
      </c>
      <c r="V27" s="15" t="s">
        <v>213</v>
      </c>
      <c r="W27" s="15" t="s">
        <v>213</v>
      </c>
      <c r="X27" s="15" t="s">
        <v>213</v>
      </c>
      <c r="Y27" s="15" t="s">
        <v>213</v>
      </c>
      <c r="Z27" s="15" t="s">
        <v>213</v>
      </c>
      <c r="AA27" s="15" t="s">
        <v>213</v>
      </c>
      <c r="AB27" s="15" t="s">
        <v>213</v>
      </c>
      <c r="AC27" s="15" t="s">
        <v>213</v>
      </c>
      <c r="AD27" s="15" t="s">
        <v>213</v>
      </c>
      <c r="AE27" s="15" t="s">
        <v>213</v>
      </c>
      <c r="AF27" s="15" t="s">
        <v>213</v>
      </c>
    </row>
  </sheetData>
  <mergeCells count="9">
    <mergeCell ref="H3:L3"/>
    <mergeCell ref="C8:AF8"/>
    <mergeCell ref="B3:F3"/>
    <mergeCell ref="B5:F5"/>
    <mergeCell ref="A10:A27"/>
    <mergeCell ref="B10:B11"/>
    <mergeCell ref="H4:L4"/>
    <mergeCell ref="B4:F4"/>
    <mergeCell ref="H5:L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103</v>
      </c>
      <c r="C3" s="18"/>
      <c r="D3" s="18"/>
      <c r="E3" s="18"/>
      <c r="F3" s="18"/>
      <c r="H3" s="18" t="s">
        <v>104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576</v>
      </c>
      <c r="C12" s="12">
        <v>5313</v>
      </c>
      <c r="D12" s="12">
        <v>216</v>
      </c>
      <c r="E12" s="12">
        <v>173</v>
      </c>
      <c r="F12" s="12">
        <v>198</v>
      </c>
      <c r="G12" s="12">
        <v>191</v>
      </c>
      <c r="H12" s="12">
        <v>278</v>
      </c>
      <c r="I12" s="12">
        <v>328</v>
      </c>
      <c r="J12" s="12">
        <v>50</v>
      </c>
      <c r="K12" s="12">
        <v>202</v>
      </c>
      <c r="L12" s="12">
        <v>221</v>
      </c>
      <c r="M12" s="12">
        <v>193</v>
      </c>
      <c r="N12" s="12">
        <v>203</v>
      </c>
      <c r="O12" s="12">
        <v>235</v>
      </c>
      <c r="P12" s="12">
        <v>193</v>
      </c>
      <c r="Q12" s="12">
        <v>178</v>
      </c>
      <c r="R12" s="12">
        <v>106</v>
      </c>
      <c r="S12" s="12">
        <v>197</v>
      </c>
      <c r="T12" s="12">
        <v>192</v>
      </c>
      <c r="U12" s="12">
        <v>101</v>
      </c>
      <c r="V12" s="12">
        <v>201</v>
      </c>
      <c r="W12" s="12">
        <v>94</v>
      </c>
      <c r="X12" s="12">
        <v>234</v>
      </c>
      <c r="Y12" s="12">
        <v>191</v>
      </c>
      <c r="Z12" s="12">
        <v>182</v>
      </c>
      <c r="AA12" s="12">
        <v>179</v>
      </c>
      <c r="AB12" s="12">
        <v>213</v>
      </c>
      <c r="AC12" s="12">
        <v>183</v>
      </c>
      <c r="AD12" s="12">
        <v>196</v>
      </c>
      <c r="AE12" s="12">
        <v>202</v>
      </c>
      <c r="AF12" s="12">
        <v>150</v>
      </c>
    </row>
    <row r="13" spans="1:32" x14ac:dyDescent="0.25">
      <c r="A13" s="19"/>
      <c r="B13" s="13" t="s">
        <v>576</v>
      </c>
      <c r="C13" s="14">
        <v>0.2</v>
      </c>
      <c r="D13" s="14">
        <v>0.21</v>
      </c>
      <c r="E13" s="14">
        <v>0.16</v>
      </c>
      <c r="F13" s="14">
        <v>0.19</v>
      </c>
      <c r="G13" s="14">
        <v>0.19</v>
      </c>
      <c r="H13" s="14">
        <v>0.23</v>
      </c>
      <c r="I13" s="14">
        <v>0.22</v>
      </c>
      <c r="J13" s="14">
        <v>0.17</v>
      </c>
      <c r="K13" s="14">
        <v>0.2</v>
      </c>
      <c r="L13" s="14">
        <v>0.22</v>
      </c>
      <c r="M13" s="14">
        <v>0.19</v>
      </c>
      <c r="N13" s="14">
        <v>0.2</v>
      </c>
      <c r="O13" s="14">
        <v>0.23</v>
      </c>
      <c r="P13" s="14">
        <v>0.19</v>
      </c>
      <c r="Q13" s="14">
        <v>0.17</v>
      </c>
      <c r="R13" s="14">
        <v>0.21</v>
      </c>
      <c r="S13" s="14">
        <v>0.2</v>
      </c>
      <c r="T13" s="14">
        <v>0.19</v>
      </c>
      <c r="U13" s="14">
        <v>0.2</v>
      </c>
      <c r="V13" s="14">
        <v>0.2</v>
      </c>
      <c r="W13" s="14">
        <v>0.19</v>
      </c>
      <c r="X13" s="14">
        <v>0.23</v>
      </c>
      <c r="Y13" s="14">
        <v>0.19</v>
      </c>
      <c r="Z13" s="14">
        <v>0.18</v>
      </c>
      <c r="AA13" s="14">
        <v>0.17</v>
      </c>
      <c r="AB13" s="14">
        <v>0.2</v>
      </c>
      <c r="AC13" s="14">
        <v>0.18</v>
      </c>
      <c r="AD13" s="14">
        <v>0.19</v>
      </c>
      <c r="AE13" s="14">
        <v>0.2</v>
      </c>
      <c r="AF13" s="14">
        <v>0.15</v>
      </c>
    </row>
    <row r="14" spans="1:32" x14ac:dyDescent="0.25">
      <c r="A14" s="19"/>
      <c r="B14" s="11" t="s">
        <v>577</v>
      </c>
      <c r="C14" s="12">
        <v>14425</v>
      </c>
      <c r="D14" s="12">
        <v>562</v>
      </c>
      <c r="E14" s="12">
        <v>584</v>
      </c>
      <c r="F14" s="12">
        <v>606</v>
      </c>
      <c r="G14" s="12">
        <v>562</v>
      </c>
      <c r="H14" s="12">
        <v>641</v>
      </c>
      <c r="I14" s="12">
        <v>801</v>
      </c>
      <c r="J14" s="12">
        <v>160</v>
      </c>
      <c r="K14" s="12">
        <v>558</v>
      </c>
      <c r="L14" s="12">
        <v>593</v>
      </c>
      <c r="M14" s="12">
        <v>544</v>
      </c>
      <c r="N14" s="12">
        <v>570</v>
      </c>
      <c r="O14" s="12">
        <v>510</v>
      </c>
      <c r="P14" s="12">
        <v>541</v>
      </c>
      <c r="Q14" s="12">
        <v>567</v>
      </c>
      <c r="R14" s="12">
        <v>290</v>
      </c>
      <c r="S14" s="12">
        <v>553</v>
      </c>
      <c r="T14" s="12">
        <v>588</v>
      </c>
      <c r="U14" s="12">
        <v>316</v>
      </c>
      <c r="V14" s="12">
        <v>577</v>
      </c>
      <c r="W14" s="12">
        <v>303</v>
      </c>
      <c r="X14" s="12">
        <v>532</v>
      </c>
      <c r="Y14" s="12">
        <v>580</v>
      </c>
      <c r="Z14" s="12">
        <v>589</v>
      </c>
      <c r="AA14" s="12">
        <v>572</v>
      </c>
      <c r="AB14" s="12">
        <v>580</v>
      </c>
      <c r="AC14" s="12">
        <v>565</v>
      </c>
      <c r="AD14" s="12">
        <v>588</v>
      </c>
      <c r="AE14" s="12">
        <v>525</v>
      </c>
      <c r="AF14" s="12">
        <v>602</v>
      </c>
    </row>
    <row r="15" spans="1:32" x14ac:dyDescent="0.25">
      <c r="A15" s="19"/>
      <c r="B15" s="13" t="s">
        <v>577</v>
      </c>
      <c r="C15" s="14">
        <v>0.55000000000000004</v>
      </c>
      <c r="D15" s="14">
        <v>0.55000000000000004</v>
      </c>
      <c r="E15" s="14">
        <v>0.56000000000000005</v>
      </c>
      <c r="F15" s="14">
        <v>0.57000000000000006</v>
      </c>
      <c r="G15" s="14">
        <v>0.55000000000000004</v>
      </c>
      <c r="H15" s="14">
        <v>0.52</v>
      </c>
      <c r="I15" s="14">
        <v>0.52</v>
      </c>
      <c r="J15" s="14">
        <v>0.54</v>
      </c>
      <c r="K15" s="14">
        <v>0.56000000000000005</v>
      </c>
      <c r="L15" s="14">
        <v>0.59</v>
      </c>
      <c r="M15" s="14">
        <v>0.54</v>
      </c>
      <c r="N15" s="14">
        <v>0.56000000000000005</v>
      </c>
      <c r="O15" s="14">
        <v>0.51</v>
      </c>
      <c r="P15" s="14">
        <v>0.54</v>
      </c>
      <c r="Q15" s="14">
        <v>0.55000000000000004</v>
      </c>
      <c r="R15" s="14">
        <v>0.57999999999999996</v>
      </c>
      <c r="S15" s="14">
        <v>0.55000000000000004</v>
      </c>
      <c r="T15" s="14">
        <v>0.57000000000000006</v>
      </c>
      <c r="U15" s="14">
        <v>0.62</v>
      </c>
      <c r="V15" s="14">
        <v>0.56000000000000005</v>
      </c>
      <c r="W15" s="14">
        <v>0.6</v>
      </c>
      <c r="X15" s="14">
        <v>0.53</v>
      </c>
      <c r="Y15" s="14">
        <v>0.57999999999999996</v>
      </c>
      <c r="Z15" s="14">
        <v>0.57999999999999996</v>
      </c>
      <c r="AA15" s="14">
        <v>0.55000000000000004</v>
      </c>
      <c r="AB15" s="14">
        <v>0.56000000000000005</v>
      </c>
      <c r="AC15" s="14">
        <v>0.56000000000000005</v>
      </c>
      <c r="AD15" s="14">
        <v>0.59</v>
      </c>
      <c r="AE15" s="14">
        <v>0.52</v>
      </c>
      <c r="AF15" s="14">
        <v>0.57999999999999996</v>
      </c>
    </row>
    <row r="16" spans="1:32" x14ac:dyDescent="0.25">
      <c r="A16" s="19"/>
      <c r="B16" s="11" t="s">
        <v>578</v>
      </c>
      <c r="C16" s="12">
        <v>6715</v>
      </c>
      <c r="D16" s="12">
        <v>243</v>
      </c>
      <c r="E16" s="12">
        <v>289</v>
      </c>
      <c r="F16" s="12">
        <v>260</v>
      </c>
      <c r="G16" s="12">
        <v>263</v>
      </c>
      <c r="H16" s="12">
        <v>311</v>
      </c>
      <c r="I16" s="12">
        <v>398</v>
      </c>
      <c r="J16" s="12">
        <v>86</v>
      </c>
      <c r="K16" s="12">
        <v>245</v>
      </c>
      <c r="L16" s="12">
        <v>192</v>
      </c>
      <c r="M16" s="12">
        <v>270</v>
      </c>
      <c r="N16" s="12">
        <v>238</v>
      </c>
      <c r="O16" s="12">
        <v>259</v>
      </c>
      <c r="P16" s="12">
        <v>269</v>
      </c>
      <c r="Q16" s="12">
        <v>286</v>
      </c>
      <c r="R16" s="12">
        <v>105</v>
      </c>
      <c r="S16" s="12">
        <v>254</v>
      </c>
      <c r="T16" s="12">
        <v>243</v>
      </c>
      <c r="U16" s="12">
        <v>91</v>
      </c>
      <c r="V16" s="12">
        <v>248</v>
      </c>
      <c r="W16" s="12">
        <v>105</v>
      </c>
      <c r="X16" s="12">
        <v>244</v>
      </c>
      <c r="Y16" s="12">
        <v>232</v>
      </c>
      <c r="Z16" s="12">
        <v>245</v>
      </c>
      <c r="AA16" s="12">
        <v>287</v>
      </c>
      <c r="AB16" s="12">
        <v>248</v>
      </c>
      <c r="AC16" s="12">
        <v>257</v>
      </c>
      <c r="AD16" s="12">
        <v>219</v>
      </c>
      <c r="AE16" s="12">
        <v>275</v>
      </c>
      <c r="AF16" s="12">
        <v>279</v>
      </c>
    </row>
    <row r="17" spans="1:32" x14ac:dyDescent="0.25">
      <c r="A17" s="19"/>
      <c r="B17" s="13" t="s">
        <v>578</v>
      </c>
      <c r="C17" s="14">
        <v>0.25</v>
      </c>
      <c r="D17" s="14">
        <v>0.24</v>
      </c>
      <c r="E17" s="14">
        <v>0.28000000000000003</v>
      </c>
      <c r="F17" s="14">
        <v>0.24</v>
      </c>
      <c r="G17" s="14">
        <v>0.26</v>
      </c>
      <c r="H17" s="14">
        <v>0.25</v>
      </c>
      <c r="I17" s="14">
        <v>0.26</v>
      </c>
      <c r="J17" s="14">
        <v>0.28999999999999998</v>
      </c>
      <c r="K17" s="14">
        <v>0.24</v>
      </c>
      <c r="L17" s="14">
        <v>0.19</v>
      </c>
      <c r="M17" s="14">
        <v>0.27</v>
      </c>
      <c r="N17" s="14">
        <v>0.24</v>
      </c>
      <c r="O17" s="14">
        <v>0.26</v>
      </c>
      <c r="P17" s="14">
        <v>0.27</v>
      </c>
      <c r="Q17" s="14">
        <v>0.28000000000000003</v>
      </c>
      <c r="R17" s="14">
        <v>0.21</v>
      </c>
      <c r="S17" s="14">
        <v>0.25</v>
      </c>
      <c r="T17" s="14">
        <v>0.24</v>
      </c>
      <c r="U17" s="14">
        <v>0.18</v>
      </c>
      <c r="V17" s="14">
        <v>0.24</v>
      </c>
      <c r="W17" s="14">
        <v>0.21</v>
      </c>
      <c r="X17" s="14">
        <v>0.24</v>
      </c>
      <c r="Y17" s="14">
        <v>0.23</v>
      </c>
      <c r="Z17" s="14">
        <v>0.24</v>
      </c>
      <c r="AA17" s="14">
        <v>0.28000000000000003</v>
      </c>
      <c r="AB17" s="14">
        <v>0.24</v>
      </c>
      <c r="AC17" s="14">
        <v>0.26</v>
      </c>
      <c r="AD17" s="14">
        <v>0.22</v>
      </c>
      <c r="AE17" s="14">
        <v>0.28000000000000003</v>
      </c>
      <c r="AF17" s="14">
        <v>0.27</v>
      </c>
    </row>
    <row r="18" spans="1:32" x14ac:dyDescent="0.25">
      <c r="A18" s="19"/>
      <c r="B18" s="11" t="s">
        <v>568</v>
      </c>
      <c r="C18" s="12">
        <v>49.28</v>
      </c>
      <c r="D18" s="12">
        <v>48.14</v>
      </c>
      <c r="E18" s="12">
        <v>50.38</v>
      </c>
      <c r="F18" s="12">
        <v>48.4</v>
      </c>
      <c r="G18" s="12">
        <v>49.8</v>
      </c>
      <c r="H18" s="12">
        <v>49.71</v>
      </c>
      <c r="I18" s="12">
        <v>50.02</v>
      </c>
      <c r="J18" s="12">
        <v>51.33</v>
      </c>
      <c r="K18" s="12">
        <v>48.27</v>
      </c>
      <c r="L18" s="12">
        <v>46.22</v>
      </c>
      <c r="M18" s="12">
        <v>49.95</v>
      </c>
      <c r="N18" s="12">
        <v>49.13</v>
      </c>
      <c r="O18" s="12">
        <v>48.7</v>
      </c>
      <c r="P18" s="12">
        <v>49.15</v>
      </c>
      <c r="Q18" s="12">
        <v>50.48</v>
      </c>
      <c r="R18" s="12">
        <v>47.02</v>
      </c>
      <c r="S18" s="12">
        <v>49.48</v>
      </c>
      <c r="T18" s="12">
        <v>49.44</v>
      </c>
      <c r="U18" s="12">
        <v>45.97</v>
      </c>
      <c r="V18" s="12">
        <v>48.71</v>
      </c>
      <c r="W18" s="12">
        <v>46.61</v>
      </c>
      <c r="X18" s="12">
        <v>48.01</v>
      </c>
      <c r="Y18" s="12">
        <v>48.68</v>
      </c>
      <c r="Z18" s="12">
        <v>48.44</v>
      </c>
      <c r="AA18" s="12">
        <v>50.56</v>
      </c>
      <c r="AB18" s="12">
        <v>48.06</v>
      </c>
      <c r="AC18" s="12">
        <v>49.66</v>
      </c>
      <c r="AD18" s="12">
        <v>47.62</v>
      </c>
      <c r="AE18" s="12">
        <v>49.53</v>
      </c>
      <c r="AF18" s="12">
        <v>51.18</v>
      </c>
    </row>
    <row r="19" spans="1:32" x14ac:dyDescent="0.25">
      <c r="A19" s="19"/>
      <c r="B19" s="13" t="s">
        <v>569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2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105</v>
      </c>
      <c r="C3" s="18"/>
      <c r="D3" s="18"/>
      <c r="E3" s="18"/>
      <c r="F3" s="18"/>
      <c r="H3" s="18" t="s">
        <v>106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579</v>
      </c>
      <c r="C12" s="12">
        <v>1170</v>
      </c>
      <c r="D12" s="12">
        <v>38</v>
      </c>
      <c r="E12" s="12">
        <v>31</v>
      </c>
      <c r="F12" s="12">
        <v>23</v>
      </c>
      <c r="G12" s="12">
        <v>58</v>
      </c>
      <c r="H12" s="12">
        <v>86</v>
      </c>
      <c r="I12" s="12">
        <v>100</v>
      </c>
      <c r="J12" s="12">
        <v>14</v>
      </c>
      <c r="K12" s="12">
        <v>49</v>
      </c>
      <c r="L12" s="12">
        <v>33</v>
      </c>
      <c r="M12" s="12">
        <v>51</v>
      </c>
      <c r="N12" s="12">
        <v>48</v>
      </c>
      <c r="O12" s="12">
        <v>48</v>
      </c>
      <c r="P12" s="12">
        <v>26</v>
      </c>
      <c r="Q12" s="12">
        <v>36</v>
      </c>
      <c r="R12" s="12">
        <v>17</v>
      </c>
      <c r="S12" s="12">
        <v>62</v>
      </c>
      <c r="T12" s="12">
        <v>65</v>
      </c>
      <c r="U12" s="12">
        <v>17</v>
      </c>
      <c r="V12" s="12">
        <v>35</v>
      </c>
      <c r="W12" s="12">
        <v>12</v>
      </c>
      <c r="X12" s="12">
        <v>15</v>
      </c>
      <c r="Y12" s="12">
        <v>35</v>
      </c>
      <c r="Z12" s="12">
        <v>28</v>
      </c>
      <c r="AA12" s="12">
        <v>54</v>
      </c>
      <c r="AB12" s="12">
        <v>33</v>
      </c>
      <c r="AC12" s="12">
        <v>39</v>
      </c>
      <c r="AD12" s="12">
        <v>15</v>
      </c>
      <c r="AE12" s="12">
        <v>58</v>
      </c>
      <c r="AF12" s="12">
        <v>78</v>
      </c>
    </row>
    <row r="13" spans="1:32" x14ac:dyDescent="0.25">
      <c r="A13" s="19"/>
      <c r="B13" s="13" t="s">
        <v>580</v>
      </c>
      <c r="C13" s="14">
        <v>0.05</v>
      </c>
      <c r="D13" s="14">
        <v>0.04</v>
      </c>
      <c r="E13" s="14">
        <v>0.03</v>
      </c>
      <c r="F13" s="14">
        <v>0.02</v>
      </c>
      <c r="G13" s="14">
        <v>0.06</v>
      </c>
      <c r="H13" s="14">
        <v>7.0000000000000007E-2</v>
      </c>
      <c r="I13" s="14">
        <v>7.0000000000000007E-2</v>
      </c>
      <c r="J13" s="14">
        <v>0.05</v>
      </c>
      <c r="K13" s="14">
        <v>0.05</v>
      </c>
      <c r="L13" s="14">
        <v>0.03</v>
      </c>
      <c r="M13" s="14">
        <v>0.05</v>
      </c>
      <c r="N13" s="14">
        <v>0.05</v>
      </c>
      <c r="O13" s="14">
        <v>0.05</v>
      </c>
      <c r="P13" s="14">
        <v>0.03</v>
      </c>
      <c r="Q13" s="14">
        <v>0.03</v>
      </c>
      <c r="R13" s="14">
        <v>0.03</v>
      </c>
      <c r="S13" s="14">
        <v>0.06</v>
      </c>
      <c r="T13" s="14">
        <v>0.06</v>
      </c>
      <c r="U13" s="14">
        <v>0.03</v>
      </c>
      <c r="V13" s="14">
        <v>0.03</v>
      </c>
      <c r="W13" s="14">
        <v>0.02</v>
      </c>
      <c r="X13" s="14">
        <v>0.02</v>
      </c>
      <c r="Y13" s="14">
        <v>0.03</v>
      </c>
      <c r="Z13" s="14">
        <v>0.03</v>
      </c>
      <c r="AA13" s="14">
        <v>0.05</v>
      </c>
      <c r="AB13" s="14">
        <v>0.03</v>
      </c>
      <c r="AC13" s="14">
        <v>0.04</v>
      </c>
      <c r="AD13" s="14">
        <v>0.01</v>
      </c>
      <c r="AE13" s="14">
        <v>0.06</v>
      </c>
      <c r="AF13" s="14">
        <v>7.0000000000000007E-2</v>
      </c>
    </row>
    <row r="14" spans="1:32" x14ac:dyDescent="0.25">
      <c r="A14" s="19"/>
      <c r="B14" s="11" t="s">
        <v>581</v>
      </c>
      <c r="C14" s="12">
        <v>7192</v>
      </c>
      <c r="D14" s="12">
        <v>273</v>
      </c>
      <c r="E14" s="12">
        <v>318</v>
      </c>
      <c r="F14" s="12">
        <v>282</v>
      </c>
      <c r="G14" s="12">
        <v>279</v>
      </c>
      <c r="H14" s="12">
        <v>308</v>
      </c>
      <c r="I14" s="12">
        <v>410</v>
      </c>
      <c r="J14" s="12">
        <v>103</v>
      </c>
      <c r="K14" s="12">
        <v>243</v>
      </c>
      <c r="L14" s="12">
        <v>215</v>
      </c>
      <c r="M14" s="12">
        <v>278</v>
      </c>
      <c r="N14" s="12">
        <v>255</v>
      </c>
      <c r="O14" s="12">
        <v>282</v>
      </c>
      <c r="P14" s="12">
        <v>303</v>
      </c>
      <c r="Q14" s="12">
        <v>310</v>
      </c>
      <c r="R14" s="12">
        <v>110</v>
      </c>
      <c r="S14" s="12">
        <v>251</v>
      </c>
      <c r="T14" s="12">
        <v>249</v>
      </c>
      <c r="U14" s="12">
        <v>106</v>
      </c>
      <c r="V14" s="12">
        <v>266</v>
      </c>
      <c r="W14" s="12">
        <v>121</v>
      </c>
      <c r="X14" s="12">
        <v>303</v>
      </c>
      <c r="Y14" s="12">
        <v>261</v>
      </c>
      <c r="Z14" s="12">
        <v>269</v>
      </c>
      <c r="AA14" s="12">
        <v>279</v>
      </c>
      <c r="AB14" s="12">
        <v>251</v>
      </c>
      <c r="AC14" s="12">
        <v>284</v>
      </c>
      <c r="AD14" s="12">
        <v>263</v>
      </c>
      <c r="AE14" s="12">
        <v>275</v>
      </c>
      <c r="AF14" s="12">
        <v>268</v>
      </c>
    </row>
    <row r="15" spans="1:32" x14ac:dyDescent="0.25">
      <c r="A15" s="19"/>
      <c r="B15" s="13" t="s">
        <v>581</v>
      </c>
      <c r="C15" s="14">
        <v>0.27</v>
      </c>
      <c r="D15" s="14">
        <v>0.27</v>
      </c>
      <c r="E15" s="14">
        <v>0.3</v>
      </c>
      <c r="F15" s="14">
        <v>0.26</v>
      </c>
      <c r="G15" s="14">
        <v>0.28000000000000003</v>
      </c>
      <c r="H15" s="14">
        <v>0.25</v>
      </c>
      <c r="I15" s="14">
        <v>0.27</v>
      </c>
      <c r="J15" s="14">
        <v>0.34</v>
      </c>
      <c r="K15" s="14">
        <v>0.24</v>
      </c>
      <c r="L15" s="14">
        <v>0.21</v>
      </c>
      <c r="M15" s="14">
        <v>0.28000000000000003</v>
      </c>
      <c r="N15" s="14">
        <v>0.25</v>
      </c>
      <c r="O15" s="14">
        <v>0.28000000000000003</v>
      </c>
      <c r="P15" s="14">
        <v>0.3</v>
      </c>
      <c r="Q15" s="14">
        <v>0.3</v>
      </c>
      <c r="R15" s="14">
        <v>0.22</v>
      </c>
      <c r="S15" s="14">
        <v>0.25</v>
      </c>
      <c r="T15" s="14">
        <v>0.24</v>
      </c>
      <c r="U15" s="14">
        <v>0.21</v>
      </c>
      <c r="V15" s="14">
        <v>0.26</v>
      </c>
      <c r="W15" s="14">
        <v>0.24</v>
      </c>
      <c r="X15" s="14">
        <v>0.3</v>
      </c>
      <c r="Y15" s="14">
        <v>0.26</v>
      </c>
      <c r="Z15" s="14">
        <v>0.26</v>
      </c>
      <c r="AA15" s="14">
        <v>0.27</v>
      </c>
      <c r="AB15" s="14">
        <v>0.24</v>
      </c>
      <c r="AC15" s="14">
        <v>0.28000000000000003</v>
      </c>
      <c r="AD15" s="14">
        <v>0.26</v>
      </c>
      <c r="AE15" s="14">
        <v>0.27</v>
      </c>
      <c r="AF15" s="14">
        <v>0.26</v>
      </c>
    </row>
    <row r="16" spans="1:32" x14ac:dyDescent="0.25">
      <c r="A16" s="19"/>
      <c r="B16" s="11" t="s">
        <v>582</v>
      </c>
      <c r="C16" s="12">
        <v>7151</v>
      </c>
      <c r="D16" s="12">
        <v>263</v>
      </c>
      <c r="E16" s="12">
        <v>310</v>
      </c>
      <c r="F16" s="12">
        <v>322</v>
      </c>
      <c r="G16" s="12">
        <v>248</v>
      </c>
      <c r="H16" s="12">
        <v>323</v>
      </c>
      <c r="I16" s="12">
        <v>387</v>
      </c>
      <c r="J16" s="12">
        <v>64</v>
      </c>
      <c r="K16" s="12">
        <v>263</v>
      </c>
      <c r="L16" s="12">
        <v>261</v>
      </c>
      <c r="M16" s="12">
        <v>281</v>
      </c>
      <c r="N16" s="12">
        <v>305</v>
      </c>
      <c r="O16" s="12">
        <v>243</v>
      </c>
      <c r="P16" s="12">
        <v>257</v>
      </c>
      <c r="Q16" s="12">
        <v>305</v>
      </c>
      <c r="R16" s="12">
        <v>136</v>
      </c>
      <c r="S16" s="12">
        <v>269</v>
      </c>
      <c r="T16" s="12">
        <v>284</v>
      </c>
      <c r="U16" s="12">
        <v>120</v>
      </c>
      <c r="V16" s="12">
        <v>307</v>
      </c>
      <c r="W16" s="12">
        <v>114</v>
      </c>
      <c r="X16" s="12">
        <v>242</v>
      </c>
      <c r="Y16" s="12">
        <v>277</v>
      </c>
      <c r="Z16" s="12">
        <v>267</v>
      </c>
      <c r="AA16" s="12">
        <v>313</v>
      </c>
      <c r="AB16" s="12">
        <v>302</v>
      </c>
      <c r="AC16" s="12">
        <v>263</v>
      </c>
      <c r="AD16" s="12">
        <v>277</v>
      </c>
      <c r="AE16" s="12">
        <v>233</v>
      </c>
      <c r="AF16" s="12">
        <v>277</v>
      </c>
    </row>
    <row r="17" spans="1:32" x14ac:dyDescent="0.25">
      <c r="A17" s="19"/>
      <c r="B17" s="13" t="s">
        <v>582</v>
      </c>
      <c r="C17" s="14">
        <v>0.27</v>
      </c>
      <c r="D17" s="14">
        <v>0.26</v>
      </c>
      <c r="E17" s="14">
        <v>0.3</v>
      </c>
      <c r="F17" s="14">
        <v>0.3</v>
      </c>
      <c r="G17" s="14">
        <v>0.24</v>
      </c>
      <c r="H17" s="14">
        <v>0.26</v>
      </c>
      <c r="I17" s="14">
        <v>0.25</v>
      </c>
      <c r="J17" s="14">
        <v>0.22</v>
      </c>
      <c r="K17" s="14">
        <v>0.26</v>
      </c>
      <c r="L17" s="14">
        <v>0.26</v>
      </c>
      <c r="M17" s="14">
        <v>0.28000000000000003</v>
      </c>
      <c r="N17" s="14">
        <v>0.3</v>
      </c>
      <c r="O17" s="14">
        <v>0.24</v>
      </c>
      <c r="P17" s="14">
        <v>0.26</v>
      </c>
      <c r="Q17" s="14">
        <v>0.3</v>
      </c>
      <c r="R17" s="14">
        <v>0.27</v>
      </c>
      <c r="S17" s="14">
        <v>0.27</v>
      </c>
      <c r="T17" s="14">
        <v>0.28000000000000003</v>
      </c>
      <c r="U17" s="14">
        <v>0.24</v>
      </c>
      <c r="V17" s="14">
        <v>0.3</v>
      </c>
      <c r="W17" s="14">
        <v>0.23</v>
      </c>
      <c r="X17" s="14">
        <v>0.24</v>
      </c>
      <c r="Y17" s="14">
        <v>0.28000000000000003</v>
      </c>
      <c r="Z17" s="14">
        <v>0.26</v>
      </c>
      <c r="AA17" s="14">
        <v>0.3</v>
      </c>
      <c r="AB17" s="14">
        <v>0.28999999999999998</v>
      </c>
      <c r="AC17" s="14">
        <v>0.26</v>
      </c>
      <c r="AD17" s="14">
        <v>0.28000000000000003</v>
      </c>
      <c r="AE17" s="14">
        <v>0.23</v>
      </c>
      <c r="AF17" s="14">
        <v>0.27</v>
      </c>
    </row>
    <row r="18" spans="1:32" x14ac:dyDescent="0.25">
      <c r="A18" s="19"/>
      <c r="B18" s="11" t="s">
        <v>583</v>
      </c>
      <c r="C18" s="12">
        <v>6333</v>
      </c>
      <c r="D18" s="12">
        <v>261</v>
      </c>
      <c r="E18" s="12">
        <v>244</v>
      </c>
      <c r="F18" s="12">
        <v>260</v>
      </c>
      <c r="G18" s="12">
        <v>265</v>
      </c>
      <c r="H18" s="12">
        <v>274</v>
      </c>
      <c r="I18" s="12">
        <v>348</v>
      </c>
      <c r="J18" s="12">
        <v>74</v>
      </c>
      <c r="K18" s="12">
        <v>269</v>
      </c>
      <c r="L18" s="12">
        <v>299</v>
      </c>
      <c r="M18" s="12">
        <v>226</v>
      </c>
      <c r="N18" s="12">
        <v>234</v>
      </c>
      <c r="O18" s="12">
        <v>228</v>
      </c>
      <c r="P18" s="12">
        <v>252</v>
      </c>
      <c r="Q18" s="12">
        <v>216</v>
      </c>
      <c r="R18" s="12">
        <v>153</v>
      </c>
      <c r="S18" s="12">
        <v>253</v>
      </c>
      <c r="T18" s="12">
        <v>266</v>
      </c>
      <c r="U18" s="12">
        <v>172</v>
      </c>
      <c r="V18" s="12">
        <v>242</v>
      </c>
      <c r="W18" s="12">
        <v>177</v>
      </c>
      <c r="X18" s="12">
        <v>245</v>
      </c>
      <c r="Y18" s="12">
        <v>279</v>
      </c>
      <c r="Z18" s="12">
        <v>294</v>
      </c>
      <c r="AA18" s="12">
        <v>237</v>
      </c>
      <c r="AB18" s="12">
        <v>270</v>
      </c>
      <c r="AC18" s="12">
        <v>264</v>
      </c>
      <c r="AD18" s="12">
        <v>283</v>
      </c>
      <c r="AE18" s="12">
        <v>256</v>
      </c>
      <c r="AF18" s="12">
        <v>277</v>
      </c>
    </row>
    <row r="19" spans="1:32" x14ac:dyDescent="0.25">
      <c r="A19" s="19"/>
      <c r="B19" s="13" t="s">
        <v>583</v>
      </c>
      <c r="C19" s="14">
        <v>0.24</v>
      </c>
      <c r="D19" s="14">
        <v>0.25</v>
      </c>
      <c r="E19" s="14">
        <v>0.23</v>
      </c>
      <c r="F19" s="14">
        <v>0.25</v>
      </c>
      <c r="G19" s="14">
        <v>0.26</v>
      </c>
      <c r="H19" s="14">
        <v>0.22</v>
      </c>
      <c r="I19" s="14">
        <v>0.23</v>
      </c>
      <c r="J19" s="14">
        <v>0.25</v>
      </c>
      <c r="K19" s="14">
        <v>0.27</v>
      </c>
      <c r="L19" s="14">
        <v>0.3</v>
      </c>
      <c r="M19" s="14">
        <v>0.22</v>
      </c>
      <c r="N19" s="14">
        <v>0.23</v>
      </c>
      <c r="O19" s="14">
        <v>0.23</v>
      </c>
      <c r="P19" s="14">
        <v>0.25</v>
      </c>
      <c r="Q19" s="14">
        <v>0.21</v>
      </c>
      <c r="R19" s="14">
        <v>0.31</v>
      </c>
      <c r="S19" s="14">
        <v>0.25</v>
      </c>
      <c r="T19" s="14">
        <v>0.26</v>
      </c>
      <c r="U19" s="14">
        <v>0.34</v>
      </c>
      <c r="V19" s="14">
        <v>0.24</v>
      </c>
      <c r="W19" s="14">
        <v>0.35</v>
      </c>
      <c r="X19" s="14">
        <v>0.24</v>
      </c>
      <c r="Y19" s="14">
        <v>0.28000000000000003</v>
      </c>
      <c r="Z19" s="14">
        <v>0.28999999999999998</v>
      </c>
      <c r="AA19" s="14">
        <v>0.23</v>
      </c>
      <c r="AB19" s="14">
        <v>0.26</v>
      </c>
      <c r="AC19" s="14">
        <v>0.26</v>
      </c>
      <c r="AD19" s="14">
        <v>0.28000000000000003</v>
      </c>
      <c r="AE19" s="14">
        <v>0.26</v>
      </c>
      <c r="AF19" s="14">
        <v>0.27</v>
      </c>
    </row>
    <row r="20" spans="1:32" ht="23.25" x14ac:dyDescent="0.25">
      <c r="A20" s="19"/>
      <c r="B20" s="11" t="s">
        <v>584</v>
      </c>
      <c r="C20" s="12">
        <v>4607</v>
      </c>
      <c r="D20" s="12">
        <v>186</v>
      </c>
      <c r="E20" s="12">
        <v>143</v>
      </c>
      <c r="F20" s="12">
        <v>177</v>
      </c>
      <c r="G20" s="12">
        <v>166</v>
      </c>
      <c r="H20" s="12">
        <v>239</v>
      </c>
      <c r="I20" s="12">
        <v>282</v>
      </c>
      <c r="J20" s="12">
        <v>42</v>
      </c>
      <c r="K20" s="12">
        <v>181</v>
      </c>
      <c r="L20" s="12">
        <v>199</v>
      </c>
      <c r="M20" s="12">
        <v>170</v>
      </c>
      <c r="N20" s="12">
        <v>169</v>
      </c>
      <c r="O20" s="12">
        <v>203</v>
      </c>
      <c r="P20" s="12">
        <v>165</v>
      </c>
      <c r="Q20" s="12">
        <v>164</v>
      </c>
      <c r="R20" s="12">
        <v>85</v>
      </c>
      <c r="S20" s="12">
        <v>169</v>
      </c>
      <c r="T20" s="12">
        <v>160</v>
      </c>
      <c r="U20" s="12">
        <v>93</v>
      </c>
      <c r="V20" s="12">
        <v>175</v>
      </c>
      <c r="W20" s="12">
        <v>78</v>
      </c>
      <c r="X20" s="12">
        <v>204</v>
      </c>
      <c r="Y20" s="12">
        <v>152</v>
      </c>
      <c r="Z20" s="12">
        <v>158</v>
      </c>
      <c r="AA20" s="12">
        <v>154</v>
      </c>
      <c r="AB20" s="12">
        <v>186</v>
      </c>
      <c r="AC20" s="12">
        <v>155</v>
      </c>
      <c r="AD20" s="12">
        <v>166</v>
      </c>
      <c r="AE20" s="12">
        <v>179</v>
      </c>
      <c r="AF20" s="12">
        <v>132</v>
      </c>
    </row>
    <row r="21" spans="1:32" ht="23.25" x14ac:dyDescent="0.25">
      <c r="A21" s="19"/>
      <c r="B21" s="13" t="s">
        <v>585</v>
      </c>
      <c r="C21" s="14">
        <v>0.17</v>
      </c>
      <c r="D21" s="14">
        <v>0.18</v>
      </c>
      <c r="E21" s="14">
        <v>0.14000000000000001</v>
      </c>
      <c r="F21" s="14">
        <v>0.17</v>
      </c>
      <c r="G21" s="14">
        <v>0.16</v>
      </c>
      <c r="H21" s="14">
        <v>0.2</v>
      </c>
      <c r="I21" s="14">
        <v>0.18</v>
      </c>
      <c r="J21" s="14">
        <v>0.14000000000000001</v>
      </c>
      <c r="K21" s="14">
        <v>0.18</v>
      </c>
      <c r="L21" s="14">
        <v>0.2</v>
      </c>
      <c r="M21" s="14">
        <v>0.17</v>
      </c>
      <c r="N21" s="14">
        <v>0.17</v>
      </c>
      <c r="O21" s="14">
        <v>0.2</v>
      </c>
      <c r="P21" s="14">
        <v>0.16</v>
      </c>
      <c r="Q21" s="14">
        <v>0.16</v>
      </c>
      <c r="R21" s="14">
        <v>0.17</v>
      </c>
      <c r="S21" s="14">
        <v>0.17</v>
      </c>
      <c r="T21" s="14">
        <v>0.16</v>
      </c>
      <c r="U21" s="14">
        <v>0.18</v>
      </c>
      <c r="V21" s="14">
        <v>0.17</v>
      </c>
      <c r="W21" s="14">
        <v>0.16</v>
      </c>
      <c r="X21" s="14">
        <v>0.2</v>
      </c>
      <c r="Y21" s="14">
        <v>0.15</v>
      </c>
      <c r="Z21" s="14">
        <v>0.16</v>
      </c>
      <c r="AA21" s="14">
        <v>0.15</v>
      </c>
      <c r="AB21" s="14">
        <v>0.18</v>
      </c>
      <c r="AC21" s="14">
        <v>0.16</v>
      </c>
      <c r="AD21" s="14">
        <v>0.17</v>
      </c>
      <c r="AE21" s="14">
        <v>0.18</v>
      </c>
      <c r="AF21" s="14">
        <v>0.13</v>
      </c>
    </row>
    <row r="22" spans="1:32" x14ac:dyDescent="0.25">
      <c r="A22" s="19"/>
      <c r="B22" s="11" t="s">
        <v>568</v>
      </c>
      <c r="C22" s="12">
        <v>49.28</v>
      </c>
      <c r="D22" s="12">
        <v>48.14</v>
      </c>
      <c r="E22" s="12">
        <v>50.38</v>
      </c>
      <c r="F22" s="12">
        <v>48.4</v>
      </c>
      <c r="G22" s="12">
        <v>49.8</v>
      </c>
      <c r="H22" s="12">
        <v>49.71</v>
      </c>
      <c r="I22" s="12">
        <v>50.02</v>
      </c>
      <c r="J22" s="12">
        <v>51.33</v>
      </c>
      <c r="K22" s="12">
        <v>48.27</v>
      </c>
      <c r="L22" s="12">
        <v>46.22</v>
      </c>
      <c r="M22" s="12">
        <v>49.95</v>
      </c>
      <c r="N22" s="12">
        <v>49.13</v>
      </c>
      <c r="O22" s="12">
        <v>48.7</v>
      </c>
      <c r="P22" s="12">
        <v>49.15</v>
      </c>
      <c r="Q22" s="12">
        <v>50.48</v>
      </c>
      <c r="R22" s="12">
        <v>47.02</v>
      </c>
      <c r="S22" s="12">
        <v>49.48</v>
      </c>
      <c r="T22" s="12">
        <v>49.44</v>
      </c>
      <c r="U22" s="12">
        <v>45.97</v>
      </c>
      <c r="V22" s="12">
        <v>48.71</v>
      </c>
      <c r="W22" s="12">
        <v>46.61</v>
      </c>
      <c r="X22" s="12">
        <v>48.01</v>
      </c>
      <c r="Y22" s="12">
        <v>48.68</v>
      </c>
      <c r="Z22" s="12">
        <v>48.44</v>
      </c>
      <c r="AA22" s="12">
        <v>50.56</v>
      </c>
      <c r="AB22" s="12">
        <v>48.06</v>
      </c>
      <c r="AC22" s="12">
        <v>49.66</v>
      </c>
      <c r="AD22" s="12">
        <v>47.62</v>
      </c>
      <c r="AE22" s="12">
        <v>49.53</v>
      </c>
      <c r="AF22" s="12">
        <v>51.18</v>
      </c>
    </row>
    <row r="23" spans="1:32" x14ac:dyDescent="0.25">
      <c r="A23" s="19"/>
      <c r="B23" s="13" t="s">
        <v>569</v>
      </c>
      <c r="C23" s="15" t="s">
        <v>213</v>
      </c>
      <c r="D23" s="15" t="s">
        <v>213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</sheetData>
  <mergeCells count="9">
    <mergeCell ref="B10:B11"/>
    <mergeCell ref="H4:L4"/>
    <mergeCell ref="A10:A23"/>
    <mergeCell ref="B4:F4"/>
    <mergeCell ref="H3:L3"/>
    <mergeCell ref="C8:AF8"/>
    <mergeCell ref="B3:F3"/>
    <mergeCell ref="B5:F5"/>
    <mergeCell ref="H5:L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F2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107</v>
      </c>
      <c r="C3" s="18"/>
      <c r="D3" s="18"/>
      <c r="E3" s="18"/>
      <c r="F3" s="18"/>
      <c r="H3" s="18" t="s">
        <v>108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586</v>
      </c>
      <c r="C12" s="12">
        <v>3084</v>
      </c>
      <c r="D12" s="12">
        <v>50</v>
      </c>
      <c r="E12" s="12">
        <v>90</v>
      </c>
      <c r="F12" s="12">
        <v>45</v>
      </c>
      <c r="G12" s="12">
        <v>25</v>
      </c>
      <c r="H12" s="12">
        <v>108</v>
      </c>
      <c r="I12" s="12">
        <v>126</v>
      </c>
      <c r="J12" s="12">
        <v>18</v>
      </c>
      <c r="K12" s="12">
        <v>45</v>
      </c>
      <c r="L12" s="12">
        <v>101</v>
      </c>
      <c r="M12" s="12">
        <v>239</v>
      </c>
      <c r="N12" s="12">
        <v>225</v>
      </c>
      <c r="O12" s="12">
        <v>83</v>
      </c>
      <c r="P12" s="12">
        <v>96</v>
      </c>
      <c r="Q12" s="12">
        <v>214</v>
      </c>
      <c r="R12" s="12">
        <v>59</v>
      </c>
      <c r="S12" s="12">
        <v>55</v>
      </c>
      <c r="T12" s="12">
        <v>34</v>
      </c>
      <c r="U12" s="12">
        <v>36</v>
      </c>
      <c r="V12" s="12">
        <v>91</v>
      </c>
      <c r="W12" s="12">
        <v>52</v>
      </c>
      <c r="X12" s="12">
        <v>29</v>
      </c>
      <c r="Y12" s="12">
        <v>164</v>
      </c>
      <c r="Z12" s="12">
        <v>37</v>
      </c>
      <c r="AA12" s="12">
        <v>394</v>
      </c>
      <c r="AB12" s="12">
        <v>97</v>
      </c>
      <c r="AC12" s="12">
        <v>95</v>
      </c>
      <c r="AD12" s="12">
        <v>22</v>
      </c>
      <c r="AE12" s="12">
        <v>38</v>
      </c>
      <c r="AF12" s="12">
        <v>22</v>
      </c>
    </row>
    <row r="13" spans="1:32" x14ac:dyDescent="0.25">
      <c r="A13" s="19"/>
      <c r="B13" s="13" t="s">
        <v>586</v>
      </c>
      <c r="C13" s="14">
        <v>0.12</v>
      </c>
      <c r="D13" s="14">
        <v>0.05</v>
      </c>
      <c r="E13" s="14">
        <v>0.09</v>
      </c>
      <c r="F13" s="14">
        <v>0.04</v>
      </c>
      <c r="G13" s="14">
        <v>0.02</v>
      </c>
      <c r="H13" s="14">
        <v>0.09</v>
      </c>
      <c r="I13" s="14">
        <v>0.08</v>
      </c>
      <c r="J13" s="14">
        <v>0.06</v>
      </c>
      <c r="K13" s="14">
        <v>0.05</v>
      </c>
      <c r="L13" s="14">
        <v>0.1</v>
      </c>
      <c r="M13" s="14">
        <v>0.24</v>
      </c>
      <c r="N13" s="14">
        <v>0.22</v>
      </c>
      <c r="O13" s="14">
        <v>0.08</v>
      </c>
      <c r="P13" s="14">
        <v>0.1</v>
      </c>
      <c r="Q13" s="14">
        <v>0.21</v>
      </c>
      <c r="R13" s="14">
        <v>0.12</v>
      </c>
      <c r="S13" s="14">
        <v>0.06</v>
      </c>
      <c r="T13" s="14">
        <v>0.03</v>
      </c>
      <c r="U13" s="14">
        <v>7.0000000000000007E-2</v>
      </c>
      <c r="V13" s="14">
        <v>0.09</v>
      </c>
      <c r="W13" s="14">
        <v>0.1</v>
      </c>
      <c r="X13" s="14">
        <v>0.03</v>
      </c>
      <c r="Y13" s="14">
        <v>0.16</v>
      </c>
      <c r="Z13" s="14">
        <v>0.04</v>
      </c>
      <c r="AA13" s="14">
        <v>0.38</v>
      </c>
      <c r="AB13" s="14">
        <v>0.09</v>
      </c>
      <c r="AC13" s="14">
        <v>0.1</v>
      </c>
      <c r="AD13" s="14">
        <v>0.02</v>
      </c>
      <c r="AE13" s="14">
        <v>0.04</v>
      </c>
      <c r="AF13" s="14">
        <v>0.02</v>
      </c>
    </row>
    <row r="14" spans="1:32" x14ac:dyDescent="0.25">
      <c r="A14" s="19"/>
      <c r="B14" s="11" t="s">
        <v>587</v>
      </c>
      <c r="C14" s="12">
        <v>12097</v>
      </c>
      <c r="D14" s="12">
        <v>339</v>
      </c>
      <c r="E14" s="12">
        <v>644</v>
      </c>
      <c r="F14" s="12">
        <v>639</v>
      </c>
      <c r="G14" s="12">
        <v>128</v>
      </c>
      <c r="H14" s="12">
        <v>589</v>
      </c>
      <c r="I14" s="12">
        <v>768</v>
      </c>
      <c r="J14" s="12">
        <v>179</v>
      </c>
      <c r="K14" s="12">
        <v>435</v>
      </c>
      <c r="L14" s="12">
        <v>380</v>
      </c>
      <c r="M14" s="12">
        <v>400</v>
      </c>
      <c r="N14" s="12">
        <v>392</v>
      </c>
      <c r="O14" s="12">
        <v>429</v>
      </c>
      <c r="P14" s="12">
        <v>732</v>
      </c>
      <c r="Q14" s="12">
        <v>518</v>
      </c>
      <c r="R14" s="12">
        <v>162</v>
      </c>
      <c r="S14" s="12">
        <v>507</v>
      </c>
      <c r="T14" s="12">
        <v>440</v>
      </c>
      <c r="U14" s="12">
        <v>133</v>
      </c>
      <c r="V14" s="12">
        <v>641</v>
      </c>
      <c r="W14" s="12">
        <v>227</v>
      </c>
      <c r="X14" s="12">
        <v>260</v>
      </c>
      <c r="Y14" s="12">
        <v>516</v>
      </c>
      <c r="Z14" s="12">
        <v>526</v>
      </c>
      <c r="AA14" s="12">
        <v>340</v>
      </c>
      <c r="AB14" s="12">
        <v>678</v>
      </c>
      <c r="AC14" s="12">
        <v>494</v>
      </c>
      <c r="AD14" s="12">
        <v>632</v>
      </c>
      <c r="AE14" s="12">
        <v>213</v>
      </c>
      <c r="AF14" s="12">
        <v>205</v>
      </c>
    </row>
    <row r="15" spans="1:32" x14ac:dyDescent="0.25">
      <c r="A15" s="19"/>
      <c r="B15" s="13" t="s">
        <v>587</v>
      </c>
      <c r="C15" s="14">
        <v>0.46</v>
      </c>
      <c r="D15" s="14">
        <v>0.33</v>
      </c>
      <c r="E15" s="14">
        <v>0.62</v>
      </c>
      <c r="F15" s="14">
        <v>0.6</v>
      </c>
      <c r="G15" s="14">
        <v>0.13</v>
      </c>
      <c r="H15" s="14">
        <v>0.48</v>
      </c>
      <c r="I15" s="14">
        <v>0.5</v>
      </c>
      <c r="J15" s="14">
        <v>0.6</v>
      </c>
      <c r="K15" s="14">
        <v>0.43</v>
      </c>
      <c r="L15" s="14">
        <v>0.38</v>
      </c>
      <c r="M15" s="14">
        <v>0.4</v>
      </c>
      <c r="N15" s="14">
        <v>0.39</v>
      </c>
      <c r="O15" s="14">
        <v>0.43</v>
      </c>
      <c r="P15" s="14">
        <v>0.73</v>
      </c>
      <c r="Q15" s="14">
        <v>0.5</v>
      </c>
      <c r="R15" s="14">
        <v>0.32</v>
      </c>
      <c r="S15" s="14">
        <v>0.5</v>
      </c>
      <c r="T15" s="14">
        <v>0.43</v>
      </c>
      <c r="U15" s="14">
        <v>0.26</v>
      </c>
      <c r="V15" s="14">
        <v>0.62</v>
      </c>
      <c r="W15" s="14">
        <v>0.45</v>
      </c>
      <c r="X15" s="14">
        <v>0.26</v>
      </c>
      <c r="Y15" s="14">
        <v>0.52</v>
      </c>
      <c r="Z15" s="14">
        <v>0.52</v>
      </c>
      <c r="AA15" s="14">
        <v>0.33</v>
      </c>
      <c r="AB15" s="14">
        <v>0.65</v>
      </c>
      <c r="AC15" s="14">
        <v>0.49</v>
      </c>
      <c r="AD15" s="14">
        <v>0.63</v>
      </c>
      <c r="AE15" s="14">
        <v>0.21</v>
      </c>
      <c r="AF15" s="14">
        <v>0.2</v>
      </c>
    </row>
    <row r="16" spans="1:32" x14ac:dyDescent="0.25">
      <c r="A16" s="19"/>
      <c r="B16" s="11" t="s">
        <v>588</v>
      </c>
      <c r="C16" s="12">
        <v>9295</v>
      </c>
      <c r="D16" s="12">
        <v>532</v>
      </c>
      <c r="E16" s="12">
        <v>284</v>
      </c>
      <c r="F16" s="12">
        <v>326</v>
      </c>
      <c r="G16" s="12">
        <v>787</v>
      </c>
      <c r="H16" s="12">
        <v>427</v>
      </c>
      <c r="I16" s="12">
        <v>519</v>
      </c>
      <c r="J16" s="12">
        <v>92</v>
      </c>
      <c r="K16" s="12">
        <v>437</v>
      </c>
      <c r="L16" s="12">
        <v>460</v>
      </c>
      <c r="M16" s="12">
        <v>301</v>
      </c>
      <c r="N16" s="12">
        <v>354</v>
      </c>
      <c r="O16" s="12">
        <v>398</v>
      </c>
      <c r="P16" s="12">
        <v>145</v>
      </c>
      <c r="Q16" s="12">
        <v>197</v>
      </c>
      <c r="R16" s="12">
        <v>269</v>
      </c>
      <c r="S16" s="12">
        <v>387</v>
      </c>
      <c r="T16" s="12">
        <v>450</v>
      </c>
      <c r="U16" s="12">
        <v>289</v>
      </c>
      <c r="V16" s="12">
        <v>231</v>
      </c>
      <c r="W16" s="12">
        <v>189</v>
      </c>
      <c r="X16" s="12">
        <v>610</v>
      </c>
      <c r="Y16" s="12">
        <v>248</v>
      </c>
      <c r="Z16" s="12">
        <v>408</v>
      </c>
      <c r="AA16" s="12">
        <v>196</v>
      </c>
      <c r="AB16" s="12">
        <v>195</v>
      </c>
      <c r="AC16" s="12">
        <v>323</v>
      </c>
      <c r="AD16" s="12">
        <v>275</v>
      </c>
      <c r="AE16" s="12">
        <v>646</v>
      </c>
      <c r="AF16" s="12">
        <v>756</v>
      </c>
    </row>
    <row r="17" spans="1:32" x14ac:dyDescent="0.25">
      <c r="A17" s="19"/>
      <c r="B17" s="13" t="s">
        <v>588</v>
      </c>
      <c r="C17" s="14">
        <v>0.35</v>
      </c>
      <c r="D17" s="14">
        <v>0.52</v>
      </c>
      <c r="E17" s="14">
        <v>0.27</v>
      </c>
      <c r="F17" s="14">
        <v>0.31</v>
      </c>
      <c r="G17" s="14">
        <v>0.77</v>
      </c>
      <c r="H17" s="14">
        <v>0.35</v>
      </c>
      <c r="I17" s="14">
        <v>0.34</v>
      </c>
      <c r="J17" s="14">
        <v>0.31</v>
      </c>
      <c r="K17" s="14">
        <v>0.44</v>
      </c>
      <c r="L17" s="14">
        <v>0.46</v>
      </c>
      <c r="M17" s="14">
        <v>0.3</v>
      </c>
      <c r="N17" s="14">
        <v>0.35</v>
      </c>
      <c r="O17" s="14">
        <v>0.4</v>
      </c>
      <c r="P17" s="14">
        <v>0.14000000000000001</v>
      </c>
      <c r="Q17" s="14">
        <v>0.19</v>
      </c>
      <c r="R17" s="14">
        <v>0.54</v>
      </c>
      <c r="S17" s="14">
        <v>0.39</v>
      </c>
      <c r="T17" s="14">
        <v>0.44</v>
      </c>
      <c r="U17" s="14">
        <v>0.57000000000000006</v>
      </c>
      <c r="V17" s="14">
        <v>0.23</v>
      </c>
      <c r="W17" s="14">
        <v>0.38</v>
      </c>
      <c r="X17" s="14">
        <v>0.6</v>
      </c>
      <c r="Y17" s="14">
        <v>0.25</v>
      </c>
      <c r="Z17" s="14">
        <v>0.4</v>
      </c>
      <c r="AA17" s="14">
        <v>0.19</v>
      </c>
      <c r="AB17" s="14">
        <v>0.19</v>
      </c>
      <c r="AC17" s="14">
        <v>0.32</v>
      </c>
      <c r="AD17" s="14">
        <v>0.28000000000000003</v>
      </c>
      <c r="AE17" s="14">
        <v>0.65</v>
      </c>
      <c r="AF17" s="14">
        <v>0.73</v>
      </c>
    </row>
    <row r="18" spans="1:32" x14ac:dyDescent="0.25">
      <c r="A18" s="19"/>
      <c r="B18" s="11" t="s">
        <v>589</v>
      </c>
      <c r="C18" s="12">
        <v>1812</v>
      </c>
      <c r="D18" s="12">
        <v>91</v>
      </c>
      <c r="E18" s="12">
        <v>24</v>
      </c>
      <c r="F18" s="12">
        <v>43</v>
      </c>
      <c r="G18" s="12">
        <v>46</v>
      </c>
      <c r="H18" s="12">
        <v>104</v>
      </c>
      <c r="I18" s="12">
        <v>112</v>
      </c>
      <c r="J18" s="12">
        <v>9</v>
      </c>
      <c r="K18" s="12">
        <v>82</v>
      </c>
      <c r="L18" s="12">
        <v>61</v>
      </c>
      <c r="M18" s="12">
        <v>55</v>
      </c>
      <c r="N18" s="12">
        <v>33</v>
      </c>
      <c r="O18" s="12">
        <v>90</v>
      </c>
      <c r="P18" s="12">
        <v>26</v>
      </c>
      <c r="Q18" s="12">
        <v>87</v>
      </c>
      <c r="R18" s="12">
        <v>11</v>
      </c>
      <c r="S18" s="12">
        <v>49</v>
      </c>
      <c r="T18" s="12">
        <v>91</v>
      </c>
      <c r="U18" s="12">
        <v>37</v>
      </c>
      <c r="V18" s="12">
        <v>59</v>
      </c>
      <c r="W18" s="12">
        <v>33</v>
      </c>
      <c r="X18" s="12">
        <v>105</v>
      </c>
      <c r="Y18" s="12">
        <v>72</v>
      </c>
      <c r="Z18" s="12">
        <v>43</v>
      </c>
      <c r="AA18" s="12">
        <v>98</v>
      </c>
      <c r="AB18" s="12">
        <v>69</v>
      </c>
      <c r="AC18" s="12">
        <v>89</v>
      </c>
      <c r="AD18" s="12">
        <v>69</v>
      </c>
      <c r="AE18" s="12">
        <v>103</v>
      </c>
      <c r="AF18" s="12">
        <v>47</v>
      </c>
    </row>
    <row r="19" spans="1:32" x14ac:dyDescent="0.25">
      <c r="A19" s="19"/>
      <c r="B19" s="13" t="s">
        <v>590</v>
      </c>
      <c r="C19" s="14">
        <v>7.0000000000000007E-2</v>
      </c>
      <c r="D19" s="14">
        <v>0.09</v>
      </c>
      <c r="E19" s="14">
        <v>0.02</v>
      </c>
      <c r="F19" s="14">
        <v>0.04</v>
      </c>
      <c r="G19" s="14">
        <v>0.05</v>
      </c>
      <c r="H19" s="14">
        <v>0.08</v>
      </c>
      <c r="I19" s="14">
        <v>0.08</v>
      </c>
      <c r="J19" s="14">
        <v>0.03</v>
      </c>
      <c r="K19" s="14">
        <v>0.08</v>
      </c>
      <c r="L19" s="14">
        <v>0.06</v>
      </c>
      <c r="M19" s="14">
        <v>0.05</v>
      </c>
      <c r="N19" s="14">
        <v>0.03</v>
      </c>
      <c r="O19" s="14">
        <v>0.09</v>
      </c>
      <c r="P19" s="14">
        <v>0.03</v>
      </c>
      <c r="Q19" s="14">
        <v>0.09</v>
      </c>
      <c r="R19" s="14">
        <v>0.02</v>
      </c>
      <c r="S19" s="14">
        <v>0.05</v>
      </c>
      <c r="T19" s="14">
        <v>0.09</v>
      </c>
      <c r="U19" s="14">
        <v>7.0000000000000007E-2</v>
      </c>
      <c r="V19" s="14">
        <v>0.06</v>
      </c>
      <c r="W19" s="14">
        <v>7.0000000000000007E-2</v>
      </c>
      <c r="X19" s="14">
        <v>0.1</v>
      </c>
      <c r="Y19" s="14">
        <v>7.0000000000000007E-2</v>
      </c>
      <c r="Z19" s="14">
        <v>0.04</v>
      </c>
      <c r="AA19" s="14">
        <v>0.09</v>
      </c>
      <c r="AB19" s="14">
        <v>7.0000000000000007E-2</v>
      </c>
      <c r="AC19" s="14">
        <v>0.09</v>
      </c>
      <c r="AD19" s="14">
        <v>7.0000000000000007E-2</v>
      </c>
      <c r="AE19" s="14">
        <v>0.1</v>
      </c>
      <c r="AF19" s="14">
        <v>0.05</v>
      </c>
    </row>
    <row r="20" spans="1:32" x14ac:dyDescent="0.25">
      <c r="A20" s="19"/>
      <c r="B20" s="11" t="s">
        <v>591</v>
      </c>
      <c r="C20" s="12">
        <v>56</v>
      </c>
      <c r="D20" s="12">
        <v>3</v>
      </c>
      <c r="E20" s="12">
        <v>1</v>
      </c>
      <c r="F20" s="12">
        <v>1</v>
      </c>
      <c r="G20" s="12">
        <v>31</v>
      </c>
      <c r="H20" s="12">
        <v>0</v>
      </c>
      <c r="I20" s="12">
        <v>0</v>
      </c>
      <c r="J20" s="12">
        <v>0</v>
      </c>
      <c r="K20" s="12">
        <v>0</v>
      </c>
      <c r="L20" s="12">
        <v>2</v>
      </c>
      <c r="M20" s="12">
        <v>13</v>
      </c>
      <c r="N20" s="12">
        <v>8</v>
      </c>
      <c r="O20" s="12">
        <v>0</v>
      </c>
      <c r="P20" s="12">
        <v>3</v>
      </c>
      <c r="Q20" s="12">
        <v>0</v>
      </c>
      <c r="R20" s="12">
        <v>0</v>
      </c>
      <c r="S20" s="12">
        <v>1</v>
      </c>
      <c r="T20" s="12">
        <v>0</v>
      </c>
      <c r="U20" s="12">
        <v>13</v>
      </c>
      <c r="V20" s="12">
        <v>1</v>
      </c>
      <c r="W20" s="12">
        <v>1</v>
      </c>
      <c r="X20" s="12">
        <v>0</v>
      </c>
      <c r="Y20" s="12">
        <v>1</v>
      </c>
      <c r="Z20" s="12">
        <v>0</v>
      </c>
      <c r="AA20" s="12">
        <v>5</v>
      </c>
      <c r="AB20" s="12">
        <v>2</v>
      </c>
      <c r="AC20" s="12">
        <v>4</v>
      </c>
      <c r="AD20" s="12">
        <v>0</v>
      </c>
      <c r="AE20" s="12">
        <v>0</v>
      </c>
      <c r="AF20" s="12">
        <v>2</v>
      </c>
    </row>
    <row r="21" spans="1:32" x14ac:dyDescent="0.25">
      <c r="A21" s="19"/>
      <c r="B21" s="13" t="s">
        <v>592</v>
      </c>
      <c r="C21" s="15" t="s">
        <v>213</v>
      </c>
      <c r="D21" s="15" t="s">
        <v>213</v>
      </c>
      <c r="E21" s="15" t="s">
        <v>213</v>
      </c>
      <c r="F21" s="15" t="s">
        <v>213</v>
      </c>
      <c r="G21" s="14">
        <v>0.03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5" t="s">
        <v>213</v>
      </c>
      <c r="M21" s="14">
        <v>0.01</v>
      </c>
      <c r="N21" s="14">
        <v>0.01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5" t="s">
        <v>213</v>
      </c>
      <c r="T21" s="15" t="s">
        <v>213</v>
      </c>
      <c r="U21" s="14">
        <v>0.03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  <row r="22" spans="1:32" x14ac:dyDescent="0.25">
      <c r="A22" s="19"/>
      <c r="B22" s="11" t="s">
        <v>555</v>
      </c>
      <c r="C22" s="12">
        <v>57</v>
      </c>
      <c r="D22" s="12">
        <v>1</v>
      </c>
      <c r="E22" s="12">
        <v>1</v>
      </c>
      <c r="F22" s="12">
        <v>3</v>
      </c>
      <c r="G22" s="12">
        <v>0</v>
      </c>
      <c r="H22" s="12">
        <v>1</v>
      </c>
      <c r="I22" s="12">
        <v>1</v>
      </c>
      <c r="J22" s="12">
        <v>0</v>
      </c>
      <c r="K22" s="12">
        <v>3</v>
      </c>
      <c r="L22" s="12">
        <v>0</v>
      </c>
      <c r="M22" s="12">
        <v>0</v>
      </c>
      <c r="N22" s="12">
        <v>0</v>
      </c>
      <c r="O22" s="12">
        <v>1</v>
      </c>
      <c r="P22" s="12">
        <v>1</v>
      </c>
      <c r="Q22" s="12">
        <v>13</v>
      </c>
      <c r="R22" s="12">
        <v>0</v>
      </c>
      <c r="S22" s="12">
        <v>1</v>
      </c>
      <c r="T22" s="12">
        <v>0</v>
      </c>
      <c r="U22" s="12">
        <v>0</v>
      </c>
      <c r="V22" s="12">
        <v>1</v>
      </c>
      <c r="W22" s="12">
        <v>0</v>
      </c>
      <c r="X22" s="12">
        <v>1</v>
      </c>
      <c r="Y22" s="12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2</v>
      </c>
      <c r="AE22" s="12">
        <v>0</v>
      </c>
      <c r="AF22" s="12">
        <v>0</v>
      </c>
    </row>
    <row r="23" spans="1:32" x14ac:dyDescent="0.25">
      <c r="A23" s="19"/>
      <c r="B23" s="13" t="s">
        <v>556</v>
      </c>
      <c r="C23" s="15" t="s">
        <v>213</v>
      </c>
      <c r="D23" s="15" t="s">
        <v>213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4">
        <v>0.01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  <row r="24" spans="1:32" x14ac:dyDescent="0.25">
      <c r="A24" s="19"/>
      <c r="B24" s="11" t="s">
        <v>224</v>
      </c>
      <c r="C24" s="12">
        <v>53</v>
      </c>
      <c r="D24" s="12">
        <v>5</v>
      </c>
      <c r="E24" s="12">
        <v>2</v>
      </c>
      <c r="F24" s="12">
        <v>7</v>
      </c>
      <c r="G24" s="12">
        <v>0</v>
      </c>
      <c r="H24" s="12">
        <v>1</v>
      </c>
      <c r="I24" s="12">
        <v>1</v>
      </c>
      <c r="J24" s="12">
        <v>0</v>
      </c>
      <c r="K24" s="12">
        <v>4</v>
      </c>
      <c r="L24" s="12">
        <v>2</v>
      </c>
      <c r="M24" s="12">
        <v>0</v>
      </c>
      <c r="N24" s="12">
        <v>0</v>
      </c>
      <c r="O24" s="12">
        <v>4</v>
      </c>
      <c r="P24" s="12">
        <v>0</v>
      </c>
      <c r="Q24" s="12">
        <v>2</v>
      </c>
      <c r="R24" s="12">
        <v>1</v>
      </c>
      <c r="S24" s="12">
        <v>4</v>
      </c>
      <c r="T24" s="12">
        <v>8</v>
      </c>
      <c r="U24" s="12">
        <v>0</v>
      </c>
      <c r="V24" s="12">
        <v>1</v>
      </c>
      <c r="W24" s="12">
        <v>0</v>
      </c>
      <c r="X24" s="12">
        <v>5</v>
      </c>
      <c r="Y24" s="12">
        <v>2</v>
      </c>
      <c r="Z24" s="12">
        <v>1</v>
      </c>
      <c r="AA24" s="12">
        <v>5</v>
      </c>
      <c r="AB24" s="12">
        <v>1</v>
      </c>
      <c r="AC24" s="12">
        <v>1</v>
      </c>
      <c r="AD24" s="12">
        <v>3</v>
      </c>
      <c r="AE24" s="12">
        <v>1</v>
      </c>
      <c r="AF24" s="12">
        <v>0</v>
      </c>
    </row>
    <row r="25" spans="1:32" x14ac:dyDescent="0.25">
      <c r="A25" s="19"/>
      <c r="B25" s="13" t="s">
        <v>237</v>
      </c>
      <c r="C25" s="15" t="s">
        <v>213</v>
      </c>
      <c r="D25" s="14">
        <v>0.01</v>
      </c>
      <c r="E25" s="15" t="s">
        <v>213</v>
      </c>
      <c r="F25" s="14">
        <v>0.01</v>
      </c>
      <c r="G25" s="15" t="s">
        <v>213</v>
      </c>
      <c r="H25" s="15" t="s">
        <v>213</v>
      </c>
      <c r="I25" s="15" t="s">
        <v>213</v>
      </c>
      <c r="J25" s="15" t="s">
        <v>213</v>
      </c>
      <c r="K25" s="15" t="s">
        <v>213</v>
      </c>
      <c r="L25" s="15" t="s">
        <v>213</v>
      </c>
      <c r="M25" s="15" t="s">
        <v>213</v>
      </c>
      <c r="N25" s="15" t="s">
        <v>213</v>
      </c>
      <c r="O25" s="15" t="s">
        <v>213</v>
      </c>
      <c r="P25" s="15" t="s">
        <v>213</v>
      </c>
      <c r="Q25" s="15" t="s">
        <v>213</v>
      </c>
      <c r="R25" s="15" t="s">
        <v>213</v>
      </c>
      <c r="S25" s="15" t="s">
        <v>213</v>
      </c>
      <c r="T25" s="14">
        <v>0.01</v>
      </c>
      <c r="U25" s="15" t="s">
        <v>213</v>
      </c>
      <c r="V25" s="15" t="s">
        <v>213</v>
      </c>
      <c r="W25" s="15" t="s">
        <v>213</v>
      </c>
      <c r="X25" s="14">
        <v>0.01</v>
      </c>
      <c r="Y25" s="15" t="s">
        <v>213</v>
      </c>
      <c r="Z25" s="15" t="s">
        <v>213</v>
      </c>
      <c r="AA25" s="14">
        <v>0.01</v>
      </c>
      <c r="AB25" s="15" t="s">
        <v>213</v>
      </c>
      <c r="AC25" s="15" t="s">
        <v>213</v>
      </c>
      <c r="AD25" s="15" t="s">
        <v>213</v>
      </c>
      <c r="AE25" s="15" t="s">
        <v>213</v>
      </c>
      <c r="AF25" s="15" t="s">
        <v>213</v>
      </c>
    </row>
    <row r="26" spans="1:32" x14ac:dyDescent="0.25">
      <c r="A26" s="19"/>
      <c r="B26" s="11" t="s">
        <v>568</v>
      </c>
      <c r="C26" s="12">
        <v>19.57</v>
      </c>
      <c r="D26" s="12">
        <v>20.62</v>
      </c>
      <c r="E26" s="12">
        <v>19.559999999999999</v>
      </c>
      <c r="F26" s="12">
        <v>19.7</v>
      </c>
      <c r="G26" s="12">
        <v>24.88</v>
      </c>
      <c r="H26" s="12">
        <v>19.899999999999999</v>
      </c>
      <c r="I26" s="12">
        <v>19.739999999999998</v>
      </c>
      <c r="J26" s="12">
        <v>19.09</v>
      </c>
      <c r="K26" s="12">
        <v>20.27</v>
      </c>
      <c r="L26" s="12">
        <v>19.850000000000001</v>
      </c>
      <c r="M26" s="12">
        <v>18.3</v>
      </c>
      <c r="N26" s="12">
        <v>18.53</v>
      </c>
      <c r="O26" s="12">
        <v>19.440000000000001</v>
      </c>
      <c r="P26" s="12">
        <v>18.440000000000001</v>
      </c>
      <c r="Q26" s="12">
        <v>18.39</v>
      </c>
      <c r="R26" s="12">
        <v>20.63</v>
      </c>
      <c r="S26" s="12">
        <v>20.23</v>
      </c>
      <c r="T26" s="12">
        <v>20.13</v>
      </c>
      <c r="U26" s="12">
        <v>21.05</v>
      </c>
      <c r="V26" s="12">
        <v>18.600000000000001</v>
      </c>
      <c r="W26" s="12">
        <v>19.36</v>
      </c>
      <c r="X26" s="12">
        <v>22.05</v>
      </c>
      <c r="Y26" s="12">
        <v>18.91</v>
      </c>
      <c r="Z26" s="12">
        <v>19.91</v>
      </c>
      <c r="AA26" s="12">
        <v>16.57</v>
      </c>
      <c r="AB26" s="12">
        <v>18.79</v>
      </c>
      <c r="AC26" s="12">
        <v>19.93</v>
      </c>
      <c r="AD26" s="12">
        <v>19.64</v>
      </c>
      <c r="AE26" s="12">
        <v>24.1</v>
      </c>
      <c r="AF26" s="12">
        <v>25.87</v>
      </c>
    </row>
    <row r="27" spans="1:32" x14ac:dyDescent="0.25">
      <c r="A27" s="19"/>
      <c r="B27" s="13" t="s">
        <v>569</v>
      </c>
      <c r="C27" s="15" t="s">
        <v>213</v>
      </c>
      <c r="D27" s="15" t="s">
        <v>213</v>
      </c>
      <c r="E27" s="15" t="s">
        <v>213</v>
      </c>
      <c r="F27" s="15" t="s">
        <v>213</v>
      </c>
      <c r="G27" s="15" t="s">
        <v>213</v>
      </c>
      <c r="H27" s="15" t="s">
        <v>213</v>
      </c>
      <c r="I27" s="15" t="s">
        <v>213</v>
      </c>
      <c r="J27" s="15" t="s">
        <v>213</v>
      </c>
      <c r="K27" s="15" t="s">
        <v>213</v>
      </c>
      <c r="L27" s="15" t="s">
        <v>213</v>
      </c>
      <c r="M27" s="15" t="s">
        <v>213</v>
      </c>
      <c r="N27" s="15" t="s">
        <v>213</v>
      </c>
      <c r="O27" s="15" t="s">
        <v>213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5" t="s">
        <v>213</v>
      </c>
      <c r="V27" s="15" t="s">
        <v>213</v>
      </c>
      <c r="W27" s="15" t="s">
        <v>213</v>
      </c>
      <c r="X27" s="15" t="s">
        <v>213</v>
      </c>
      <c r="Y27" s="15" t="s">
        <v>213</v>
      </c>
      <c r="Z27" s="15" t="s">
        <v>213</v>
      </c>
      <c r="AA27" s="15" t="s">
        <v>213</v>
      </c>
      <c r="AB27" s="15" t="s">
        <v>213</v>
      </c>
      <c r="AC27" s="15" t="s">
        <v>213</v>
      </c>
      <c r="AD27" s="15" t="s">
        <v>213</v>
      </c>
      <c r="AE27" s="15" t="s">
        <v>213</v>
      </c>
      <c r="AF27" s="15" t="s">
        <v>213</v>
      </c>
    </row>
  </sheetData>
  <mergeCells count="9">
    <mergeCell ref="H3:L3"/>
    <mergeCell ref="C8:AF8"/>
    <mergeCell ref="B3:F3"/>
    <mergeCell ref="B5:F5"/>
    <mergeCell ref="A10:A27"/>
    <mergeCell ref="B10:B11"/>
    <mergeCell ref="H4:L4"/>
    <mergeCell ref="B4:F4"/>
    <mergeCell ref="H5:L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4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109</v>
      </c>
      <c r="C3" s="18"/>
      <c r="D3" s="18"/>
      <c r="E3" s="18"/>
      <c r="F3" s="18"/>
      <c r="H3" s="18" t="s">
        <v>110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34.5" x14ac:dyDescent="0.25">
      <c r="A12" s="19"/>
      <c r="B12" s="11" t="s">
        <v>593</v>
      </c>
      <c r="C12" s="12">
        <v>208</v>
      </c>
      <c r="D12" s="12">
        <v>13</v>
      </c>
      <c r="E12" s="12">
        <v>7</v>
      </c>
      <c r="F12" s="12">
        <v>1</v>
      </c>
      <c r="G12" s="12">
        <v>3</v>
      </c>
      <c r="H12" s="12">
        <v>1</v>
      </c>
      <c r="I12" s="12">
        <v>2</v>
      </c>
      <c r="J12" s="12">
        <v>0</v>
      </c>
      <c r="K12" s="12">
        <v>0</v>
      </c>
      <c r="L12" s="12">
        <v>8</v>
      </c>
      <c r="M12" s="12">
        <v>23</v>
      </c>
      <c r="N12" s="12">
        <v>36</v>
      </c>
      <c r="O12" s="12">
        <v>3</v>
      </c>
      <c r="P12" s="12">
        <v>7</v>
      </c>
      <c r="Q12" s="12">
        <v>3</v>
      </c>
      <c r="R12" s="12">
        <v>2</v>
      </c>
      <c r="S12" s="12">
        <v>2</v>
      </c>
      <c r="T12" s="12">
        <v>2</v>
      </c>
      <c r="U12" s="12">
        <v>1</v>
      </c>
      <c r="V12" s="12">
        <v>0</v>
      </c>
      <c r="W12" s="12">
        <v>1</v>
      </c>
      <c r="X12" s="12">
        <v>3</v>
      </c>
      <c r="Y12" s="12">
        <v>0</v>
      </c>
      <c r="Z12" s="12">
        <v>3</v>
      </c>
      <c r="AA12" s="12">
        <v>45</v>
      </c>
      <c r="AB12" s="12">
        <v>7</v>
      </c>
      <c r="AC12" s="12">
        <v>0</v>
      </c>
      <c r="AD12" s="12">
        <v>4</v>
      </c>
      <c r="AE12" s="12">
        <v>1</v>
      </c>
      <c r="AF12" s="12">
        <v>4</v>
      </c>
    </row>
    <row r="13" spans="1:32" ht="23.25" x14ac:dyDescent="0.25">
      <c r="A13" s="19"/>
      <c r="B13" s="13" t="s">
        <v>594</v>
      </c>
      <c r="C13" s="14">
        <v>0.01</v>
      </c>
      <c r="D13" s="14">
        <v>0.01</v>
      </c>
      <c r="E13" s="14">
        <v>0.01</v>
      </c>
      <c r="F13" s="15" t="s">
        <v>213</v>
      </c>
      <c r="G13" s="15" t="s">
        <v>213</v>
      </c>
      <c r="H13" s="15" t="s">
        <v>213</v>
      </c>
      <c r="I13" s="15" t="s">
        <v>213</v>
      </c>
      <c r="J13" s="15" t="s">
        <v>213</v>
      </c>
      <c r="K13" s="15" t="s">
        <v>213</v>
      </c>
      <c r="L13" s="14">
        <v>0.01</v>
      </c>
      <c r="M13" s="14">
        <v>0.02</v>
      </c>
      <c r="N13" s="14">
        <v>0.04</v>
      </c>
      <c r="O13" s="15" t="s">
        <v>213</v>
      </c>
      <c r="P13" s="14">
        <v>0.01</v>
      </c>
      <c r="Q13" s="15" t="s">
        <v>213</v>
      </c>
      <c r="R13" s="15" t="s">
        <v>213</v>
      </c>
      <c r="S13" s="15" t="s">
        <v>213</v>
      </c>
      <c r="T13" s="15" t="s">
        <v>213</v>
      </c>
      <c r="U13" s="15" t="s">
        <v>213</v>
      </c>
      <c r="V13" s="15" t="s">
        <v>213</v>
      </c>
      <c r="W13" s="15" t="s">
        <v>213</v>
      </c>
      <c r="X13" s="15" t="s">
        <v>213</v>
      </c>
      <c r="Y13" s="15" t="s">
        <v>213</v>
      </c>
      <c r="Z13" s="15" t="s">
        <v>213</v>
      </c>
      <c r="AA13" s="14">
        <v>0.04</v>
      </c>
      <c r="AB13" s="14">
        <v>0.01</v>
      </c>
      <c r="AC13" s="15" t="s">
        <v>213</v>
      </c>
      <c r="AD13" s="15" t="s">
        <v>213</v>
      </c>
      <c r="AE13" s="15" t="s">
        <v>213</v>
      </c>
      <c r="AF13" s="15" t="s">
        <v>213</v>
      </c>
    </row>
    <row r="14" spans="1:32" x14ac:dyDescent="0.25">
      <c r="A14" s="19"/>
      <c r="B14" s="11" t="s">
        <v>595</v>
      </c>
      <c r="C14" s="12">
        <v>1068</v>
      </c>
      <c r="D14" s="12">
        <v>29</v>
      </c>
      <c r="E14" s="12">
        <v>15</v>
      </c>
      <c r="F14" s="12">
        <v>4</v>
      </c>
      <c r="G14" s="12">
        <v>0</v>
      </c>
      <c r="H14" s="12">
        <v>20</v>
      </c>
      <c r="I14" s="12">
        <v>23</v>
      </c>
      <c r="J14" s="12">
        <v>3</v>
      </c>
      <c r="K14" s="12">
        <v>18</v>
      </c>
      <c r="L14" s="12">
        <v>54</v>
      </c>
      <c r="M14" s="12">
        <v>135</v>
      </c>
      <c r="N14" s="12">
        <v>64</v>
      </c>
      <c r="O14" s="12">
        <v>59</v>
      </c>
      <c r="P14" s="12">
        <v>11</v>
      </c>
      <c r="Q14" s="12">
        <v>47</v>
      </c>
      <c r="R14" s="12">
        <v>45</v>
      </c>
      <c r="S14" s="12">
        <v>12</v>
      </c>
      <c r="T14" s="12">
        <v>25</v>
      </c>
      <c r="U14" s="12">
        <v>33</v>
      </c>
      <c r="V14" s="12">
        <v>3</v>
      </c>
      <c r="W14" s="12">
        <v>31</v>
      </c>
      <c r="X14" s="12">
        <v>13</v>
      </c>
      <c r="Y14" s="12">
        <v>2</v>
      </c>
      <c r="Z14" s="12">
        <v>5</v>
      </c>
      <c r="AA14" s="12">
        <v>283</v>
      </c>
      <c r="AB14" s="12">
        <v>34</v>
      </c>
      <c r="AC14" s="12">
        <v>8</v>
      </c>
      <c r="AD14" s="12">
        <v>57</v>
      </c>
      <c r="AE14" s="12">
        <v>27</v>
      </c>
      <c r="AF14" s="12">
        <v>8</v>
      </c>
    </row>
    <row r="15" spans="1:32" x14ac:dyDescent="0.25">
      <c r="A15" s="19"/>
      <c r="B15" s="13" t="s">
        <v>596</v>
      </c>
      <c r="C15" s="14">
        <v>0.04</v>
      </c>
      <c r="D15" s="14">
        <v>0.03</v>
      </c>
      <c r="E15" s="14">
        <v>0.01</v>
      </c>
      <c r="F15" s="15" t="s">
        <v>213</v>
      </c>
      <c r="G15" s="15" t="s">
        <v>213</v>
      </c>
      <c r="H15" s="14">
        <v>0.02</v>
      </c>
      <c r="I15" s="14">
        <v>0.02</v>
      </c>
      <c r="J15" s="14">
        <v>0.01</v>
      </c>
      <c r="K15" s="14">
        <v>0.02</v>
      </c>
      <c r="L15" s="14">
        <v>0.05</v>
      </c>
      <c r="M15" s="14">
        <v>0.14000000000000001</v>
      </c>
      <c r="N15" s="14">
        <v>0.06</v>
      </c>
      <c r="O15" s="14">
        <v>0.06</v>
      </c>
      <c r="P15" s="14">
        <v>0.01</v>
      </c>
      <c r="Q15" s="14">
        <v>0.05</v>
      </c>
      <c r="R15" s="14">
        <v>0.09</v>
      </c>
      <c r="S15" s="14">
        <v>0.01</v>
      </c>
      <c r="T15" s="14">
        <v>0.03</v>
      </c>
      <c r="U15" s="14">
        <v>7.0000000000000007E-2</v>
      </c>
      <c r="V15" s="15" t="s">
        <v>213</v>
      </c>
      <c r="W15" s="14">
        <v>0.06</v>
      </c>
      <c r="X15" s="14">
        <v>0.01</v>
      </c>
      <c r="Y15" s="15" t="s">
        <v>213</v>
      </c>
      <c r="Z15" s="14">
        <v>0.01</v>
      </c>
      <c r="AA15" s="14">
        <v>0.27</v>
      </c>
      <c r="AB15" s="14">
        <v>0.03</v>
      </c>
      <c r="AC15" s="14">
        <v>0.01</v>
      </c>
      <c r="AD15" s="14">
        <v>0.06</v>
      </c>
      <c r="AE15" s="14">
        <v>0.03</v>
      </c>
      <c r="AF15" s="14">
        <v>0.01</v>
      </c>
    </row>
    <row r="16" spans="1:32" ht="34.5" x14ac:dyDescent="0.25">
      <c r="A16" s="19"/>
      <c r="B16" s="11" t="s">
        <v>597</v>
      </c>
      <c r="C16" s="12">
        <v>5615</v>
      </c>
      <c r="D16" s="12">
        <v>155</v>
      </c>
      <c r="E16" s="12">
        <v>102</v>
      </c>
      <c r="F16" s="12">
        <v>93</v>
      </c>
      <c r="G16" s="12">
        <v>107</v>
      </c>
      <c r="H16" s="12">
        <v>438</v>
      </c>
      <c r="I16" s="12">
        <v>518</v>
      </c>
      <c r="J16" s="12">
        <v>80</v>
      </c>
      <c r="K16" s="12">
        <v>144</v>
      </c>
      <c r="L16" s="12">
        <v>116</v>
      </c>
      <c r="M16" s="12">
        <v>129</v>
      </c>
      <c r="N16" s="12">
        <v>162</v>
      </c>
      <c r="O16" s="12">
        <v>284</v>
      </c>
      <c r="P16" s="12">
        <v>78</v>
      </c>
      <c r="Q16" s="12">
        <v>268</v>
      </c>
      <c r="R16" s="12">
        <v>22</v>
      </c>
      <c r="S16" s="12">
        <v>100</v>
      </c>
      <c r="T16" s="12">
        <v>151</v>
      </c>
      <c r="U16" s="12">
        <v>51</v>
      </c>
      <c r="V16" s="12">
        <v>370</v>
      </c>
      <c r="W16" s="12">
        <v>96</v>
      </c>
      <c r="X16" s="12">
        <v>98</v>
      </c>
      <c r="Y16" s="12">
        <v>74</v>
      </c>
      <c r="Z16" s="12">
        <v>85</v>
      </c>
      <c r="AA16" s="12">
        <v>205</v>
      </c>
      <c r="AB16" s="12">
        <v>148</v>
      </c>
      <c r="AC16" s="12">
        <v>352</v>
      </c>
      <c r="AD16" s="12">
        <v>221</v>
      </c>
      <c r="AE16" s="12">
        <v>132</v>
      </c>
      <c r="AF16" s="12">
        <v>67</v>
      </c>
    </row>
    <row r="17" spans="1:32" ht="23.25" x14ac:dyDescent="0.25">
      <c r="A17" s="19"/>
      <c r="B17" s="13" t="s">
        <v>598</v>
      </c>
      <c r="C17" s="14">
        <v>0.21</v>
      </c>
      <c r="D17" s="14">
        <v>0.15</v>
      </c>
      <c r="E17" s="14">
        <v>0.1</v>
      </c>
      <c r="F17" s="14">
        <v>0.09</v>
      </c>
      <c r="G17" s="14">
        <v>0.11</v>
      </c>
      <c r="H17" s="14">
        <v>0.36</v>
      </c>
      <c r="I17" s="14">
        <v>0.34</v>
      </c>
      <c r="J17" s="14">
        <v>0.27</v>
      </c>
      <c r="K17" s="14">
        <v>0.14000000000000001</v>
      </c>
      <c r="L17" s="14">
        <v>0.12</v>
      </c>
      <c r="M17" s="14">
        <v>0.13</v>
      </c>
      <c r="N17" s="14">
        <v>0.16</v>
      </c>
      <c r="O17" s="14">
        <v>0.28000000000000003</v>
      </c>
      <c r="P17" s="14">
        <v>0.08</v>
      </c>
      <c r="Q17" s="14">
        <v>0.26</v>
      </c>
      <c r="R17" s="14">
        <v>0.04</v>
      </c>
      <c r="S17" s="14">
        <v>0.1</v>
      </c>
      <c r="T17" s="14">
        <v>0.15</v>
      </c>
      <c r="U17" s="14">
        <v>0.1</v>
      </c>
      <c r="V17" s="14">
        <v>0.36</v>
      </c>
      <c r="W17" s="14">
        <v>0.19</v>
      </c>
      <c r="X17" s="14">
        <v>0.1</v>
      </c>
      <c r="Y17" s="14">
        <v>7.0000000000000007E-2</v>
      </c>
      <c r="Z17" s="14">
        <v>0.09</v>
      </c>
      <c r="AA17" s="14">
        <v>0.2</v>
      </c>
      <c r="AB17" s="14">
        <v>0.14000000000000001</v>
      </c>
      <c r="AC17" s="14">
        <v>0.35</v>
      </c>
      <c r="AD17" s="14">
        <v>0.22</v>
      </c>
      <c r="AE17" s="14">
        <v>0.13</v>
      </c>
      <c r="AF17" s="14">
        <v>7.0000000000000007E-2</v>
      </c>
    </row>
    <row r="18" spans="1:32" ht="34.5" x14ac:dyDescent="0.25">
      <c r="A18" s="19"/>
      <c r="B18" s="11" t="s">
        <v>599</v>
      </c>
      <c r="C18" s="12">
        <v>9787</v>
      </c>
      <c r="D18" s="12">
        <v>342</v>
      </c>
      <c r="E18" s="12">
        <v>652</v>
      </c>
      <c r="F18" s="12">
        <v>698</v>
      </c>
      <c r="G18" s="12">
        <v>281</v>
      </c>
      <c r="H18" s="12">
        <v>388</v>
      </c>
      <c r="I18" s="12">
        <v>511</v>
      </c>
      <c r="J18" s="12">
        <v>123</v>
      </c>
      <c r="K18" s="12">
        <v>363</v>
      </c>
      <c r="L18" s="12">
        <v>270</v>
      </c>
      <c r="M18" s="12">
        <v>423</v>
      </c>
      <c r="N18" s="12">
        <v>130</v>
      </c>
      <c r="O18" s="12">
        <v>240</v>
      </c>
      <c r="P18" s="12">
        <v>696</v>
      </c>
      <c r="Q18" s="12">
        <v>538</v>
      </c>
      <c r="R18" s="12">
        <v>158</v>
      </c>
      <c r="S18" s="12">
        <v>435</v>
      </c>
      <c r="T18" s="12">
        <v>310</v>
      </c>
      <c r="U18" s="12">
        <v>91</v>
      </c>
      <c r="V18" s="12">
        <v>395</v>
      </c>
      <c r="W18" s="12">
        <v>59</v>
      </c>
      <c r="X18" s="12">
        <v>323</v>
      </c>
      <c r="Y18" s="12">
        <v>72</v>
      </c>
      <c r="Z18" s="12">
        <v>692</v>
      </c>
      <c r="AA18" s="12">
        <v>309</v>
      </c>
      <c r="AB18" s="12">
        <v>657</v>
      </c>
      <c r="AC18" s="12">
        <v>314</v>
      </c>
      <c r="AD18" s="12">
        <v>451</v>
      </c>
      <c r="AE18" s="12">
        <v>232</v>
      </c>
      <c r="AF18" s="12">
        <v>208</v>
      </c>
    </row>
    <row r="19" spans="1:32" ht="23.25" x14ac:dyDescent="0.25">
      <c r="A19" s="19"/>
      <c r="B19" s="13" t="s">
        <v>600</v>
      </c>
      <c r="C19" s="14">
        <v>0.37</v>
      </c>
      <c r="D19" s="14">
        <v>0.34</v>
      </c>
      <c r="E19" s="14">
        <v>0.62</v>
      </c>
      <c r="F19" s="14">
        <v>0.66</v>
      </c>
      <c r="G19" s="14">
        <v>0.28000000000000003</v>
      </c>
      <c r="H19" s="14">
        <v>0.32</v>
      </c>
      <c r="I19" s="14">
        <v>0.33</v>
      </c>
      <c r="J19" s="14">
        <v>0.41</v>
      </c>
      <c r="K19" s="14">
        <v>0.36</v>
      </c>
      <c r="L19" s="14">
        <v>0.27</v>
      </c>
      <c r="M19" s="14">
        <v>0.42</v>
      </c>
      <c r="N19" s="14">
        <v>0.13</v>
      </c>
      <c r="O19" s="14">
        <v>0.24</v>
      </c>
      <c r="P19" s="14">
        <v>0.69000000000000006</v>
      </c>
      <c r="Q19" s="14">
        <v>0.52</v>
      </c>
      <c r="R19" s="14">
        <v>0.32</v>
      </c>
      <c r="S19" s="14">
        <v>0.43</v>
      </c>
      <c r="T19" s="14">
        <v>0.3</v>
      </c>
      <c r="U19" s="14">
        <v>0.18</v>
      </c>
      <c r="V19" s="14">
        <v>0.39</v>
      </c>
      <c r="W19" s="14">
        <v>0.12</v>
      </c>
      <c r="X19" s="14">
        <v>0.32</v>
      </c>
      <c r="Y19" s="14">
        <v>7.0000000000000007E-2</v>
      </c>
      <c r="Z19" s="14">
        <v>0.68</v>
      </c>
      <c r="AA19" s="14">
        <v>0.3</v>
      </c>
      <c r="AB19" s="14">
        <v>0.63</v>
      </c>
      <c r="AC19" s="14">
        <v>0.31</v>
      </c>
      <c r="AD19" s="14">
        <v>0.45</v>
      </c>
      <c r="AE19" s="14">
        <v>0.23</v>
      </c>
      <c r="AF19" s="14">
        <v>0.2</v>
      </c>
    </row>
    <row r="20" spans="1:32" ht="23.25" x14ac:dyDescent="0.25">
      <c r="A20" s="19"/>
      <c r="B20" s="11" t="s">
        <v>601</v>
      </c>
      <c r="C20" s="12">
        <v>2106</v>
      </c>
      <c r="D20" s="12">
        <v>53</v>
      </c>
      <c r="E20" s="12">
        <v>0</v>
      </c>
      <c r="F20" s="12">
        <v>34</v>
      </c>
      <c r="G20" s="12">
        <v>126</v>
      </c>
      <c r="H20" s="12">
        <v>80</v>
      </c>
      <c r="I20" s="12">
        <v>101</v>
      </c>
      <c r="J20" s="12">
        <v>21</v>
      </c>
      <c r="K20" s="12">
        <v>94</v>
      </c>
      <c r="L20" s="12">
        <v>78</v>
      </c>
      <c r="M20" s="12">
        <v>81</v>
      </c>
      <c r="N20" s="12">
        <v>318</v>
      </c>
      <c r="O20" s="12">
        <v>26</v>
      </c>
      <c r="P20" s="12">
        <v>12</v>
      </c>
      <c r="Q20" s="12">
        <v>9</v>
      </c>
      <c r="R20" s="12">
        <v>2</v>
      </c>
      <c r="S20" s="12">
        <v>126</v>
      </c>
      <c r="T20" s="12">
        <v>96</v>
      </c>
      <c r="U20" s="12">
        <v>80</v>
      </c>
      <c r="V20" s="12">
        <v>61</v>
      </c>
      <c r="W20" s="12">
        <v>99</v>
      </c>
      <c r="X20" s="12">
        <v>9</v>
      </c>
      <c r="Y20" s="12">
        <v>488</v>
      </c>
      <c r="Z20" s="12">
        <v>24</v>
      </c>
      <c r="AA20" s="12">
        <v>11</v>
      </c>
      <c r="AB20" s="12">
        <v>46</v>
      </c>
      <c r="AC20" s="12">
        <v>21</v>
      </c>
      <c r="AD20" s="12">
        <v>30</v>
      </c>
      <c r="AE20" s="12">
        <v>40</v>
      </c>
      <c r="AF20" s="12">
        <v>118</v>
      </c>
    </row>
    <row r="21" spans="1:32" ht="45.75" x14ac:dyDescent="0.25">
      <c r="A21" s="19"/>
      <c r="B21" s="13" t="s">
        <v>602</v>
      </c>
      <c r="C21" s="14">
        <v>0.08</v>
      </c>
      <c r="D21" s="14">
        <v>0.05</v>
      </c>
      <c r="E21" s="15" t="s">
        <v>213</v>
      </c>
      <c r="F21" s="14">
        <v>0.03</v>
      </c>
      <c r="G21" s="14">
        <v>0.12</v>
      </c>
      <c r="H21" s="14">
        <v>0.06</v>
      </c>
      <c r="I21" s="14">
        <v>7.0000000000000007E-2</v>
      </c>
      <c r="J21" s="14">
        <v>7.0000000000000007E-2</v>
      </c>
      <c r="K21" s="14">
        <v>0.09</v>
      </c>
      <c r="L21" s="14">
        <v>0.08</v>
      </c>
      <c r="M21" s="14">
        <v>0.08</v>
      </c>
      <c r="N21" s="14">
        <v>0.31</v>
      </c>
      <c r="O21" s="14">
        <v>0.03</v>
      </c>
      <c r="P21" s="14">
        <v>0.01</v>
      </c>
      <c r="Q21" s="14">
        <v>0.01</v>
      </c>
      <c r="R21" s="15" t="s">
        <v>213</v>
      </c>
      <c r="S21" s="14">
        <v>0.13</v>
      </c>
      <c r="T21" s="14">
        <v>0.09</v>
      </c>
      <c r="U21" s="14">
        <v>0.16</v>
      </c>
      <c r="V21" s="14">
        <v>0.06</v>
      </c>
      <c r="W21" s="14">
        <v>0.2</v>
      </c>
      <c r="X21" s="14">
        <v>0.01</v>
      </c>
      <c r="Y21" s="14">
        <v>0.49</v>
      </c>
      <c r="Z21" s="14">
        <v>0.02</v>
      </c>
      <c r="AA21" s="14">
        <v>0.01</v>
      </c>
      <c r="AB21" s="14">
        <v>0.05</v>
      </c>
      <c r="AC21" s="14">
        <v>0.02</v>
      </c>
      <c r="AD21" s="14">
        <v>0.03</v>
      </c>
      <c r="AE21" s="14">
        <v>0.04</v>
      </c>
      <c r="AF21" s="14">
        <v>0.11</v>
      </c>
    </row>
    <row r="22" spans="1:32" ht="23.25" x14ac:dyDescent="0.25">
      <c r="A22" s="19"/>
      <c r="B22" s="11" t="s">
        <v>603</v>
      </c>
      <c r="C22" s="12">
        <v>1794</v>
      </c>
      <c r="D22" s="12">
        <v>181</v>
      </c>
      <c r="E22" s="12">
        <v>0</v>
      </c>
      <c r="F22" s="12">
        <v>4</v>
      </c>
      <c r="G22" s="12">
        <v>189</v>
      </c>
      <c r="H22" s="12">
        <v>44</v>
      </c>
      <c r="I22" s="12">
        <v>64</v>
      </c>
      <c r="J22" s="12">
        <v>20</v>
      </c>
      <c r="K22" s="12">
        <v>45</v>
      </c>
      <c r="L22" s="12">
        <v>85</v>
      </c>
      <c r="M22" s="12">
        <v>0</v>
      </c>
      <c r="N22" s="12">
        <v>86</v>
      </c>
      <c r="O22" s="12">
        <v>172</v>
      </c>
      <c r="P22" s="12">
        <v>51</v>
      </c>
      <c r="Q22" s="12">
        <v>9</v>
      </c>
      <c r="R22" s="12">
        <v>56</v>
      </c>
      <c r="S22" s="12">
        <v>62</v>
      </c>
      <c r="T22" s="12">
        <v>0</v>
      </c>
      <c r="U22" s="12">
        <v>45</v>
      </c>
      <c r="V22" s="12">
        <v>23</v>
      </c>
      <c r="W22" s="12">
        <v>50</v>
      </c>
      <c r="X22" s="12">
        <v>59</v>
      </c>
      <c r="Y22" s="12">
        <v>230</v>
      </c>
      <c r="Z22" s="12">
        <v>0</v>
      </c>
      <c r="AA22" s="12">
        <v>10</v>
      </c>
      <c r="AB22" s="12">
        <v>8</v>
      </c>
      <c r="AC22" s="12">
        <v>89</v>
      </c>
      <c r="AD22" s="12">
        <v>0</v>
      </c>
      <c r="AE22" s="12">
        <v>125</v>
      </c>
      <c r="AF22" s="12">
        <v>207</v>
      </c>
    </row>
    <row r="23" spans="1:32" x14ac:dyDescent="0.25">
      <c r="A23" s="19"/>
      <c r="B23" s="13" t="s">
        <v>604</v>
      </c>
      <c r="C23" s="14">
        <v>7.0000000000000007E-2</v>
      </c>
      <c r="D23" s="14">
        <v>0.18</v>
      </c>
      <c r="E23" s="15" t="s">
        <v>213</v>
      </c>
      <c r="F23" s="15" t="s">
        <v>213</v>
      </c>
      <c r="G23" s="14">
        <v>0.19</v>
      </c>
      <c r="H23" s="14">
        <v>0.04</v>
      </c>
      <c r="I23" s="14">
        <v>0.04</v>
      </c>
      <c r="J23" s="14">
        <v>7.0000000000000007E-2</v>
      </c>
      <c r="K23" s="14">
        <v>0.05</v>
      </c>
      <c r="L23" s="14">
        <v>0.08</v>
      </c>
      <c r="M23" s="15" t="s">
        <v>213</v>
      </c>
      <c r="N23" s="14">
        <v>0.09</v>
      </c>
      <c r="O23" s="14">
        <v>0.17</v>
      </c>
      <c r="P23" s="14">
        <v>0.05</v>
      </c>
      <c r="Q23" s="14">
        <v>0.01</v>
      </c>
      <c r="R23" s="14">
        <v>0.11</v>
      </c>
      <c r="S23" s="14">
        <v>0.06</v>
      </c>
      <c r="T23" s="15" t="s">
        <v>213</v>
      </c>
      <c r="U23" s="14">
        <v>0.09</v>
      </c>
      <c r="V23" s="14">
        <v>0.02</v>
      </c>
      <c r="W23" s="14">
        <v>0.1</v>
      </c>
      <c r="X23" s="14">
        <v>0.06</v>
      </c>
      <c r="Y23" s="14">
        <v>0.23</v>
      </c>
      <c r="Z23" s="15" t="s">
        <v>213</v>
      </c>
      <c r="AA23" s="14">
        <v>0.01</v>
      </c>
      <c r="AB23" s="14">
        <v>0.01</v>
      </c>
      <c r="AC23" s="14">
        <v>0.09</v>
      </c>
      <c r="AD23" s="15" t="s">
        <v>213</v>
      </c>
      <c r="AE23" s="14">
        <v>0.12</v>
      </c>
      <c r="AF23" s="14">
        <v>0.2</v>
      </c>
    </row>
    <row r="24" spans="1:32" ht="23.25" x14ac:dyDescent="0.25">
      <c r="A24" s="19"/>
      <c r="B24" s="11" t="s">
        <v>605</v>
      </c>
      <c r="C24" s="12">
        <v>2727</v>
      </c>
      <c r="D24" s="12">
        <v>95</v>
      </c>
      <c r="E24" s="12">
        <v>132</v>
      </c>
      <c r="F24" s="12">
        <v>91</v>
      </c>
      <c r="G24" s="12">
        <v>123</v>
      </c>
      <c r="H24" s="12">
        <v>101</v>
      </c>
      <c r="I24" s="12">
        <v>120</v>
      </c>
      <c r="J24" s="12">
        <v>19</v>
      </c>
      <c r="K24" s="12">
        <v>170</v>
      </c>
      <c r="L24" s="12">
        <v>249</v>
      </c>
      <c r="M24" s="12">
        <v>173</v>
      </c>
      <c r="N24" s="12">
        <v>152</v>
      </c>
      <c r="O24" s="12">
        <v>100</v>
      </c>
      <c r="P24" s="12">
        <v>38</v>
      </c>
      <c r="Q24" s="12">
        <v>39</v>
      </c>
      <c r="R24" s="12">
        <v>134</v>
      </c>
      <c r="S24" s="12">
        <v>123</v>
      </c>
      <c r="T24" s="12">
        <v>335</v>
      </c>
      <c r="U24" s="12">
        <v>57</v>
      </c>
      <c r="V24" s="12">
        <v>105</v>
      </c>
      <c r="W24" s="12">
        <v>85</v>
      </c>
      <c r="X24" s="12">
        <v>255</v>
      </c>
      <c r="Y24" s="12">
        <v>46</v>
      </c>
      <c r="Z24" s="12">
        <v>45</v>
      </c>
      <c r="AA24" s="12">
        <v>135</v>
      </c>
      <c r="AB24" s="12">
        <v>116</v>
      </c>
      <c r="AC24" s="12">
        <v>135</v>
      </c>
      <c r="AD24" s="12">
        <v>55</v>
      </c>
      <c r="AE24" s="12">
        <v>219</v>
      </c>
      <c r="AF24" s="12">
        <v>200</v>
      </c>
    </row>
    <row r="25" spans="1:32" x14ac:dyDescent="0.25">
      <c r="A25" s="19"/>
      <c r="B25" s="13" t="s">
        <v>606</v>
      </c>
      <c r="C25" s="14">
        <v>0.1</v>
      </c>
      <c r="D25" s="14">
        <v>0.09</v>
      </c>
      <c r="E25" s="14">
        <v>0.13</v>
      </c>
      <c r="F25" s="14">
        <v>0.09</v>
      </c>
      <c r="G25" s="14">
        <v>0.12</v>
      </c>
      <c r="H25" s="14">
        <v>0.08</v>
      </c>
      <c r="I25" s="14">
        <v>0.08</v>
      </c>
      <c r="J25" s="14">
        <v>0.06</v>
      </c>
      <c r="K25" s="14">
        <v>0.17</v>
      </c>
      <c r="L25" s="14">
        <v>0.25</v>
      </c>
      <c r="M25" s="14">
        <v>0.17</v>
      </c>
      <c r="N25" s="14">
        <v>0.15</v>
      </c>
      <c r="O25" s="14">
        <v>0.1</v>
      </c>
      <c r="P25" s="14">
        <v>0.04</v>
      </c>
      <c r="Q25" s="14">
        <v>0.04</v>
      </c>
      <c r="R25" s="14">
        <v>0.27</v>
      </c>
      <c r="S25" s="14">
        <v>0.12</v>
      </c>
      <c r="T25" s="14">
        <v>0.33</v>
      </c>
      <c r="U25" s="14">
        <v>0.11</v>
      </c>
      <c r="V25" s="14">
        <v>0.1</v>
      </c>
      <c r="W25" s="14">
        <v>0.17</v>
      </c>
      <c r="X25" s="14">
        <v>0.25</v>
      </c>
      <c r="Y25" s="14">
        <v>0.05</v>
      </c>
      <c r="Z25" s="14">
        <v>0.04</v>
      </c>
      <c r="AA25" s="14">
        <v>0.13</v>
      </c>
      <c r="AB25" s="14">
        <v>0.11</v>
      </c>
      <c r="AC25" s="14">
        <v>0.13</v>
      </c>
      <c r="AD25" s="14">
        <v>0.06</v>
      </c>
      <c r="AE25" s="14">
        <v>0.22</v>
      </c>
      <c r="AF25" s="14">
        <v>0.19</v>
      </c>
    </row>
    <row r="26" spans="1:32" ht="23.25" x14ac:dyDescent="0.25">
      <c r="A26" s="19"/>
      <c r="B26" s="11" t="s">
        <v>607</v>
      </c>
      <c r="C26" s="12">
        <v>2877</v>
      </c>
      <c r="D26" s="12">
        <v>147</v>
      </c>
      <c r="E26" s="12">
        <v>135</v>
      </c>
      <c r="F26" s="12">
        <v>130</v>
      </c>
      <c r="G26" s="12">
        <v>174</v>
      </c>
      <c r="H26" s="12">
        <v>139</v>
      </c>
      <c r="I26" s="12">
        <v>167</v>
      </c>
      <c r="J26" s="12">
        <v>28</v>
      </c>
      <c r="K26" s="12">
        <v>164</v>
      </c>
      <c r="L26" s="12">
        <v>136</v>
      </c>
      <c r="M26" s="12">
        <v>41</v>
      </c>
      <c r="N26" s="12">
        <v>54</v>
      </c>
      <c r="O26" s="12">
        <v>104</v>
      </c>
      <c r="P26" s="12">
        <v>93</v>
      </c>
      <c r="Q26" s="12">
        <v>118</v>
      </c>
      <c r="R26" s="12">
        <v>74</v>
      </c>
      <c r="S26" s="12">
        <v>138</v>
      </c>
      <c r="T26" s="12">
        <v>101</v>
      </c>
      <c r="U26" s="12">
        <v>142</v>
      </c>
      <c r="V26" s="12">
        <v>68</v>
      </c>
      <c r="W26" s="12">
        <v>77</v>
      </c>
      <c r="X26" s="12">
        <v>222</v>
      </c>
      <c r="Y26" s="12">
        <v>73</v>
      </c>
      <c r="Z26" s="12">
        <v>159</v>
      </c>
      <c r="AA26" s="12">
        <v>38</v>
      </c>
      <c r="AB26" s="12">
        <v>25</v>
      </c>
      <c r="AC26" s="12">
        <v>76</v>
      </c>
      <c r="AD26" s="12">
        <v>157</v>
      </c>
      <c r="AE26" s="12">
        <v>198</v>
      </c>
      <c r="AF26" s="12">
        <v>181</v>
      </c>
    </row>
    <row r="27" spans="1:32" x14ac:dyDescent="0.25">
      <c r="A27" s="19"/>
      <c r="B27" s="13" t="s">
        <v>608</v>
      </c>
      <c r="C27" s="14">
        <v>0.11</v>
      </c>
      <c r="D27" s="14">
        <v>0.14000000000000001</v>
      </c>
      <c r="E27" s="14">
        <v>0.13</v>
      </c>
      <c r="F27" s="14">
        <v>0.12</v>
      </c>
      <c r="G27" s="14">
        <v>0.17</v>
      </c>
      <c r="H27" s="14">
        <v>0.11</v>
      </c>
      <c r="I27" s="14">
        <v>0.11</v>
      </c>
      <c r="J27" s="14">
        <v>0.1</v>
      </c>
      <c r="K27" s="14">
        <v>0.16</v>
      </c>
      <c r="L27" s="14">
        <v>0.13</v>
      </c>
      <c r="M27" s="14">
        <v>0.04</v>
      </c>
      <c r="N27" s="14">
        <v>0.05</v>
      </c>
      <c r="O27" s="14">
        <v>0.1</v>
      </c>
      <c r="P27" s="14">
        <v>0.09</v>
      </c>
      <c r="Q27" s="14">
        <v>0.11</v>
      </c>
      <c r="R27" s="14">
        <v>0.15</v>
      </c>
      <c r="S27" s="14">
        <v>0.14000000000000001</v>
      </c>
      <c r="T27" s="14">
        <v>0.1</v>
      </c>
      <c r="U27" s="14">
        <v>0.28000000000000003</v>
      </c>
      <c r="V27" s="14">
        <v>7.0000000000000007E-2</v>
      </c>
      <c r="W27" s="14">
        <v>0.15</v>
      </c>
      <c r="X27" s="14">
        <v>0.22</v>
      </c>
      <c r="Y27" s="14">
        <v>7.0000000000000007E-2</v>
      </c>
      <c r="Z27" s="14">
        <v>0.16</v>
      </c>
      <c r="AA27" s="14">
        <v>0.04</v>
      </c>
      <c r="AB27" s="14">
        <v>0.02</v>
      </c>
      <c r="AC27" s="14">
        <v>0.08</v>
      </c>
      <c r="AD27" s="14">
        <v>0.16</v>
      </c>
      <c r="AE27" s="14">
        <v>0.2</v>
      </c>
      <c r="AF27" s="14">
        <v>0.18</v>
      </c>
    </row>
    <row r="28" spans="1:32" ht="23.25" x14ac:dyDescent="0.25">
      <c r="A28" s="19"/>
      <c r="B28" s="11" t="s">
        <v>609</v>
      </c>
      <c r="C28" s="12">
        <v>262</v>
      </c>
      <c r="D28" s="12">
        <v>5</v>
      </c>
      <c r="E28" s="12">
        <v>2</v>
      </c>
      <c r="F28" s="12">
        <v>6</v>
      </c>
      <c r="G28" s="12">
        <v>11</v>
      </c>
      <c r="H28" s="12">
        <v>17</v>
      </c>
      <c r="I28" s="12">
        <v>20</v>
      </c>
      <c r="J28" s="12">
        <v>2</v>
      </c>
      <c r="K28" s="12">
        <v>6</v>
      </c>
      <c r="L28" s="12">
        <v>11</v>
      </c>
      <c r="M28" s="12">
        <v>1</v>
      </c>
      <c r="N28" s="12">
        <v>9</v>
      </c>
      <c r="O28" s="12">
        <v>15</v>
      </c>
      <c r="P28" s="12">
        <v>16</v>
      </c>
      <c r="Q28" s="12">
        <v>1</v>
      </c>
      <c r="R28" s="12">
        <v>9</v>
      </c>
      <c r="S28" s="12">
        <v>6</v>
      </c>
      <c r="T28" s="12">
        <v>3</v>
      </c>
      <c r="U28" s="12">
        <v>6</v>
      </c>
      <c r="V28" s="12">
        <v>1</v>
      </c>
      <c r="W28" s="12">
        <v>4</v>
      </c>
      <c r="X28" s="12">
        <v>27</v>
      </c>
      <c r="Y28" s="12">
        <v>18</v>
      </c>
      <c r="Z28" s="12">
        <v>3</v>
      </c>
      <c r="AA28" s="12">
        <v>1</v>
      </c>
      <c r="AB28" s="12">
        <v>0</v>
      </c>
      <c r="AC28" s="12">
        <v>9</v>
      </c>
      <c r="AD28" s="12">
        <v>25</v>
      </c>
      <c r="AE28" s="12">
        <v>26</v>
      </c>
      <c r="AF28" s="12">
        <v>38</v>
      </c>
    </row>
    <row r="29" spans="1:32" x14ac:dyDescent="0.25">
      <c r="A29" s="19"/>
      <c r="B29" s="13" t="s">
        <v>610</v>
      </c>
      <c r="C29" s="14">
        <v>0.01</v>
      </c>
      <c r="D29" s="14">
        <v>0.01</v>
      </c>
      <c r="E29" s="15" t="s">
        <v>213</v>
      </c>
      <c r="F29" s="14">
        <v>0.01</v>
      </c>
      <c r="G29" s="14">
        <v>0.01</v>
      </c>
      <c r="H29" s="14">
        <v>0.01</v>
      </c>
      <c r="I29" s="14">
        <v>0.01</v>
      </c>
      <c r="J29" s="14">
        <v>0.01</v>
      </c>
      <c r="K29" s="14">
        <v>0.01</v>
      </c>
      <c r="L29" s="14">
        <v>0.01</v>
      </c>
      <c r="M29" s="15" t="s">
        <v>213</v>
      </c>
      <c r="N29" s="14">
        <v>0.01</v>
      </c>
      <c r="O29" s="14">
        <v>0.02</v>
      </c>
      <c r="P29" s="14">
        <v>0.02</v>
      </c>
      <c r="Q29" s="15" t="s">
        <v>213</v>
      </c>
      <c r="R29" s="14">
        <v>0.02</v>
      </c>
      <c r="S29" s="14">
        <v>0.01</v>
      </c>
      <c r="T29" s="15" t="s">
        <v>213</v>
      </c>
      <c r="U29" s="14">
        <v>0.01</v>
      </c>
      <c r="V29" s="15" t="s">
        <v>213</v>
      </c>
      <c r="W29" s="14">
        <v>0.01</v>
      </c>
      <c r="X29" s="14">
        <v>0.03</v>
      </c>
      <c r="Y29" s="14">
        <v>0.02</v>
      </c>
      <c r="Z29" s="15" t="s">
        <v>213</v>
      </c>
      <c r="AA29" s="15" t="s">
        <v>213</v>
      </c>
      <c r="AB29" s="15" t="s">
        <v>213</v>
      </c>
      <c r="AC29" s="14">
        <v>0.01</v>
      </c>
      <c r="AD29" s="14">
        <v>0.02</v>
      </c>
      <c r="AE29" s="14">
        <v>0.03</v>
      </c>
      <c r="AF29" s="14">
        <v>0.04</v>
      </c>
    </row>
    <row r="30" spans="1:32" ht="23.25" x14ac:dyDescent="0.25">
      <c r="A30" s="19"/>
      <c r="B30" s="11" t="s">
        <v>611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</row>
    <row r="31" spans="1:32" ht="23.25" x14ac:dyDescent="0.25">
      <c r="A31" s="19"/>
      <c r="B31" s="13" t="s">
        <v>612</v>
      </c>
      <c r="C31" s="15" t="s">
        <v>213</v>
      </c>
      <c r="D31" s="15" t="s">
        <v>213</v>
      </c>
      <c r="E31" s="15" t="s">
        <v>213</v>
      </c>
      <c r="F31" s="15" t="s">
        <v>213</v>
      </c>
      <c r="G31" s="15" t="s">
        <v>213</v>
      </c>
      <c r="H31" s="15" t="s">
        <v>213</v>
      </c>
      <c r="I31" s="15" t="s">
        <v>213</v>
      </c>
      <c r="J31" s="15" t="s">
        <v>213</v>
      </c>
      <c r="K31" s="15" t="s">
        <v>213</v>
      </c>
      <c r="L31" s="15" t="s">
        <v>213</v>
      </c>
      <c r="M31" s="15" t="s">
        <v>213</v>
      </c>
      <c r="N31" s="15" t="s">
        <v>213</v>
      </c>
      <c r="O31" s="15" t="s">
        <v>213</v>
      </c>
      <c r="P31" s="15" t="s">
        <v>213</v>
      </c>
      <c r="Q31" s="15" t="s">
        <v>213</v>
      </c>
      <c r="R31" s="15" t="s">
        <v>213</v>
      </c>
      <c r="S31" s="15" t="s">
        <v>213</v>
      </c>
      <c r="T31" s="15" t="s">
        <v>213</v>
      </c>
      <c r="U31" s="15" t="s">
        <v>213</v>
      </c>
      <c r="V31" s="15" t="s">
        <v>213</v>
      </c>
      <c r="W31" s="15" t="s">
        <v>213</v>
      </c>
      <c r="X31" s="15" t="s">
        <v>213</v>
      </c>
      <c r="Y31" s="15" t="s">
        <v>213</v>
      </c>
      <c r="Z31" s="15" t="s">
        <v>213</v>
      </c>
      <c r="AA31" s="15" t="s">
        <v>213</v>
      </c>
      <c r="AB31" s="15" t="s">
        <v>213</v>
      </c>
      <c r="AC31" s="15" t="s">
        <v>213</v>
      </c>
      <c r="AD31" s="15" t="s">
        <v>213</v>
      </c>
      <c r="AE31" s="15" t="s">
        <v>213</v>
      </c>
      <c r="AF31" s="15" t="s">
        <v>213</v>
      </c>
    </row>
    <row r="32" spans="1:32" ht="23.25" x14ac:dyDescent="0.25">
      <c r="A32" s="19"/>
      <c r="B32" s="11" t="s">
        <v>613</v>
      </c>
      <c r="C32" s="12">
        <v>5</v>
      </c>
      <c r="D32" s="12">
        <v>0</v>
      </c>
      <c r="E32" s="12">
        <v>0</v>
      </c>
      <c r="F32" s="12">
        <v>0</v>
      </c>
      <c r="G32" s="12">
        <v>0</v>
      </c>
      <c r="H32" s="12">
        <v>2</v>
      </c>
      <c r="I32" s="12">
        <v>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</row>
    <row r="33" spans="1:32" ht="23.25" x14ac:dyDescent="0.25">
      <c r="A33" s="19"/>
      <c r="B33" s="13" t="s">
        <v>614</v>
      </c>
      <c r="C33" s="15" t="s">
        <v>213</v>
      </c>
      <c r="D33" s="15" t="s">
        <v>213</v>
      </c>
      <c r="E33" s="15" t="s">
        <v>213</v>
      </c>
      <c r="F33" s="15" t="s">
        <v>213</v>
      </c>
      <c r="G33" s="15" t="s">
        <v>213</v>
      </c>
      <c r="H33" s="15" t="s">
        <v>213</v>
      </c>
      <c r="I33" s="15" t="s">
        <v>213</v>
      </c>
      <c r="J33" s="15" t="s">
        <v>213</v>
      </c>
      <c r="K33" s="15" t="s">
        <v>213</v>
      </c>
      <c r="L33" s="15" t="s">
        <v>213</v>
      </c>
      <c r="M33" s="15" t="s">
        <v>213</v>
      </c>
      <c r="N33" s="15" t="s">
        <v>213</v>
      </c>
      <c r="O33" s="15" t="s">
        <v>213</v>
      </c>
      <c r="P33" s="15" t="s">
        <v>213</v>
      </c>
      <c r="Q33" s="15" t="s">
        <v>213</v>
      </c>
      <c r="R33" s="15" t="s">
        <v>213</v>
      </c>
      <c r="S33" s="15" t="s">
        <v>213</v>
      </c>
      <c r="T33" s="15" t="s">
        <v>213</v>
      </c>
      <c r="U33" s="15" t="s">
        <v>213</v>
      </c>
      <c r="V33" s="15" t="s">
        <v>213</v>
      </c>
      <c r="W33" s="15" t="s">
        <v>213</v>
      </c>
      <c r="X33" s="15" t="s">
        <v>213</v>
      </c>
      <c r="Y33" s="15" t="s">
        <v>213</v>
      </c>
      <c r="Z33" s="15" t="s">
        <v>213</v>
      </c>
      <c r="AA33" s="15" t="s">
        <v>213</v>
      </c>
      <c r="AB33" s="15" t="s">
        <v>213</v>
      </c>
      <c r="AC33" s="15" t="s">
        <v>213</v>
      </c>
      <c r="AD33" s="15" t="s">
        <v>213</v>
      </c>
      <c r="AE33" s="15" t="s">
        <v>213</v>
      </c>
      <c r="AF33" s="15" t="s">
        <v>213</v>
      </c>
    </row>
    <row r="34" spans="1:32" x14ac:dyDescent="0.25">
      <c r="A34" s="19"/>
      <c r="B34" s="11" t="s">
        <v>555</v>
      </c>
      <c r="C34" s="12">
        <v>3</v>
      </c>
      <c r="D34" s="12">
        <v>0</v>
      </c>
      <c r="E34" s="12">
        <v>1</v>
      </c>
      <c r="F34" s="12">
        <v>1</v>
      </c>
      <c r="G34" s="12">
        <v>1</v>
      </c>
      <c r="H34" s="12">
        <v>0</v>
      </c>
      <c r="I34" s="12">
        <v>0</v>
      </c>
      <c r="J34" s="12">
        <v>0</v>
      </c>
      <c r="K34" s="12">
        <v>2</v>
      </c>
      <c r="L34" s="12">
        <v>1</v>
      </c>
      <c r="M34" s="12">
        <v>0</v>
      </c>
      <c r="N34" s="12">
        <v>0</v>
      </c>
      <c r="O34" s="12">
        <v>0</v>
      </c>
      <c r="P34" s="12">
        <v>1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1</v>
      </c>
      <c r="W34" s="12">
        <v>0</v>
      </c>
      <c r="X34" s="12">
        <v>0</v>
      </c>
      <c r="Y34" s="12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</row>
    <row r="35" spans="1:32" x14ac:dyDescent="0.25">
      <c r="A35" s="19"/>
      <c r="B35" s="13" t="s">
        <v>556</v>
      </c>
      <c r="C35" s="15" t="s">
        <v>213</v>
      </c>
      <c r="D35" s="15" t="s">
        <v>213</v>
      </c>
      <c r="E35" s="15" t="s">
        <v>213</v>
      </c>
      <c r="F35" s="15" t="s">
        <v>213</v>
      </c>
      <c r="G35" s="15" t="s">
        <v>213</v>
      </c>
      <c r="H35" s="15" t="s">
        <v>213</v>
      </c>
      <c r="I35" s="15" t="s">
        <v>213</v>
      </c>
      <c r="J35" s="15" t="s">
        <v>213</v>
      </c>
      <c r="K35" s="15" t="s">
        <v>213</v>
      </c>
      <c r="L35" s="15" t="s">
        <v>213</v>
      </c>
      <c r="M35" s="15" t="s">
        <v>213</v>
      </c>
      <c r="N35" s="15" t="s">
        <v>213</v>
      </c>
      <c r="O35" s="15" t="s">
        <v>213</v>
      </c>
      <c r="P35" s="15" t="s">
        <v>213</v>
      </c>
      <c r="Q35" s="15" t="s">
        <v>213</v>
      </c>
      <c r="R35" s="15" t="s">
        <v>213</v>
      </c>
      <c r="S35" s="15" t="s">
        <v>213</v>
      </c>
      <c r="T35" s="15" t="s">
        <v>213</v>
      </c>
      <c r="U35" s="15" t="s">
        <v>213</v>
      </c>
      <c r="V35" s="15" t="s">
        <v>213</v>
      </c>
      <c r="W35" s="15" t="s">
        <v>213</v>
      </c>
      <c r="X35" s="15" t="s">
        <v>213</v>
      </c>
      <c r="Y35" s="15" t="s">
        <v>213</v>
      </c>
      <c r="Z35" s="15" t="s">
        <v>213</v>
      </c>
      <c r="AA35" s="15" t="s">
        <v>213</v>
      </c>
      <c r="AB35" s="15" t="s">
        <v>213</v>
      </c>
      <c r="AC35" s="15" t="s">
        <v>213</v>
      </c>
      <c r="AD35" s="15" t="s">
        <v>213</v>
      </c>
      <c r="AE35" s="15" t="s">
        <v>213</v>
      </c>
      <c r="AF35" s="15" t="s">
        <v>213</v>
      </c>
    </row>
    <row r="36" spans="1:32" x14ac:dyDescent="0.25">
      <c r="A36" s="19"/>
      <c r="B36" s="11" t="s">
        <v>224</v>
      </c>
      <c r="C36" s="12">
        <v>2</v>
      </c>
      <c r="D36" s="12">
        <v>0</v>
      </c>
      <c r="E36" s="12">
        <v>0</v>
      </c>
      <c r="F36" s="12">
        <v>2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2</v>
      </c>
      <c r="AE36" s="12">
        <v>0</v>
      </c>
      <c r="AF36" s="12">
        <v>0</v>
      </c>
    </row>
    <row r="37" spans="1:32" x14ac:dyDescent="0.25">
      <c r="A37" s="19"/>
      <c r="B37" s="13" t="s">
        <v>237</v>
      </c>
      <c r="C37" s="15" t="s">
        <v>213</v>
      </c>
      <c r="D37" s="15" t="s">
        <v>213</v>
      </c>
      <c r="E37" s="15" t="s">
        <v>213</v>
      </c>
      <c r="F37" s="15" t="s">
        <v>213</v>
      </c>
      <c r="G37" s="15" t="s">
        <v>213</v>
      </c>
      <c r="H37" s="15" t="s">
        <v>213</v>
      </c>
      <c r="I37" s="15" t="s">
        <v>213</v>
      </c>
      <c r="J37" s="15" t="s">
        <v>213</v>
      </c>
      <c r="K37" s="15" t="s">
        <v>213</v>
      </c>
      <c r="L37" s="15" t="s">
        <v>213</v>
      </c>
      <c r="M37" s="15" t="s">
        <v>213</v>
      </c>
      <c r="N37" s="15" t="s">
        <v>213</v>
      </c>
      <c r="O37" s="15" t="s">
        <v>213</v>
      </c>
      <c r="P37" s="15" t="s">
        <v>213</v>
      </c>
      <c r="Q37" s="15" t="s">
        <v>213</v>
      </c>
      <c r="R37" s="15" t="s">
        <v>213</v>
      </c>
      <c r="S37" s="15" t="s">
        <v>213</v>
      </c>
      <c r="T37" s="15" t="s">
        <v>213</v>
      </c>
      <c r="U37" s="15" t="s">
        <v>213</v>
      </c>
      <c r="V37" s="15" t="s">
        <v>213</v>
      </c>
      <c r="W37" s="15" t="s">
        <v>213</v>
      </c>
      <c r="X37" s="15" t="s">
        <v>213</v>
      </c>
      <c r="Y37" s="15" t="s">
        <v>213</v>
      </c>
      <c r="Z37" s="15" t="s">
        <v>213</v>
      </c>
      <c r="AA37" s="15" t="s">
        <v>213</v>
      </c>
      <c r="AB37" s="15" t="s">
        <v>213</v>
      </c>
      <c r="AC37" s="15" t="s">
        <v>213</v>
      </c>
      <c r="AD37" s="15" t="s">
        <v>213</v>
      </c>
      <c r="AE37" s="15" t="s">
        <v>213</v>
      </c>
      <c r="AF37" s="15" t="s">
        <v>213</v>
      </c>
    </row>
    <row r="38" spans="1:32" ht="23.25" x14ac:dyDescent="0.25">
      <c r="A38" s="19"/>
      <c r="B38" s="11" t="s">
        <v>615</v>
      </c>
      <c r="C38" s="12">
        <v>6891</v>
      </c>
      <c r="D38" s="12">
        <v>197</v>
      </c>
      <c r="E38" s="12">
        <v>124</v>
      </c>
      <c r="F38" s="12">
        <v>98</v>
      </c>
      <c r="G38" s="12">
        <v>110</v>
      </c>
      <c r="H38" s="12">
        <v>459</v>
      </c>
      <c r="I38" s="12">
        <v>543</v>
      </c>
      <c r="J38" s="12">
        <v>83</v>
      </c>
      <c r="K38" s="12">
        <v>162</v>
      </c>
      <c r="L38" s="12">
        <v>178</v>
      </c>
      <c r="M38" s="12">
        <v>287</v>
      </c>
      <c r="N38" s="12">
        <v>262</v>
      </c>
      <c r="O38" s="12">
        <v>346</v>
      </c>
      <c r="P38" s="12">
        <v>96</v>
      </c>
      <c r="Q38" s="12">
        <v>318</v>
      </c>
      <c r="R38" s="12">
        <v>69</v>
      </c>
      <c r="S38" s="12">
        <v>114</v>
      </c>
      <c r="T38" s="12">
        <v>178</v>
      </c>
      <c r="U38" s="12">
        <v>85</v>
      </c>
      <c r="V38" s="12">
        <v>373</v>
      </c>
      <c r="W38" s="12">
        <v>128</v>
      </c>
      <c r="X38" s="12">
        <v>114</v>
      </c>
      <c r="Y38" s="12">
        <v>76</v>
      </c>
      <c r="Z38" s="12">
        <v>93</v>
      </c>
      <c r="AA38" s="12">
        <v>533</v>
      </c>
      <c r="AB38" s="12">
        <v>189</v>
      </c>
      <c r="AC38" s="12">
        <v>360</v>
      </c>
      <c r="AD38" s="12">
        <v>282</v>
      </c>
      <c r="AE38" s="12">
        <v>160</v>
      </c>
      <c r="AF38" s="12">
        <v>79</v>
      </c>
    </row>
    <row r="39" spans="1:32" ht="23.25" x14ac:dyDescent="0.25">
      <c r="A39" s="19"/>
      <c r="B39" s="13" t="s">
        <v>616</v>
      </c>
      <c r="C39" s="14">
        <v>0.26</v>
      </c>
      <c r="D39" s="14">
        <v>0.19</v>
      </c>
      <c r="E39" s="14">
        <v>0.12</v>
      </c>
      <c r="F39" s="14">
        <v>0.09</v>
      </c>
      <c r="G39" s="14">
        <v>0.11</v>
      </c>
      <c r="H39" s="14">
        <v>0.38</v>
      </c>
      <c r="I39" s="14">
        <v>0.36</v>
      </c>
      <c r="J39" s="14">
        <v>0.28000000000000003</v>
      </c>
      <c r="K39" s="14">
        <v>0.16</v>
      </c>
      <c r="L39" s="14">
        <v>0.18</v>
      </c>
      <c r="M39" s="14">
        <v>0.28999999999999998</v>
      </c>
      <c r="N39" s="14">
        <v>0.26</v>
      </c>
      <c r="O39" s="14">
        <v>0.34</v>
      </c>
      <c r="P39" s="14">
        <v>0.1</v>
      </c>
      <c r="Q39" s="14">
        <v>0.31</v>
      </c>
      <c r="R39" s="14">
        <v>0.13</v>
      </c>
      <c r="S39" s="14">
        <v>0.11</v>
      </c>
      <c r="T39" s="14">
        <v>0.18</v>
      </c>
      <c r="U39" s="14">
        <v>0.17</v>
      </c>
      <c r="V39" s="14">
        <v>0.36</v>
      </c>
      <c r="W39" s="14">
        <v>0.25</v>
      </c>
      <c r="X39" s="14">
        <v>0.11</v>
      </c>
      <c r="Y39" s="14">
        <v>7.0000000000000007E-2</v>
      </c>
      <c r="Z39" s="14">
        <v>0.1</v>
      </c>
      <c r="AA39" s="14">
        <v>0.51</v>
      </c>
      <c r="AB39" s="14">
        <v>0.18</v>
      </c>
      <c r="AC39" s="14">
        <v>0.36</v>
      </c>
      <c r="AD39" s="14">
        <v>0.28000000000000003</v>
      </c>
      <c r="AE39" s="14">
        <v>0.16</v>
      </c>
      <c r="AF39" s="14">
        <v>0.08</v>
      </c>
    </row>
    <row r="40" spans="1:32" ht="23.25" x14ac:dyDescent="0.25">
      <c r="A40" s="19"/>
      <c r="B40" s="11" t="s">
        <v>617</v>
      </c>
      <c r="C40" s="12">
        <v>11893</v>
      </c>
      <c r="D40" s="12">
        <v>395</v>
      </c>
      <c r="E40" s="12">
        <v>652</v>
      </c>
      <c r="F40" s="12">
        <v>732</v>
      </c>
      <c r="G40" s="12">
        <v>407</v>
      </c>
      <c r="H40" s="12">
        <v>468</v>
      </c>
      <c r="I40" s="12">
        <v>612</v>
      </c>
      <c r="J40" s="12">
        <v>144</v>
      </c>
      <c r="K40" s="12">
        <v>457</v>
      </c>
      <c r="L40" s="12">
        <v>348</v>
      </c>
      <c r="M40" s="12">
        <v>504</v>
      </c>
      <c r="N40" s="12">
        <v>448</v>
      </c>
      <c r="O40" s="12">
        <v>266</v>
      </c>
      <c r="P40" s="12">
        <v>708</v>
      </c>
      <c r="Q40" s="12">
        <v>547</v>
      </c>
      <c r="R40" s="12">
        <v>160</v>
      </c>
      <c r="S40" s="12">
        <v>561</v>
      </c>
      <c r="T40" s="12">
        <v>406</v>
      </c>
      <c r="U40" s="12">
        <v>171</v>
      </c>
      <c r="V40" s="12">
        <v>456</v>
      </c>
      <c r="W40" s="12">
        <v>158</v>
      </c>
      <c r="X40" s="12">
        <v>332</v>
      </c>
      <c r="Y40" s="12">
        <v>560</v>
      </c>
      <c r="Z40" s="12">
        <v>716</v>
      </c>
      <c r="AA40" s="12">
        <v>320</v>
      </c>
      <c r="AB40" s="12">
        <v>703</v>
      </c>
      <c r="AC40" s="12">
        <v>335</v>
      </c>
      <c r="AD40" s="12">
        <v>481</v>
      </c>
      <c r="AE40" s="12">
        <v>273</v>
      </c>
      <c r="AF40" s="12">
        <v>326</v>
      </c>
    </row>
    <row r="41" spans="1:32" ht="23.25" x14ac:dyDescent="0.25">
      <c r="A41" s="19"/>
      <c r="B41" s="13" t="s">
        <v>618</v>
      </c>
      <c r="C41" s="14">
        <v>0.45</v>
      </c>
      <c r="D41" s="14">
        <v>0.39</v>
      </c>
      <c r="E41" s="14">
        <v>0.62</v>
      </c>
      <c r="F41" s="14">
        <v>0.69000000000000006</v>
      </c>
      <c r="G41" s="14">
        <v>0.4</v>
      </c>
      <c r="H41" s="14">
        <v>0.38</v>
      </c>
      <c r="I41" s="14">
        <v>0.4</v>
      </c>
      <c r="J41" s="14">
        <v>0.48</v>
      </c>
      <c r="K41" s="14">
        <v>0.45</v>
      </c>
      <c r="L41" s="14">
        <v>0.35</v>
      </c>
      <c r="M41" s="14">
        <v>0.5</v>
      </c>
      <c r="N41" s="14">
        <v>0.44</v>
      </c>
      <c r="O41" s="14">
        <v>0.27</v>
      </c>
      <c r="P41" s="14">
        <v>0.70000000000000007</v>
      </c>
      <c r="Q41" s="14">
        <v>0.53</v>
      </c>
      <c r="R41" s="14">
        <v>0.32</v>
      </c>
      <c r="S41" s="14">
        <v>0.56000000000000005</v>
      </c>
      <c r="T41" s="14">
        <v>0.39</v>
      </c>
      <c r="U41" s="14">
        <v>0.34</v>
      </c>
      <c r="V41" s="14">
        <v>0.45</v>
      </c>
      <c r="W41" s="14">
        <v>0.32</v>
      </c>
      <c r="X41" s="14">
        <v>0.33</v>
      </c>
      <c r="Y41" s="14">
        <v>0.56000000000000005</v>
      </c>
      <c r="Z41" s="14">
        <v>0.70000000000000007</v>
      </c>
      <c r="AA41" s="14">
        <v>0.31</v>
      </c>
      <c r="AB41" s="14">
        <v>0.68</v>
      </c>
      <c r="AC41" s="14">
        <v>0.33</v>
      </c>
      <c r="AD41" s="14">
        <v>0.48</v>
      </c>
      <c r="AE41" s="14">
        <v>0.27</v>
      </c>
      <c r="AF41" s="14">
        <v>0.31</v>
      </c>
    </row>
    <row r="42" spans="1:32" ht="23.25" x14ac:dyDescent="0.25">
      <c r="A42" s="19"/>
      <c r="B42" s="11" t="s">
        <v>619</v>
      </c>
      <c r="C42" s="12">
        <v>7665</v>
      </c>
      <c r="D42" s="12">
        <v>428</v>
      </c>
      <c r="E42" s="12">
        <v>269</v>
      </c>
      <c r="F42" s="12">
        <v>231</v>
      </c>
      <c r="G42" s="12">
        <v>497</v>
      </c>
      <c r="H42" s="12">
        <v>303</v>
      </c>
      <c r="I42" s="12">
        <v>373</v>
      </c>
      <c r="J42" s="12">
        <v>69</v>
      </c>
      <c r="K42" s="12">
        <v>385</v>
      </c>
      <c r="L42" s="12">
        <v>481</v>
      </c>
      <c r="M42" s="12">
        <v>215</v>
      </c>
      <c r="N42" s="12">
        <v>301</v>
      </c>
      <c r="O42" s="12">
        <v>391</v>
      </c>
      <c r="P42" s="12">
        <v>198</v>
      </c>
      <c r="Q42" s="12">
        <v>167</v>
      </c>
      <c r="R42" s="12">
        <v>273</v>
      </c>
      <c r="S42" s="12">
        <v>329</v>
      </c>
      <c r="T42" s="12">
        <v>439</v>
      </c>
      <c r="U42" s="12">
        <v>250</v>
      </c>
      <c r="V42" s="12">
        <v>197</v>
      </c>
      <c r="W42" s="12">
        <v>216</v>
      </c>
      <c r="X42" s="12">
        <v>563</v>
      </c>
      <c r="Y42" s="12">
        <v>367</v>
      </c>
      <c r="Z42" s="12">
        <v>207</v>
      </c>
      <c r="AA42" s="12">
        <v>184</v>
      </c>
      <c r="AB42" s="12">
        <v>149</v>
      </c>
      <c r="AC42" s="12">
        <v>309</v>
      </c>
      <c r="AD42" s="12">
        <v>237</v>
      </c>
      <c r="AE42" s="12">
        <v>568</v>
      </c>
      <c r="AF42" s="12">
        <v>626</v>
      </c>
    </row>
    <row r="43" spans="1:32" ht="23.25" x14ac:dyDescent="0.25">
      <c r="A43" s="19"/>
      <c r="B43" s="13" t="s">
        <v>620</v>
      </c>
      <c r="C43" s="14">
        <v>0.28999999999999998</v>
      </c>
      <c r="D43" s="14">
        <v>0.42</v>
      </c>
      <c r="E43" s="14">
        <v>0.26</v>
      </c>
      <c r="F43" s="14">
        <v>0.22</v>
      </c>
      <c r="G43" s="14">
        <v>0.49</v>
      </c>
      <c r="H43" s="14">
        <v>0.24</v>
      </c>
      <c r="I43" s="14">
        <v>0.24</v>
      </c>
      <c r="J43" s="14">
        <v>0.24</v>
      </c>
      <c r="K43" s="14">
        <v>0.39</v>
      </c>
      <c r="L43" s="14">
        <v>0.47</v>
      </c>
      <c r="M43" s="14">
        <v>0.21</v>
      </c>
      <c r="N43" s="14">
        <v>0.3</v>
      </c>
      <c r="O43" s="14">
        <v>0.39</v>
      </c>
      <c r="P43" s="14">
        <v>0.2</v>
      </c>
      <c r="Q43" s="14">
        <v>0.16</v>
      </c>
      <c r="R43" s="14">
        <v>0.55000000000000004</v>
      </c>
      <c r="S43" s="14">
        <v>0.33</v>
      </c>
      <c r="T43" s="14">
        <v>0.43</v>
      </c>
      <c r="U43" s="14">
        <v>0.49</v>
      </c>
      <c r="V43" s="14">
        <v>0.19</v>
      </c>
      <c r="W43" s="14">
        <v>0.43</v>
      </c>
      <c r="X43" s="14">
        <v>0.56000000000000005</v>
      </c>
      <c r="Y43" s="14">
        <v>0.37</v>
      </c>
      <c r="Z43" s="14">
        <v>0.2</v>
      </c>
      <c r="AA43" s="14">
        <v>0.18</v>
      </c>
      <c r="AB43" s="14">
        <v>0.14000000000000001</v>
      </c>
      <c r="AC43" s="14">
        <v>0.31</v>
      </c>
      <c r="AD43" s="14">
        <v>0.24</v>
      </c>
      <c r="AE43" s="14">
        <v>0.57000000000000006</v>
      </c>
      <c r="AF43" s="14">
        <v>0.61</v>
      </c>
    </row>
  </sheetData>
  <mergeCells count="10">
    <mergeCell ref="H3:L3"/>
    <mergeCell ref="C8:AF8"/>
    <mergeCell ref="B3:F3"/>
    <mergeCell ref="B5:F5"/>
    <mergeCell ref="A38:A43"/>
    <mergeCell ref="A10:A37"/>
    <mergeCell ref="H5:L5"/>
    <mergeCell ref="B10:B11"/>
    <mergeCell ref="H4:L4"/>
    <mergeCell ref="B4:F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2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111</v>
      </c>
      <c r="C3" s="18"/>
      <c r="D3" s="18"/>
      <c r="E3" s="18"/>
      <c r="F3" s="18"/>
      <c r="H3" s="18" t="s">
        <v>112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621</v>
      </c>
      <c r="C12" s="12">
        <v>6890</v>
      </c>
      <c r="D12" s="12">
        <v>197</v>
      </c>
      <c r="E12" s="12">
        <v>124</v>
      </c>
      <c r="F12" s="12">
        <v>98</v>
      </c>
      <c r="G12" s="12">
        <v>111</v>
      </c>
      <c r="H12" s="12">
        <v>459</v>
      </c>
      <c r="I12" s="12">
        <v>543</v>
      </c>
      <c r="J12" s="12">
        <v>83</v>
      </c>
      <c r="K12" s="12">
        <v>162</v>
      </c>
      <c r="L12" s="12">
        <v>178</v>
      </c>
      <c r="M12" s="12">
        <v>288</v>
      </c>
      <c r="N12" s="12">
        <v>261</v>
      </c>
      <c r="O12" s="12">
        <v>346</v>
      </c>
      <c r="P12" s="12">
        <v>96</v>
      </c>
      <c r="Q12" s="12">
        <v>318</v>
      </c>
      <c r="R12" s="12">
        <v>68</v>
      </c>
      <c r="S12" s="12">
        <v>114</v>
      </c>
      <c r="T12" s="12">
        <v>178</v>
      </c>
      <c r="U12" s="12">
        <v>85</v>
      </c>
      <c r="V12" s="12">
        <v>373</v>
      </c>
      <c r="W12" s="12">
        <v>127</v>
      </c>
      <c r="X12" s="12">
        <v>114</v>
      </c>
      <c r="Y12" s="12">
        <v>76</v>
      </c>
      <c r="Z12" s="12">
        <v>93</v>
      </c>
      <c r="AA12" s="12">
        <v>533</v>
      </c>
      <c r="AB12" s="12">
        <v>190</v>
      </c>
      <c r="AC12" s="12">
        <v>359</v>
      </c>
      <c r="AD12" s="12">
        <v>282</v>
      </c>
      <c r="AE12" s="12">
        <v>160</v>
      </c>
      <c r="AF12" s="12">
        <v>78</v>
      </c>
    </row>
    <row r="13" spans="1:32" ht="23.25" x14ac:dyDescent="0.25">
      <c r="A13" s="19"/>
      <c r="B13" s="13" t="s">
        <v>622</v>
      </c>
      <c r="C13" s="14">
        <v>0.26</v>
      </c>
      <c r="D13" s="14">
        <v>0.19</v>
      </c>
      <c r="E13" s="14">
        <v>0.12</v>
      </c>
      <c r="F13" s="14">
        <v>0.09</v>
      </c>
      <c r="G13" s="14">
        <v>0.11</v>
      </c>
      <c r="H13" s="14">
        <v>0.37</v>
      </c>
      <c r="I13" s="14">
        <v>0.36</v>
      </c>
      <c r="J13" s="14">
        <v>0.28000000000000003</v>
      </c>
      <c r="K13" s="14">
        <v>0.16</v>
      </c>
      <c r="L13" s="14">
        <v>0.18</v>
      </c>
      <c r="M13" s="14">
        <v>0.28999999999999998</v>
      </c>
      <c r="N13" s="14">
        <v>0.26</v>
      </c>
      <c r="O13" s="14">
        <v>0.34</v>
      </c>
      <c r="P13" s="14">
        <v>0.1</v>
      </c>
      <c r="Q13" s="14">
        <v>0.31</v>
      </c>
      <c r="R13" s="14">
        <v>0.14000000000000001</v>
      </c>
      <c r="S13" s="14">
        <v>0.11</v>
      </c>
      <c r="T13" s="14">
        <v>0.17</v>
      </c>
      <c r="U13" s="14">
        <v>0.17</v>
      </c>
      <c r="V13" s="14">
        <v>0.36</v>
      </c>
      <c r="W13" s="14">
        <v>0.25</v>
      </c>
      <c r="X13" s="14">
        <v>0.11</v>
      </c>
      <c r="Y13" s="14">
        <v>0.08</v>
      </c>
      <c r="Z13" s="14">
        <v>0.09</v>
      </c>
      <c r="AA13" s="14">
        <v>0.51</v>
      </c>
      <c r="AB13" s="14">
        <v>0.18</v>
      </c>
      <c r="AC13" s="14">
        <v>0.36</v>
      </c>
      <c r="AD13" s="14">
        <v>0.28000000000000003</v>
      </c>
      <c r="AE13" s="14">
        <v>0.16</v>
      </c>
      <c r="AF13" s="14">
        <v>0.08</v>
      </c>
    </row>
    <row r="14" spans="1:32" ht="23.25" x14ac:dyDescent="0.25">
      <c r="A14" s="19"/>
      <c r="B14" s="11" t="s">
        <v>623</v>
      </c>
      <c r="C14" s="12">
        <v>11894</v>
      </c>
      <c r="D14" s="12">
        <v>395</v>
      </c>
      <c r="E14" s="12">
        <v>652</v>
      </c>
      <c r="F14" s="12">
        <v>732</v>
      </c>
      <c r="G14" s="12">
        <v>408</v>
      </c>
      <c r="H14" s="12">
        <v>468</v>
      </c>
      <c r="I14" s="12">
        <v>612</v>
      </c>
      <c r="J14" s="12">
        <v>144</v>
      </c>
      <c r="K14" s="12">
        <v>456</v>
      </c>
      <c r="L14" s="12">
        <v>347</v>
      </c>
      <c r="M14" s="12">
        <v>504</v>
      </c>
      <c r="N14" s="12">
        <v>448</v>
      </c>
      <c r="O14" s="12">
        <v>266</v>
      </c>
      <c r="P14" s="12">
        <v>707</v>
      </c>
      <c r="Q14" s="12">
        <v>546</v>
      </c>
      <c r="R14" s="12">
        <v>160</v>
      </c>
      <c r="S14" s="12">
        <v>561</v>
      </c>
      <c r="T14" s="12">
        <v>406</v>
      </c>
      <c r="U14" s="12">
        <v>172</v>
      </c>
      <c r="V14" s="12">
        <v>456</v>
      </c>
      <c r="W14" s="12">
        <v>158</v>
      </c>
      <c r="X14" s="12">
        <v>333</v>
      </c>
      <c r="Y14" s="12">
        <v>560</v>
      </c>
      <c r="Z14" s="12">
        <v>717</v>
      </c>
      <c r="AA14" s="12">
        <v>320</v>
      </c>
      <c r="AB14" s="12">
        <v>703</v>
      </c>
      <c r="AC14" s="12">
        <v>336</v>
      </c>
      <c r="AD14" s="12">
        <v>481</v>
      </c>
      <c r="AE14" s="12">
        <v>273</v>
      </c>
      <c r="AF14" s="12">
        <v>326</v>
      </c>
    </row>
    <row r="15" spans="1:32" ht="23.25" x14ac:dyDescent="0.25">
      <c r="A15" s="19"/>
      <c r="B15" s="13" t="s">
        <v>624</v>
      </c>
      <c r="C15" s="14">
        <v>0.45</v>
      </c>
      <c r="D15" s="14">
        <v>0.39</v>
      </c>
      <c r="E15" s="14">
        <v>0.62</v>
      </c>
      <c r="F15" s="14">
        <v>0.69000000000000006</v>
      </c>
      <c r="G15" s="14">
        <v>0.4</v>
      </c>
      <c r="H15" s="14">
        <v>0.38</v>
      </c>
      <c r="I15" s="14">
        <v>0.4</v>
      </c>
      <c r="J15" s="14">
        <v>0.49</v>
      </c>
      <c r="K15" s="14">
        <v>0.46</v>
      </c>
      <c r="L15" s="14">
        <v>0.34</v>
      </c>
      <c r="M15" s="14">
        <v>0.5</v>
      </c>
      <c r="N15" s="14">
        <v>0.44</v>
      </c>
      <c r="O15" s="14">
        <v>0.27</v>
      </c>
      <c r="P15" s="14">
        <v>0.70000000000000007</v>
      </c>
      <c r="Q15" s="14">
        <v>0.53</v>
      </c>
      <c r="R15" s="14">
        <v>0.32</v>
      </c>
      <c r="S15" s="14">
        <v>0.56000000000000005</v>
      </c>
      <c r="T15" s="14">
        <v>0.4</v>
      </c>
      <c r="U15" s="14">
        <v>0.34</v>
      </c>
      <c r="V15" s="14">
        <v>0.45</v>
      </c>
      <c r="W15" s="14">
        <v>0.32</v>
      </c>
      <c r="X15" s="14">
        <v>0.33</v>
      </c>
      <c r="Y15" s="14">
        <v>0.56000000000000005</v>
      </c>
      <c r="Z15" s="14">
        <v>0.71</v>
      </c>
      <c r="AA15" s="14">
        <v>0.31</v>
      </c>
      <c r="AB15" s="14">
        <v>0.68</v>
      </c>
      <c r="AC15" s="14">
        <v>0.33</v>
      </c>
      <c r="AD15" s="14">
        <v>0.48</v>
      </c>
      <c r="AE15" s="14">
        <v>0.27</v>
      </c>
      <c r="AF15" s="14">
        <v>0.31</v>
      </c>
    </row>
    <row r="16" spans="1:32" ht="23.25" x14ac:dyDescent="0.25">
      <c r="A16" s="19"/>
      <c r="B16" s="11" t="s">
        <v>625</v>
      </c>
      <c r="C16" s="12">
        <v>7664</v>
      </c>
      <c r="D16" s="12">
        <v>429</v>
      </c>
      <c r="E16" s="12">
        <v>269</v>
      </c>
      <c r="F16" s="12">
        <v>231</v>
      </c>
      <c r="G16" s="12">
        <v>497</v>
      </c>
      <c r="H16" s="12">
        <v>302</v>
      </c>
      <c r="I16" s="12">
        <v>372</v>
      </c>
      <c r="J16" s="12">
        <v>70</v>
      </c>
      <c r="K16" s="12">
        <v>385</v>
      </c>
      <c r="L16" s="12">
        <v>480</v>
      </c>
      <c r="M16" s="12">
        <v>215</v>
      </c>
      <c r="N16" s="12">
        <v>302</v>
      </c>
      <c r="O16" s="12">
        <v>392</v>
      </c>
      <c r="P16" s="12">
        <v>198</v>
      </c>
      <c r="Q16" s="12">
        <v>167</v>
      </c>
      <c r="R16" s="12">
        <v>273</v>
      </c>
      <c r="S16" s="12">
        <v>329</v>
      </c>
      <c r="T16" s="12">
        <v>439</v>
      </c>
      <c r="U16" s="12">
        <v>251</v>
      </c>
      <c r="V16" s="12">
        <v>196</v>
      </c>
      <c r="W16" s="12">
        <v>217</v>
      </c>
      <c r="X16" s="12">
        <v>563</v>
      </c>
      <c r="Y16" s="12">
        <v>366</v>
      </c>
      <c r="Z16" s="12">
        <v>206</v>
      </c>
      <c r="AA16" s="12">
        <v>184</v>
      </c>
      <c r="AB16" s="12">
        <v>148</v>
      </c>
      <c r="AC16" s="12">
        <v>310</v>
      </c>
      <c r="AD16" s="12">
        <v>237</v>
      </c>
      <c r="AE16" s="12">
        <v>568</v>
      </c>
      <c r="AF16" s="12">
        <v>627</v>
      </c>
    </row>
    <row r="17" spans="1:32" ht="23.25" x14ac:dyDescent="0.25">
      <c r="A17" s="19"/>
      <c r="B17" s="13" t="s">
        <v>626</v>
      </c>
      <c r="C17" s="14">
        <v>0.28999999999999998</v>
      </c>
      <c r="D17" s="14">
        <v>0.42</v>
      </c>
      <c r="E17" s="14">
        <v>0.26</v>
      </c>
      <c r="F17" s="14">
        <v>0.22</v>
      </c>
      <c r="G17" s="14">
        <v>0.49</v>
      </c>
      <c r="H17" s="14">
        <v>0.25</v>
      </c>
      <c r="I17" s="14">
        <v>0.24</v>
      </c>
      <c r="J17" s="14">
        <v>0.23</v>
      </c>
      <c r="K17" s="14">
        <v>0.38</v>
      </c>
      <c r="L17" s="14">
        <v>0.48</v>
      </c>
      <c r="M17" s="14">
        <v>0.21</v>
      </c>
      <c r="N17" s="14">
        <v>0.3</v>
      </c>
      <c r="O17" s="14">
        <v>0.39</v>
      </c>
      <c r="P17" s="14">
        <v>0.2</v>
      </c>
      <c r="Q17" s="14">
        <v>0.16</v>
      </c>
      <c r="R17" s="14">
        <v>0.54</v>
      </c>
      <c r="S17" s="14">
        <v>0.33</v>
      </c>
      <c r="T17" s="14">
        <v>0.43</v>
      </c>
      <c r="U17" s="14">
        <v>0.49</v>
      </c>
      <c r="V17" s="14">
        <v>0.19</v>
      </c>
      <c r="W17" s="14">
        <v>0.43</v>
      </c>
      <c r="X17" s="14">
        <v>0.56000000000000005</v>
      </c>
      <c r="Y17" s="14">
        <v>0.36</v>
      </c>
      <c r="Z17" s="14">
        <v>0.2</v>
      </c>
      <c r="AA17" s="14">
        <v>0.18</v>
      </c>
      <c r="AB17" s="14">
        <v>0.14000000000000001</v>
      </c>
      <c r="AC17" s="14">
        <v>0.31</v>
      </c>
      <c r="AD17" s="14">
        <v>0.24</v>
      </c>
      <c r="AE17" s="14">
        <v>0.57000000000000006</v>
      </c>
      <c r="AF17" s="14">
        <v>0.61</v>
      </c>
    </row>
    <row r="18" spans="1:32" x14ac:dyDescent="0.25">
      <c r="A18" s="19"/>
      <c r="B18" s="11" t="s">
        <v>555</v>
      </c>
      <c r="C18" s="12">
        <v>3</v>
      </c>
      <c r="D18" s="12">
        <v>0</v>
      </c>
      <c r="E18" s="12">
        <v>1</v>
      </c>
      <c r="F18" s="12">
        <v>1</v>
      </c>
      <c r="G18" s="12">
        <v>1</v>
      </c>
      <c r="H18" s="12">
        <v>0</v>
      </c>
      <c r="I18" s="12">
        <v>0</v>
      </c>
      <c r="J18" s="12">
        <v>0</v>
      </c>
      <c r="K18" s="12">
        <v>2</v>
      </c>
      <c r="L18" s="12">
        <v>1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</v>
      </c>
      <c r="W18" s="12">
        <v>0</v>
      </c>
      <c r="X18" s="12">
        <v>0</v>
      </c>
      <c r="Y18" s="12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</row>
    <row r="19" spans="1:32" x14ac:dyDescent="0.25">
      <c r="A19" s="19"/>
      <c r="B19" s="13" t="s">
        <v>556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  <row r="20" spans="1:32" x14ac:dyDescent="0.25">
      <c r="A20" s="19"/>
      <c r="B20" s="11" t="s">
        <v>224</v>
      </c>
      <c r="C20" s="12">
        <v>2</v>
      </c>
      <c r="D20" s="12">
        <v>0</v>
      </c>
      <c r="E20" s="12">
        <v>0</v>
      </c>
      <c r="F20" s="12">
        <v>2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2</v>
      </c>
      <c r="AE20" s="12">
        <v>0</v>
      </c>
      <c r="AF20" s="12">
        <v>0</v>
      </c>
    </row>
    <row r="21" spans="1:32" x14ac:dyDescent="0.25">
      <c r="A21" s="19"/>
      <c r="B21" s="13" t="s">
        <v>237</v>
      </c>
      <c r="C21" s="15" t="s">
        <v>213</v>
      </c>
      <c r="D21" s="15" t="s">
        <v>213</v>
      </c>
      <c r="E21" s="15" t="s">
        <v>213</v>
      </c>
      <c r="F21" s="15" t="s">
        <v>213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5" t="s">
        <v>213</v>
      </c>
      <c r="T21" s="15" t="s">
        <v>213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5" t="s">
        <v>213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113</v>
      </c>
      <c r="C3" s="18"/>
      <c r="D3" s="18"/>
      <c r="E3" s="18"/>
      <c r="F3" s="18"/>
      <c r="H3" s="18" t="s">
        <v>114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627</v>
      </c>
      <c r="C12" s="12">
        <v>12784</v>
      </c>
      <c r="D12" s="12">
        <v>498</v>
      </c>
      <c r="E12" s="12">
        <v>497</v>
      </c>
      <c r="F12" s="12">
        <v>515</v>
      </c>
      <c r="G12" s="12">
        <v>513</v>
      </c>
      <c r="H12" s="12">
        <v>598</v>
      </c>
      <c r="I12" s="12">
        <v>742</v>
      </c>
      <c r="J12" s="12">
        <v>144</v>
      </c>
      <c r="K12" s="12">
        <v>466</v>
      </c>
      <c r="L12" s="12">
        <v>492</v>
      </c>
      <c r="M12" s="12">
        <v>490</v>
      </c>
      <c r="N12" s="12">
        <v>491</v>
      </c>
      <c r="O12" s="12">
        <v>479</v>
      </c>
      <c r="P12" s="12">
        <v>482</v>
      </c>
      <c r="Q12" s="12">
        <v>498</v>
      </c>
      <c r="R12" s="12">
        <v>245</v>
      </c>
      <c r="S12" s="12">
        <v>455</v>
      </c>
      <c r="T12" s="12">
        <v>477</v>
      </c>
      <c r="U12" s="12">
        <v>255</v>
      </c>
      <c r="V12" s="12">
        <v>489</v>
      </c>
      <c r="W12" s="12">
        <v>266</v>
      </c>
      <c r="X12" s="12">
        <v>496</v>
      </c>
      <c r="Y12" s="12">
        <v>491</v>
      </c>
      <c r="Z12" s="12">
        <v>485</v>
      </c>
      <c r="AA12" s="12">
        <v>490</v>
      </c>
      <c r="AB12" s="12">
        <v>499</v>
      </c>
      <c r="AC12" s="12">
        <v>502</v>
      </c>
      <c r="AD12" s="12">
        <v>486</v>
      </c>
      <c r="AE12" s="12">
        <v>489</v>
      </c>
      <c r="AF12" s="12">
        <v>514</v>
      </c>
    </row>
    <row r="13" spans="1:32" x14ac:dyDescent="0.25">
      <c r="A13" s="19"/>
      <c r="B13" s="13" t="s">
        <v>628</v>
      </c>
      <c r="C13" s="14">
        <v>0.49</v>
      </c>
      <c r="D13" s="14">
        <v>0.49</v>
      </c>
      <c r="E13" s="14">
        <v>0.48</v>
      </c>
      <c r="F13" s="14">
        <v>0.49</v>
      </c>
      <c r="G13" s="14">
        <v>0.51</v>
      </c>
      <c r="H13" s="14">
        <v>0.49</v>
      </c>
      <c r="I13" s="14">
        <v>0.49</v>
      </c>
      <c r="J13" s="14">
        <v>0.48</v>
      </c>
      <c r="K13" s="14">
        <v>0.46</v>
      </c>
      <c r="L13" s="14">
        <v>0.49</v>
      </c>
      <c r="M13" s="14">
        <v>0.49</v>
      </c>
      <c r="N13" s="14">
        <v>0.49</v>
      </c>
      <c r="O13" s="14">
        <v>0.48</v>
      </c>
      <c r="P13" s="14">
        <v>0.48</v>
      </c>
      <c r="Q13" s="14">
        <v>0.48</v>
      </c>
      <c r="R13" s="14">
        <v>0.49</v>
      </c>
      <c r="S13" s="14">
        <v>0.45</v>
      </c>
      <c r="T13" s="14">
        <v>0.47</v>
      </c>
      <c r="U13" s="14">
        <v>0.5</v>
      </c>
      <c r="V13" s="14">
        <v>0.48</v>
      </c>
      <c r="W13" s="14">
        <v>0.53</v>
      </c>
      <c r="X13" s="14">
        <v>0.49</v>
      </c>
      <c r="Y13" s="14">
        <v>0.49</v>
      </c>
      <c r="Z13" s="14">
        <v>0.48</v>
      </c>
      <c r="AA13" s="14">
        <v>0.47</v>
      </c>
      <c r="AB13" s="14">
        <v>0.48</v>
      </c>
      <c r="AC13" s="14">
        <v>0.5</v>
      </c>
      <c r="AD13" s="14">
        <v>0.48</v>
      </c>
      <c r="AE13" s="14">
        <v>0.49</v>
      </c>
      <c r="AF13" s="14">
        <v>0.5</v>
      </c>
    </row>
    <row r="14" spans="1:32" x14ac:dyDescent="0.25">
      <c r="A14" s="19"/>
      <c r="B14" s="11" t="s">
        <v>629</v>
      </c>
      <c r="C14" s="12">
        <v>13559</v>
      </c>
      <c r="D14" s="12">
        <v>518</v>
      </c>
      <c r="E14" s="12">
        <v>548</v>
      </c>
      <c r="F14" s="12">
        <v>545</v>
      </c>
      <c r="G14" s="12">
        <v>497</v>
      </c>
      <c r="H14" s="12">
        <v>622</v>
      </c>
      <c r="I14" s="12">
        <v>773</v>
      </c>
      <c r="J14" s="12">
        <v>151</v>
      </c>
      <c r="K14" s="12">
        <v>533</v>
      </c>
      <c r="L14" s="12">
        <v>513</v>
      </c>
      <c r="M14" s="12">
        <v>517</v>
      </c>
      <c r="N14" s="12">
        <v>518</v>
      </c>
      <c r="O14" s="12">
        <v>521</v>
      </c>
      <c r="P14" s="12">
        <v>520</v>
      </c>
      <c r="Q14" s="12">
        <v>528</v>
      </c>
      <c r="R14" s="12">
        <v>256</v>
      </c>
      <c r="S14" s="12">
        <v>546</v>
      </c>
      <c r="T14" s="12">
        <v>546</v>
      </c>
      <c r="U14" s="12">
        <v>253</v>
      </c>
      <c r="V14" s="12">
        <v>537</v>
      </c>
      <c r="W14" s="12">
        <v>233</v>
      </c>
      <c r="X14" s="12">
        <v>507</v>
      </c>
      <c r="Y14" s="12">
        <v>512</v>
      </c>
      <c r="Z14" s="12">
        <v>529</v>
      </c>
      <c r="AA14" s="12">
        <v>547</v>
      </c>
      <c r="AB14" s="12">
        <v>539</v>
      </c>
      <c r="AC14" s="12">
        <v>500</v>
      </c>
      <c r="AD14" s="12">
        <v>517</v>
      </c>
      <c r="AE14" s="12">
        <v>505</v>
      </c>
      <c r="AF14" s="12">
        <v>509</v>
      </c>
    </row>
    <row r="15" spans="1:32" x14ac:dyDescent="0.25">
      <c r="A15" s="19"/>
      <c r="B15" s="13" t="s">
        <v>630</v>
      </c>
      <c r="C15" s="14">
        <v>0.51</v>
      </c>
      <c r="D15" s="14">
        <v>0.51</v>
      </c>
      <c r="E15" s="14">
        <v>0.52</v>
      </c>
      <c r="F15" s="14">
        <v>0.51</v>
      </c>
      <c r="G15" s="14">
        <v>0.49</v>
      </c>
      <c r="H15" s="14">
        <v>0.51</v>
      </c>
      <c r="I15" s="14">
        <v>0.51</v>
      </c>
      <c r="J15" s="14">
        <v>0.51</v>
      </c>
      <c r="K15" s="14">
        <v>0.53</v>
      </c>
      <c r="L15" s="14">
        <v>0.51</v>
      </c>
      <c r="M15" s="14">
        <v>0.51</v>
      </c>
      <c r="N15" s="14">
        <v>0.51</v>
      </c>
      <c r="O15" s="14">
        <v>0.52</v>
      </c>
      <c r="P15" s="14">
        <v>0.52</v>
      </c>
      <c r="Q15" s="14">
        <v>0.51</v>
      </c>
      <c r="R15" s="14">
        <v>0.51</v>
      </c>
      <c r="S15" s="14">
        <v>0.55000000000000004</v>
      </c>
      <c r="T15" s="14">
        <v>0.53</v>
      </c>
      <c r="U15" s="14">
        <v>0.5</v>
      </c>
      <c r="V15" s="14">
        <v>0.52</v>
      </c>
      <c r="W15" s="14">
        <v>0.46</v>
      </c>
      <c r="X15" s="14">
        <v>0.5</v>
      </c>
      <c r="Y15" s="14">
        <v>0.51</v>
      </c>
      <c r="Z15" s="14">
        <v>0.52</v>
      </c>
      <c r="AA15" s="14">
        <v>0.53</v>
      </c>
      <c r="AB15" s="14">
        <v>0.52</v>
      </c>
      <c r="AC15" s="14">
        <v>0.5</v>
      </c>
      <c r="AD15" s="14">
        <v>0.52</v>
      </c>
      <c r="AE15" s="14">
        <v>0.5</v>
      </c>
      <c r="AF15" s="14">
        <v>0.49</v>
      </c>
    </row>
    <row r="16" spans="1:32" ht="34.5" x14ac:dyDescent="0.25">
      <c r="A16" s="19"/>
      <c r="B16" s="11" t="s">
        <v>631</v>
      </c>
      <c r="C16" s="12">
        <v>37</v>
      </c>
      <c r="D16" s="12">
        <v>2</v>
      </c>
      <c r="E16" s="12">
        <v>1</v>
      </c>
      <c r="F16" s="12">
        <v>0</v>
      </c>
      <c r="G16" s="12">
        <v>5</v>
      </c>
      <c r="H16" s="12">
        <v>6</v>
      </c>
      <c r="I16" s="12">
        <v>6</v>
      </c>
      <c r="J16" s="12">
        <v>0</v>
      </c>
      <c r="K16" s="12">
        <v>2</v>
      </c>
      <c r="L16" s="12">
        <v>0</v>
      </c>
      <c r="M16" s="12">
        <v>0</v>
      </c>
      <c r="N16" s="12">
        <v>0</v>
      </c>
      <c r="O16" s="12">
        <v>1</v>
      </c>
      <c r="P16" s="12">
        <v>2</v>
      </c>
      <c r="Q16" s="12">
        <v>0</v>
      </c>
      <c r="R16" s="12">
        <v>0</v>
      </c>
      <c r="S16" s="12">
        <v>1</v>
      </c>
      <c r="T16" s="12">
        <v>0</v>
      </c>
      <c r="U16" s="12">
        <v>0</v>
      </c>
      <c r="V16" s="12">
        <v>0</v>
      </c>
      <c r="W16" s="12">
        <v>1</v>
      </c>
      <c r="X16" s="12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2</v>
      </c>
      <c r="AF16" s="12">
        <v>8</v>
      </c>
    </row>
    <row r="17" spans="1:32" ht="45.75" x14ac:dyDescent="0.25">
      <c r="A17" s="19"/>
      <c r="B17" s="13" t="s">
        <v>632</v>
      </c>
      <c r="C17" s="15" t="s">
        <v>213</v>
      </c>
      <c r="D17" s="15" t="s">
        <v>213</v>
      </c>
      <c r="E17" s="15" t="s">
        <v>213</v>
      </c>
      <c r="F17" s="15" t="s">
        <v>213</v>
      </c>
      <c r="G17" s="15" t="s">
        <v>213</v>
      </c>
      <c r="H17" s="15" t="s">
        <v>213</v>
      </c>
      <c r="I17" s="15" t="s">
        <v>213</v>
      </c>
      <c r="J17" s="15" t="s">
        <v>213</v>
      </c>
      <c r="K17" s="15" t="s">
        <v>213</v>
      </c>
      <c r="L17" s="15" t="s">
        <v>213</v>
      </c>
      <c r="M17" s="15" t="s">
        <v>213</v>
      </c>
      <c r="N17" s="15" t="s">
        <v>213</v>
      </c>
      <c r="O17" s="15" t="s">
        <v>213</v>
      </c>
      <c r="P17" s="15" t="s">
        <v>213</v>
      </c>
      <c r="Q17" s="15" t="s">
        <v>213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213</v>
      </c>
      <c r="W17" s="15" t="s">
        <v>213</v>
      </c>
      <c r="X17" s="15" t="s">
        <v>213</v>
      </c>
      <c r="Y17" s="15" t="s">
        <v>213</v>
      </c>
      <c r="Z17" s="15" t="s">
        <v>213</v>
      </c>
      <c r="AA17" s="15" t="s">
        <v>213</v>
      </c>
      <c r="AB17" s="15" t="s">
        <v>213</v>
      </c>
      <c r="AC17" s="15" t="s">
        <v>213</v>
      </c>
      <c r="AD17" s="15" t="s">
        <v>213</v>
      </c>
      <c r="AE17" s="15" t="s">
        <v>213</v>
      </c>
      <c r="AF17" s="14">
        <v>0.01</v>
      </c>
    </row>
    <row r="18" spans="1:32" x14ac:dyDescent="0.25">
      <c r="A18" s="19"/>
      <c r="B18" s="11" t="s">
        <v>633</v>
      </c>
      <c r="C18" s="12">
        <v>74</v>
      </c>
      <c r="D18" s="12">
        <v>3</v>
      </c>
      <c r="E18" s="12">
        <v>0</v>
      </c>
      <c r="F18" s="12">
        <v>4</v>
      </c>
      <c r="G18" s="12">
        <v>0</v>
      </c>
      <c r="H18" s="12">
        <v>4</v>
      </c>
      <c r="I18" s="12">
        <v>6</v>
      </c>
      <c r="J18" s="12">
        <v>2</v>
      </c>
      <c r="K18" s="12">
        <v>5</v>
      </c>
      <c r="L18" s="12">
        <v>1</v>
      </c>
      <c r="M18" s="12">
        <v>0</v>
      </c>
      <c r="N18" s="12">
        <v>2</v>
      </c>
      <c r="O18" s="12">
        <v>3</v>
      </c>
      <c r="P18" s="12">
        <v>0</v>
      </c>
      <c r="Q18" s="12">
        <v>5</v>
      </c>
      <c r="R18" s="12">
        <v>0</v>
      </c>
      <c r="S18" s="12">
        <v>2</v>
      </c>
      <c r="T18" s="12">
        <v>0</v>
      </c>
      <c r="U18" s="12">
        <v>0</v>
      </c>
      <c r="V18" s="12">
        <v>0</v>
      </c>
      <c r="W18" s="12">
        <v>3</v>
      </c>
      <c r="X18" s="12">
        <v>4</v>
      </c>
      <c r="Y18" s="12">
        <v>0</v>
      </c>
      <c r="Z18" s="12">
        <v>2</v>
      </c>
      <c r="AA18" s="12">
        <v>0</v>
      </c>
      <c r="AB18" s="12">
        <v>3</v>
      </c>
      <c r="AC18" s="12">
        <v>3</v>
      </c>
      <c r="AD18" s="12">
        <v>0</v>
      </c>
      <c r="AE18" s="12">
        <v>5</v>
      </c>
      <c r="AF18" s="12">
        <v>0</v>
      </c>
    </row>
    <row r="19" spans="1:32" x14ac:dyDescent="0.25">
      <c r="A19" s="19"/>
      <c r="B19" s="13" t="s">
        <v>634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4">
        <v>0.01</v>
      </c>
      <c r="K19" s="14">
        <v>0.01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4">
        <v>0.01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4">
        <v>0.01</v>
      </c>
      <c r="X19" s="14">
        <v>0.01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4">
        <v>0.01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4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115</v>
      </c>
      <c r="C3" s="18"/>
      <c r="D3" s="18"/>
      <c r="E3" s="18"/>
      <c r="F3" s="18"/>
      <c r="H3" s="18" t="s">
        <v>116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HYPERLINK("#Content!A59","&lt;&lt;Back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57" x14ac:dyDescent="0.25">
      <c r="A12" s="19"/>
      <c r="B12" s="11" t="s">
        <v>635</v>
      </c>
      <c r="C12" s="12">
        <v>1068</v>
      </c>
      <c r="D12" s="12">
        <v>17</v>
      </c>
      <c r="E12" s="12">
        <v>30</v>
      </c>
      <c r="F12" s="12">
        <v>20</v>
      </c>
      <c r="G12" s="12">
        <v>4</v>
      </c>
      <c r="H12" s="12">
        <v>33</v>
      </c>
      <c r="I12" s="12">
        <v>35</v>
      </c>
      <c r="J12" s="12">
        <v>2</v>
      </c>
      <c r="K12" s="12">
        <v>37</v>
      </c>
      <c r="L12" s="12">
        <v>64</v>
      </c>
      <c r="M12" s="12">
        <v>77</v>
      </c>
      <c r="N12" s="12">
        <v>57</v>
      </c>
      <c r="O12" s="12">
        <v>36</v>
      </c>
      <c r="P12" s="12">
        <v>28</v>
      </c>
      <c r="Q12" s="12">
        <v>87</v>
      </c>
      <c r="R12" s="12">
        <v>22</v>
      </c>
      <c r="S12" s="12">
        <v>29</v>
      </c>
      <c r="T12" s="12">
        <v>42</v>
      </c>
      <c r="U12" s="12">
        <v>6</v>
      </c>
      <c r="V12" s="12">
        <v>12</v>
      </c>
      <c r="W12" s="12">
        <v>73</v>
      </c>
      <c r="X12" s="12">
        <v>18</v>
      </c>
      <c r="Y12" s="12">
        <v>29</v>
      </c>
      <c r="Z12" s="12">
        <v>32</v>
      </c>
      <c r="AA12" s="12">
        <v>22</v>
      </c>
      <c r="AB12" s="12">
        <v>75</v>
      </c>
      <c r="AC12" s="12">
        <v>10</v>
      </c>
      <c r="AD12" s="12">
        <v>44</v>
      </c>
      <c r="AE12" s="12">
        <v>8</v>
      </c>
      <c r="AF12" s="12">
        <v>2</v>
      </c>
    </row>
    <row r="13" spans="1:32" ht="57" x14ac:dyDescent="0.25">
      <c r="A13" s="19"/>
      <c r="B13" s="13" t="s">
        <v>636</v>
      </c>
      <c r="C13" s="14">
        <v>0.04</v>
      </c>
      <c r="D13" s="14">
        <v>0.02</v>
      </c>
      <c r="E13" s="14">
        <v>0.03</v>
      </c>
      <c r="F13" s="14">
        <v>0.02</v>
      </c>
      <c r="G13" s="15" t="s">
        <v>213</v>
      </c>
      <c r="H13" s="14">
        <v>0.03</v>
      </c>
      <c r="I13" s="14">
        <v>0.02</v>
      </c>
      <c r="J13" s="14">
        <v>0.01</v>
      </c>
      <c r="K13" s="14">
        <v>0.04</v>
      </c>
      <c r="L13" s="14">
        <v>0.06</v>
      </c>
      <c r="M13" s="14">
        <v>0.08</v>
      </c>
      <c r="N13" s="14">
        <v>0.06</v>
      </c>
      <c r="O13" s="14">
        <v>0.04</v>
      </c>
      <c r="P13" s="14">
        <v>0.03</v>
      </c>
      <c r="Q13" s="14">
        <v>0.08</v>
      </c>
      <c r="R13" s="14">
        <v>0.05</v>
      </c>
      <c r="S13" s="14">
        <v>0.03</v>
      </c>
      <c r="T13" s="14">
        <v>0.04</v>
      </c>
      <c r="U13" s="14">
        <v>0.01</v>
      </c>
      <c r="V13" s="14">
        <v>0.01</v>
      </c>
      <c r="W13" s="14">
        <v>0.15</v>
      </c>
      <c r="X13" s="14">
        <v>0.02</v>
      </c>
      <c r="Y13" s="14">
        <v>0.03</v>
      </c>
      <c r="Z13" s="14">
        <v>0.03</v>
      </c>
      <c r="AA13" s="14">
        <v>0.02</v>
      </c>
      <c r="AB13" s="14">
        <v>7.0000000000000007E-2</v>
      </c>
      <c r="AC13" s="14">
        <v>0.01</v>
      </c>
      <c r="AD13" s="14">
        <v>0.04</v>
      </c>
      <c r="AE13" s="14">
        <v>0.01</v>
      </c>
      <c r="AF13" s="15" t="s">
        <v>213</v>
      </c>
    </row>
    <row r="14" spans="1:32" x14ac:dyDescent="0.25">
      <c r="A14" s="19"/>
      <c r="B14" s="11" t="s">
        <v>637</v>
      </c>
      <c r="C14" s="12">
        <v>2573</v>
      </c>
      <c r="D14" s="12">
        <v>115</v>
      </c>
      <c r="E14" s="12">
        <v>73</v>
      </c>
      <c r="F14" s="12">
        <v>90</v>
      </c>
      <c r="G14" s="12">
        <v>112</v>
      </c>
      <c r="H14" s="12">
        <v>161</v>
      </c>
      <c r="I14" s="12">
        <v>181</v>
      </c>
      <c r="J14" s="12">
        <v>20</v>
      </c>
      <c r="K14" s="12">
        <v>108</v>
      </c>
      <c r="L14" s="12">
        <v>98</v>
      </c>
      <c r="M14" s="12">
        <v>75</v>
      </c>
      <c r="N14" s="12">
        <v>76</v>
      </c>
      <c r="O14" s="12">
        <v>99</v>
      </c>
      <c r="P14" s="12">
        <v>61</v>
      </c>
      <c r="Q14" s="12">
        <v>116</v>
      </c>
      <c r="R14" s="12">
        <v>39</v>
      </c>
      <c r="S14" s="12">
        <v>84</v>
      </c>
      <c r="T14" s="12">
        <v>89</v>
      </c>
      <c r="U14" s="12">
        <v>46</v>
      </c>
      <c r="V14" s="12">
        <v>68</v>
      </c>
      <c r="W14" s="12">
        <v>42</v>
      </c>
      <c r="X14" s="12">
        <v>146</v>
      </c>
      <c r="Y14" s="12">
        <v>78</v>
      </c>
      <c r="Z14" s="12">
        <v>69</v>
      </c>
      <c r="AA14" s="12">
        <v>103</v>
      </c>
      <c r="AB14" s="12">
        <v>88</v>
      </c>
      <c r="AC14" s="12">
        <v>99</v>
      </c>
      <c r="AD14" s="12">
        <v>98</v>
      </c>
      <c r="AE14" s="12">
        <v>102</v>
      </c>
      <c r="AF14" s="12">
        <v>75</v>
      </c>
    </row>
    <row r="15" spans="1:32" x14ac:dyDescent="0.25">
      <c r="A15" s="19"/>
      <c r="B15" s="13" t="s">
        <v>638</v>
      </c>
      <c r="C15" s="14">
        <v>0.1</v>
      </c>
      <c r="D15" s="14">
        <v>0.11</v>
      </c>
      <c r="E15" s="14">
        <v>7.0000000000000007E-2</v>
      </c>
      <c r="F15" s="14">
        <v>0.08</v>
      </c>
      <c r="G15" s="14">
        <v>0.11</v>
      </c>
      <c r="H15" s="14">
        <v>0.13</v>
      </c>
      <c r="I15" s="14">
        <v>0.12</v>
      </c>
      <c r="J15" s="14">
        <v>7.0000000000000007E-2</v>
      </c>
      <c r="K15" s="14">
        <v>0.11</v>
      </c>
      <c r="L15" s="14">
        <v>0.1</v>
      </c>
      <c r="M15" s="14">
        <v>7.0000000000000007E-2</v>
      </c>
      <c r="N15" s="14">
        <v>7.0000000000000007E-2</v>
      </c>
      <c r="O15" s="14">
        <v>0.1</v>
      </c>
      <c r="P15" s="14">
        <v>0.06</v>
      </c>
      <c r="Q15" s="14">
        <v>0.11</v>
      </c>
      <c r="R15" s="14">
        <v>0.08</v>
      </c>
      <c r="S15" s="14">
        <v>0.08</v>
      </c>
      <c r="T15" s="14">
        <v>0.09</v>
      </c>
      <c r="U15" s="14">
        <v>0.09</v>
      </c>
      <c r="V15" s="14">
        <v>7.0000000000000007E-2</v>
      </c>
      <c r="W15" s="14">
        <v>0.08</v>
      </c>
      <c r="X15" s="14">
        <v>0.14000000000000001</v>
      </c>
      <c r="Y15" s="14">
        <v>0.08</v>
      </c>
      <c r="Z15" s="14">
        <v>7.0000000000000007E-2</v>
      </c>
      <c r="AA15" s="14">
        <v>0.1</v>
      </c>
      <c r="AB15" s="14">
        <v>0.08</v>
      </c>
      <c r="AC15" s="14">
        <v>0.1</v>
      </c>
      <c r="AD15" s="14">
        <v>0.1</v>
      </c>
      <c r="AE15" s="14">
        <v>0.1</v>
      </c>
      <c r="AF15" s="14">
        <v>7.0000000000000007E-2</v>
      </c>
    </row>
    <row r="16" spans="1:32" ht="34.5" x14ac:dyDescent="0.25">
      <c r="A16" s="19"/>
      <c r="B16" s="11" t="s">
        <v>639</v>
      </c>
      <c r="C16" s="12">
        <v>1141</v>
      </c>
      <c r="D16" s="12">
        <v>75</v>
      </c>
      <c r="E16" s="12">
        <v>43</v>
      </c>
      <c r="F16" s="12">
        <v>43</v>
      </c>
      <c r="G16" s="12">
        <v>36</v>
      </c>
      <c r="H16" s="12">
        <v>48</v>
      </c>
      <c r="I16" s="12">
        <v>57</v>
      </c>
      <c r="J16" s="12">
        <v>9</v>
      </c>
      <c r="K16" s="12">
        <v>37</v>
      </c>
      <c r="L16" s="12">
        <v>39</v>
      </c>
      <c r="M16" s="12">
        <v>39</v>
      </c>
      <c r="N16" s="12">
        <v>87</v>
      </c>
      <c r="O16" s="12">
        <v>66</v>
      </c>
      <c r="P16" s="12">
        <v>34</v>
      </c>
      <c r="Q16" s="12">
        <v>19</v>
      </c>
      <c r="R16" s="12">
        <v>21</v>
      </c>
      <c r="S16" s="12">
        <v>50</v>
      </c>
      <c r="T16" s="12">
        <v>85</v>
      </c>
      <c r="U16" s="12">
        <v>17</v>
      </c>
      <c r="V16" s="12">
        <v>21</v>
      </c>
      <c r="W16" s="12">
        <v>4</v>
      </c>
      <c r="X16" s="12">
        <v>49</v>
      </c>
      <c r="Y16" s="12">
        <v>33</v>
      </c>
      <c r="Z16" s="12">
        <v>16</v>
      </c>
      <c r="AA16" s="12">
        <v>44</v>
      </c>
      <c r="AB16" s="12">
        <v>7</v>
      </c>
      <c r="AC16" s="12">
        <v>46</v>
      </c>
      <c r="AD16" s="12">
        <v>33</v>
      </c>
      <c r="AE16" s="12">
        <v>64</v>
      </c>
      <c r="AF16" s="12">
        <v>37</v>
      </c>
    </row>
    <row r="17" spans="1:32" ht="23.25" x14ac:dyDescent="0.25">
      <c r="A17" s="19"/>
      <c r="B17" s="13" t="s">
        <v>640</v>
      </c>
      <c r="C17" s="14">
        <v>0.04</v>
      </c>
      <c r="D17" s="14">
        <v>7.0000000000000007E-2</v>
      </c>
      <c r="E17" s="14">
        <v>0.04</v>
      </c>
      <c r="F17" s="14">
        <v>0.04</v>
      </c>
      <c r="G17" s="14">
        <v>0.03</v>
      </c>
      <c r="H17" s="14">
        <v>0.04</v>
      </c>
      <c r="I17" s="14">
        <v>0.04</v>
      </c>
      <c r="J17" s="14">
        <v>0.03</v>
      </c>
      <c r="K17" s="14">
        <v>0.04</v>
      </c>
      <c r="L17" s="14">
        <v>0.04</v>
      </c>
      <c r="M17" s="14">
        <v>0.04</v>
      </c>
      <c r="N17" s="14">
        <v>0.09</v>
      </c>
      <c r="O17" s="14">
        <v>7.0000000000000007E-2</v>
      </c>
      <c r="P17" s="14">
        <v>0.03</v>
      </c>
      <c r="Q17" s="14">
        <v>0.02</v>
      </c>
      <c r="R17" s="14">
        <v>0.04</v>
      </c>
      <c r="S17" s="14">
        <v>0.05</v>
      </c>
      <c r="T17" s="14">
        <v>0.08</v>
      </c>
      <c r="U17" s="14">
        <v>0.03</v>
      </c>
      <c r="V17" s="14">
        <v>0.02</v>
      </c>
      <c r="W17" s="14">
        <v>0.01</v>
      </c>
      <c r="X17" s="14">
        <v>0.05</v>
      </c>
      <c r="Y17" s="14">
        <v>0.03</v>
      </c>
      <c r="Z17" s="14">
        <v>0.01</v>
      </c>
      <c r="AA17" s="14">
        <v>0.04</v>
      </c>
      <c r="AB17" s="14">
        <v>0.01</v>
      </c>
      <c r="AC17" s="14">
        <v>0.05</v>
      </c>
      <c r="AD17" s="14">
        <v>0.03</v>
      </c>
      <c r="AE17" s="14">
        <v>0.06</v>
      </c>
      <c r="AF17" s="14">
        <v>0.04</v>
      </c>
    </row>
    <row r="18" spans="1:32" ht="23.25" x14ac:dyDescent="0.25">
      <c r="A18" s="19"/>
      <c r="B18" s="11" t="s">
        <v>641</v>
      </c>
      <c r="C18" s="12">
        <v>6938</v>
      </c>
      <c r="D18" s="12">
        <v>289</v>
      </c>
      <c r="E18" s="12">
        <v>273</v>
      </c>
      <c r="F18" s="12">
        <v>264</v>
      </c>
      <c r="G18" s="12">
        <v>291</v>
      </c>
      <c r="H18" s="12">
        <v>333</v>
      </c>
      <c r="I18" s="12">
        <v>433</v>
      </c>
      <c r="J18" s="12">
        <v>100</v>
      </c>
      <c r="K18" s="12">
        <v>237</v>
      </c>
      <c r="L18" s="12">
        <v>168</v>
      </c>
      <c r="M18" s="12">
        <v>262</v>
      </c>
      <c r="N18" s="12">
        <v>248</v>
      </c>
      <c r="O18" s="12">
        <v>294</v>
      </c>
      <c r="P18" s="12">
        <v>289</v>
      </c>
      <c r="Q18" s="12">
        <v>232</v>
      </c>
      <c r="R18" s="12">
        <v>100</v>
      </c>
      <c r="S18" s="12">
        <v>266</v>
      </c>
      <c r="T18" s="12">
        <v>275</v>
      </c>
      <c r="U18" s="12">
        <v>121</v>
      </c>
      <c r="V18" s="12">
        <v>251</v>
      </c>
      <c r="W18" s="12">
        <v>62</v>
      </c>
      <c r="X18" s="12">
        <v>254</v>
      </c>
      <c r="Y18" s="12">
        <v>245</v>
      </c>
      <c r="Z18" s="12">
        <v>264</v>
      </c>
      <c r="AA18" s="12">
        <v>278</v>
      </c>
      <c r="AB18" s="12">
        <v>274</v>
      </c>
      <c r="AC18" s="12">
        <v>312</v>
      </c>
      <c r="AD18" s="12">
        <v>244</v>
      </c>
      <c r="AE18" s="12">
        <v>289</v>
      </c>
      <c r="AF18" s="12">
        <v>273</v>
      </c>
    </row>
    <row r="19" spans="1:32" ht="23.25" x14ac:dyDescent="0.25">
      <c r="A19" s="19"/>
      <c r="B19" s="13" t="s">
        <v>642</v>
      </c>
      <c r="C19" s="14">
        <v>0.26</v>
      </c>
      <c r="D19" s="14">
        <v>0.28000000000000003</v>
      </c>
      <c r="E19" s="14">
        <v>0.26</v>
      </c>
      <c r="F19" s="14">
        <v>0.25</v>
      </c>
      <c r="G19" s="14">
        <v>0.28999999999999998</v>
      </c>
      <c r="H19" s="14">
        <v>0.27</v>
      </c>
      <c r="I19" s="14">
        <v>0.28000000000000003</v>
      </c>
      <c r="J19" s="14">
        <v>0.34</v>
      </c>
      <c r="K19" s="14">
        <v>0.24</v>
      </c>
      <c r="L19" s="14">
        <v>0.17</v>
      </c>
      <c r="M19" s="14">
        <v>0.26</v>
      </c>
      <c r="N19" s="14">
        <v>0.25</v>
      </c>
      <c r="O19" s="14">
        <v>0.28999999999999998</v>
      </c>
      <c r="P19" s="14">
        <v>0.28999999999999998</v>
      </c>
      <c r="Q19" s="14">
        <v>0.22</v>
      </c>
      <c r="R19" s="14">
        <v>0.2</v>
      </c>
      <c r="S19" s="14">
        <v>0.27</v>
      </c>
      <c r="T19" s="14">
        <v>0.27</v>
      </c>
      <c r="U19" s="14">
        <v>0.24</v>
      </c>
      <c r="V19" s="14">
        <v>0.24</v>
      </c>
      <c r="W19" s="14">
        <v>0.12</v>
      </c>
      <c r="X19" s="14">
        <v>0.25</v>
      </c>
      <c r="Y19" s="14">
        <v>0.25</v>
      </c>
      <c r="Z19" s="14">
        <v>0.26</v>
      </c>
      <c r="AA19" s="14">
        <v>0.27</v>
      </c>
      <c r="AB19" s="14">
        <v>0.26</v>
      </c>
      <c r="AC19" s="14">
        <v>0.31</v>
      </c>
      <c r="AD19" s="14">
        <v>0.24</v>
      </c>
      <c r="AE19" s="14">
        <v>0.28999999999999998</v>
      </c>
      <c r="AF19" s="14">
        <v>0.26</v>
      </c>
    </row>
    <row r="20" spans="1:32" x14ac:dyDescent="0.25">
      <c r="A20" s="19"/>
      <c r="B20" s="11" t="s">
        <v>643</v>
      </c>
      <c r="C20" s="12">
        <v>199</v>
      </c>
      <c r="D20" s="12">
        <v>2</v>
      </c>
      <c r="E20" s="12">
        <v>6</v>
      </c>
      <c r="F20" s="12">
        <v>5</v>
      </c>
      <c r="G20" s="12">
        <v>2</v>
      </c>
      <c r="H20" s="12">
        <v>1</v>
      </c>
      <c r="I20" s="12">
        <v>2</v>
      </c>
      <c r="J20" s="12">
        <v>1</v>
      </c>
      <c r="K20" s="12">
        <v>3</v>
      </c>
      <c r="L20" s="12">
        <v>11</v>
      </c>
      <c r="M20" s="12">
        <v>36</v>
      </c>
      <c r="N20" s="12">
        <v>7</v>
      </c>
      <c r="O20" s="12">
        <v>2</v>
      </c>
      <c r="P20" s="12">
        <v>9</v>
      </c>
      <c r="Q20" s="12">
        <v>9</v>
      </c>
      <c r="R20" s="12">
        <v>2</v>
      </c>
      <c r="S20" s="12">
        <v>15</v>
      </c>
      <c r="T20" s="12">
        <v>8</v>
      </c>
      <c r="U20" s="12">
        <v>1</v>
      </c>
      <c r="V20" s="12">
        <v>2</v>
      </c>
      <c r="W20" s="12">
        <v>2</v>
      </c>
      <c r="X20" s="12">
        <v>1</v>
      </c>
      <c r="Y20" s="12">
        <v>6</v>
      </c>
      <c r="Z20" s="12">
        <v>30</v>
      </c>
      <c r="AA20" s="12">
        <v>8</v>
      </c>
      <c r="AB20" s="12">
        <v>10</v>
      </c>
      <c r="AC20" s="12">
        <v>26</v>
      </c>
      <c r="AD20" s="12">
        <v>1</v>
      </c>
      <c r="AE20" s="12">
        <v>11</v>
      </c>
      <c r="AF20" s="12">
        <v>4</v>
      </c>
    </row>
    <row r="21" spans="1:32" x14ac:dyDescent="0.25">
      <c r="A21" s="19"/>
      <c r="B21" s="13" t="s">
        <v>644</v>
      </c>
      <c r="C21" s="14">
        <v>0.01</v>
      </c>
      <c r="D21" s="15" t="s">
        <v>213</v>
      </c>
      <c r="E21" s="14">
        <v>0.01</v>
      </c>
      <c r="F21" s="15" t="s">
        <v>213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4">
        <v>0.01</v>
      </c>
      <c r="M21" s="14">
        <v>0.04</v>
      </c>
      <c r="N21" s="14">
        <v>0.01</v>
      </c>
      <c r="O21" s="15" t="s">
        <v>213</v>
      </c>
      <c r="P21" s="14">
        <v>0.01</v>
      </c>
      <c r="Q21" s="14">
        <v>0.01</v>
      </c>
      <c r="R21" s="15" t="s">
        <v>213</v>
      </c>
      <c r="S21" s="14">
        <v>0.02</v>
      </c>
      <c r="T21" s="14">
        <v>0.01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4">
        <v>0.01</v>
      </c>
      <c r="Z21" s="14">
        <v>0.03</v>
      </c>
      <c r="AA21" s="14">
        <v>0.01</v>
      </c>
      <c r="AB21" s="14">
        <v>0.01</v>
      </c>
      <c r="AC21" s="14">
        <v>0.03</v>
      </c>
      <c r="AD21" s="15" t="s">
        <v>213</v>
      </c>
      <c r="AE21" s="14">
        <v>0.01</v>
      </c>
      <c r="AF21" s="15" t="s">
        <v>213</v>
      </c>
    </row>
    <row r="22" spans="1:32" x14ac:dyDescent="0.25">
      <c r="A22" s="19"/>
      <c r="B22" s="11" t="s">
        <v>645</v>
      </c>
      <c r="C22" s="12">
        <v>11</v>
      </c>
      <c r="D22" s="12">
        <v>0</v>
      </c>
      <c r="E22" s="12">
        <v>1</v>
      </c>
      <c r="F22" s="12">
        <v>0</v>
      </c>
      <c r="G22" s="12">
        <v>0</v>
      </c>
      <c r="H22" s="12">
        <v>0</v>
      </c>
      <c r="I22" s="12">
        <v>1</v>
      </c>
      <c r="J22" s="12">
        <v>1</v>
      </c>
      <c r="K22" s="12">
        <v>2</v>
      </c>
      <c r="L22" s="12">
        <v>0</v>
      </c>
      <c r="M22" s="12">
        <v>2</v>
      </c>
      <c r="N22" s="12">
        <v>0</v>
      </c>
      <c r="O22" s="12">
        <v>0</v>
      </c>
      <c r="P22" s="12">
        <v>2</v>
      </c>
      <c r="Q22" s="12">
        <v>1</v>
      </c>
      <c r="R22" s="12">
        <v>0</v>
      </c>
      <c r="S22" s="12">
        <v>2</v>
      </c>
      <c r="T22" s="12">
        <v>0</v>
      </c>
      <c r="U22" s="12">
        <v>0</v>
      </c>
      <c r="V22" s="12">
        <v>0</v>
      </c>
      <c r="W22" s="12">
        <v>0</v>
      </c>
      <c r="X22" s="12">
        <v>1</v>
      </c>
      <c r="Y22" s="12">
        <v>0</v>
      </c>
      <c r="Z22" s="12">
        <v>1</v>
      </c>
      <c r="AA22" s="12">
        <v>2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</row>
    <row r="23" spans="1:32" x14ac:dyDescent="0.25">
      <c r="A23" s="19"/>
      <c r="B23" s="13" t="s">
        <v>646</v>
      </c>
      <c r="C23" s="15" t="s">
        <v>213</v>
      </c>
      <c r="D23" s="15" t="s">
        <v>213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  <row r="24" spans="1:32" ht="45.75" x14ac:dyDescent="0.25">
      <c r="A24" s="19"/>
      <c r="B24" s="11" t="s">
        <v>647</v>
      </c>
      <c r="C24" s="12">
        <v>546</v>
      </c>
      <c r="D24" s="12">
        <v>15</v>
      </c>
      <c r="E24" s="12">
        <v>6</v>
      </c>
      <c r="F24" s="12">
        <v>33</v>
      </c>
      <c r="G24" s="12">
        <v>28</v>
      </c>
      <c r="H24" s="12">
        <v>20</v>
      </c>
      <c r="I24" s="12">
        <v>23</v>
      </c>
      <c r="J24" s="12">
        <v>4</v>
      </c>
      <c r="K24" s="12">
        <v>11</v>
      </c>
      <c r="L24" s="12">
        <v>27</v>
      </c>
      <c r="M24" s="12">
        <v>17</v>
      </c>
      <c r="N24" s="12">
        <v>14</v>
      </c>
      <c r="O24" s="12">
        <v>23</v>
      </c>
      <c r="P24" s="12">
        <v>18</v>
      </c>
      <c r="Q24" s="12">
        <v>40</v>
      </c>
      <c r="R24" s="12">
        <v>11</v>
      </c>
      <c r="S24" s="12">
        <v>31</v>
      </c>
      <c r="T24" s="12">
        <v>14</v>
      </c>
      <c r="U24" s="12">
        <v>18</v>
      </c>
      <c r="V24" s="12">
        <v>10</v>
      </c>
      <c r="W24" s="12">
        <v>19</v>
      </c>
      <c r="X24" s="12">
        <v>17</v>
      </c>
      <c r="Y24" s="12">
        <v>23</v>
      </c>
      <c r="Z24" s="12">
        <v>12</v>
      </c>
      <c r="AA24" s="12">
        <v>17</v>
      </c>
      <c r="AB24" s="12">
        <v>11</v>
      </c>
      <c r="AC24" s="12">
        <v>31</v>
      </c>
      <c r="AD24" s="12">
        <v>26</v>
      </c>
      <c r="AE24" s="12">
        <v>21</v>
      </c>
      <c r="AF24" s="12">
        <v>36</v>
      </c>
    </row>
    <row r="25" spans="1:32" ht="57" x14ac:dyDescent="0.25">
      <c r="A25" s="19"/>
      <c r="B25" s="13" t="s">
        <v>648</v>
      </c>
      <c r="C25" s="14">
        <v>0.02</v>
      </c>
      <c r="D25" s="14">
        <v>0.02</v>
      </c>
      <c r="E25" s="14">
        <v>0.01</v>
      </c>
      <c r="F25" s="14">
        <v>0.03</v>
      </c>
      <c r="G25" s="14">
        <v>0.03</v>
      </c>
      <c r="H25" s="14">
        <v>0.02</v>
      </c>
      <c r="I25" s="14">
        <v>0.02</v>
      </c>
      <c r="J25" s="14">
        <v>0.01</v>
      </c>
      <c r="K25" s="14">
        <v>0.01</v>
      </c>
      <c r="L25" s="14">
        <v>0.03</v>
      </c>
      <c r="M25" s="14">
        <v>0.02</v>
      </c>
      <c r="N25" s="14">
        <v>0.01</v>
      </c>
      <c r="O25" s="14">
        <v>0.02</v>
      </c>
      <c r="P25" s="14">
        <v>0.02</v>
      </c>
      <c r="Q25" s="14">
        <v>0.04</v>
      </c>
      <c r="R25" s="14">
        <v>0.02</v>
      </c>
      <c r="S25" s="14">
        <v>0.03</v>
      </c>
      <c r="T25" s="14">
        <v>0.01</v>
      </c>
      <c r="U25" s="14">
        <v>0.04</v>
      </c>
      <c r="V25" s="14">
        <v>0.01</v>
      </c>
      <c r="W25" s="14">
        <v>0.04</v>
      </c>
      <c r="X25" s="14">
        <v>0.02</v>
      </c>
      <c r="Y25" s="14">
        <v>0.02</v>
      </c>
      <c r="Z25" s="14">
        <v>0.01</v>
      </c>
      <c r="AA25" s="14">
        <v>0.02</v>
      </c>
      <c r="AB25" s="14">
        <v>0.01</v>
      </c>
      <c r="AC25" s="14">
        <v>0.03</v>
      </c>
      <c r="AD25" s="14">
        <v>0.03</v>
      </c>
      <c r="AE25" s="14">
        <v>0.02</v>
      </c>
      <c r="AF25" s="14">
        <v>0.04</v>
      </c>
    </row>
    <row r="26" spans="1:32" ht="45.75" x14ac:dyDescent="0.25">
      <c r="A26" s="19"/>
      <c r="B26" s="11" t="s">
        <v>649</v>
      </c>
      <c r="C26" s="12">
        <v>742</v>
      </c>
      <c r="D26" s="12">
        <v>40</v>
      </c>
      <c r="E26" s="12">
        <v>40</v>
      </c>
      <c r="F26" s="12">
        <v>49</v>
      </c>
      <c r="G26" s="12">
        <v>12</v>
      </c>
      <c r="H26" s="12">
        <v>17</v>
      </c>
      <c r="I26" s="12">
        <v>18</v>
      </c>
      <c r="J26" s="12">
        <v>1</v>
      </c>
      <c r="K26" s="12">
        <v>19</v>
      </c>
      <c r="L26" s="12">
        <v>11</v>
      </c>
      <c r="M26" s="12">
        <v>81</v>
      </c>
      <c r="N26" s="12">
        <v>15</v>
      </c>
      <c r="O26" s="12">
        <v>33</v>
      </c>
      <c r="P26" s="12">
        <v>30</v>
      </c>
      <c r="Q26" s="12">
        <v>69</v>
      </c>
      <c r="R26" s="12">
        <v>24</v>
      </c>
      <c r="S26" s="12">
        <v>17</v>
      </c>
      <c r="T26" s="12">
        <v>34</v>
      </c>
      <c r="U26" s="12">
        <v>20</v>
      </c>
      <c r="V26" s="12">
        <v>23</v>
      </c>
      <c r="W26" s="12">
        <v>12</v>
      </c>
      <c r="X26" s="12">
        <v>16</v>
      </c>
      <c r="Y26" s="12">
        <v>16</v>
      </c>
      <c r="Z26" s="12">
        <v>16</v>
      </c>
      <c r="AA26" s="12">
        <v>33</v>
      </c>
      <c r="AB26" s="12">
        <v>5</v>
      </c>
      <c r="AC26" s="12">
        <v>19</v>
      </c>
      <c r="AD26" s="12">
        <v>53</v>
      </c>
      <c r="AE26" s="12">
        <v>9</v>
      </c>
      <c r="AF26" s="12">
        <v>4</v>
      </c>
    </row>
    <row r="27" spans="1:32" ht="34.5" x14ac:dyDescent="0.25">
      <c r="A27" s="19"/>
      <c r="B27" s="13" t="s">
        <v>650</v>
      </c>
      <c r="C27" s="14">
        <v>0.03</v>
      </c>
      <c r="D27" s="14">
        <v>0.04</v>
      </c>
      <c r="E27" s="14">
        <v>0.04</v>
      </c>
      <c r="F27" s="14">
        <v>0.05</v>
      </c>
      <c r="G27" s="14">
        <v>0.01</v>
      </c>
      <c r="H27" s="14">
        <v>0.01</v>
      </c>
      <c r="I27" s="14">
        <v>0.01</v>
      </c>
      <c r="J27" s="15" t="s">
        <v>213</v>
      </c>
      <c r="K27" s="14">
        <v>0.02</v>
      </c>
      <c r="L27" s="14">
        <v>0.01</v>
      </c>
      <c r="M27" s="14">
        <v>0.08</v>
      </c>
      <c r="N27" s="14">
        <v>0.02</v>
      </c>
      <c r="O27" s="14">
        <v>0.03</v>
      </c>
      <c r="P27" s="14">
        <v>0.03</v>
      </c>
      <c r="Q27" s="14">
        <v>7.0000000000000007E-2</v>
      </c>
      <c r="R27" s="14">
        <v>0.05</v>
      </c>
      <c r="S27" s="14">
        <v>0.02</v>
      </c>
      <c r="T27" s="14">
        <v>0.03</v>
      </c>
      <c r="U27" s="14">
        <v>0.04</v>
      </c>
      <c r="V27" s="14">
        <v>0.02</v>
      </c>
      <c r="W27" s="14">
        <v>0.03</v>
      </c>
      <c r="X27" s="14">
        <v>0.02</v>
      </c>
      <c r="Y27" s="14">
        <v>0.02</v>
      </c>
      <c r="Z27" s="14">
        <v>0.02</v>
      </c>
      <c r="AA27" s="14">
        <v>0.03</v>
      </c>
      <c r="AB27" s="14">
        <v>0.01</v>
      </c>
      <c r="AC27" s="14">
        <v>0.02</v>
      </c>
      <c r="AD27" s="14">
        <v>0.05</v>
      </c>
      <c r="AE27" s="14">
        <v>0.01</v>
      </c>
      <c r="AF27" s="15" t="s">
        <v>213</v>
      </c>
    </row>
    <row r="28" spans="1:32" ht="34.5" x14ac:dyDescent="0.25">
      <c r="A28" s="19"/>
      <c r="B28" s="11" t="s">
        <v>651</v>
      </c>
      <c r="C28" s="12">
        <v>429</v>
      </c>
      <c r="D28" s="12">
        <v>29</v>
      </c>
      <c r="E28" s="12">
        <v>22</v>
      </c>
      <c r="F28" s="12">
        <v>27</v>
      </c>
      <c r="G28" s="12">
        <v>21</v>
      </c>
      <c r="H28" s="12">
        <v>25</v>
      </c>
      <c r="I28" s="12">
        <v>35</v>
      </c>
      <c r="J28" s="12">
        <v>10</v>
      </c>
      <c r="K28" s="12">
        <v>63</v>
      </c>
      <c r="L28" s="12">
        <v>7</v>
      </c>
      <c r="M28" s="12">
        <v>21</v>
      </c>
      <c r="N28" s="12">
        <v>19</v>
      </c>
      <c r="O28" s="12">
        <v>3</v>
      </c>
      <c r="P28" s="12">
        <v>14</v>
      </c>
      <c r="Q28" s="12">
        <v>5</v>
      </c>
      <c r="R28" s="12">
        <v>9</v>
      </c>
      <c r="S28" s="12">
        <v>14</v>
      </c>
      <c r="T28" s="12">
        <v>26</v>
      </c>
      <c r="U28" s="12">
        <v>3</v>
      </c>
      <c r="V28" s="12">
        <v>33</v>
      </c>
      <c r="W28" s="12">
        <v>7</v>
      </c>
      <c r="X28" s="12">
        <v>39</v>
      </c>
      <c r="Y28" s="12">
        <v>22</v>
      </c>
      <c r="Z28" s="12">
        <v>14</v>
      </c>
      <c r="AA28" s="12">
        <v>18</v>
      </c>
      <c r="AB28" s="12">
        <v>8</v>
      </c>
      <c r="AC28" s="12">
        <v>15</v>
      </c>
      <c r="AD28" s="12">
        <v>16</v>
      </c>
      <c r="AE28" s="12">
        <v>40</v>
      </c>
      <c r="AF28" s="12">
        <v>19</v>
      </c>
    </row>
    <row r="29" spans="1:32" ht="34.5" x14ac:dyDescent="0.25">
      <c r="A29" s="19"/>
      <c r="B29" s="13" t="s">
        <v>652</v>
      </c>
      <c r="C29" s="14">
        <v>0.01</v>
      </c>
      <c r="D29" s="14">
        <v>0.03</v>
      </c>
      <c r="E29" s="14">
        <v>0.02</v>
      </c>
      <c r="F29" s="14">
        <v>0.03</v>
      </c>
      <c r="G29" s="14">
        <v>0.02</v>
      </c>
      <c r="H29" s="14">
        <v>0.02</v>
      </c>
      <c r="I29" s="14">
        <v>0.02</v>
      </c>
      <c r="J29" s="14">
        <v>0.04</v>
      </c>
      <c r="K29" s="14">
        <v>0.06</v>
      </c>
      <c r="L29" s="14">
        <v>0.01</v>
      </c>
      <c r="M29" s="14">
        <v>0.02</v>
      </c>
      <c r="N29" s="14">
        <v>0.02</v>
      </c>
      <c r="O29" s="15" t="s">
        <v>213</v>
      </c>
      <c r="P29" s="14">
        <v>0.01</v>
      </c>
      <c r="Q29" s="14">
        <v>0.01</v>
      </c>
      <c r="R29" s="14">
        <v>0.02</v>
      </c>
      <c r="S29" s="14">
        <v>0.01</v>
      </c>
      <c r="T29" s="14">
        <v>0.03</v>
      </c>
      <c r="U29" s="14">
        <v>0.01</v>
      </c>
      <c r="V29" s="14">
        <v>0.03</v>
      </c>
      <c r="W29" s="14">
        <v>0.01</v>
      </c>
      <c r="X29" s="14">
        <v>0.04</v>
      </c>
      <c r="Y29" s="14">
        <v>0.02</v>
      </c>
      <c r="Z29" s="14">
        <v>0.01</v>
      </c>
      <c r="AA29" s="14">
        <v>0.02</v>
      </c>
      <c r="AB29" s="14">
        <v>0.01</v>
      </c>
      <c r="AC29" s="14">
        <v>0.01</v>
      </c>
      <c r="AD29" s="14">
        <v>0.02</v>
      </c>
      <c r="AE29" s="14">
        <v>0.04</v>
      </c>
      <c r="AF29" s="14">
        <v>0.02</v>
      </c>
    </row>
    <row r="30" spans="1:32" ht="45.75" x14ac:dyDescent="0.25">
      <c r="A30" s="19"/>
      <c r="B30" s="11" t="s">
        <v>653</v>
      </c>
      <c r="C30" s="12">
        <v>617</v>
      </c>
      <c r="D30" s="12">
        <v>5</v>
      </c>
      <c r="E30" s="12">
        <v>26</v>
      </c>
      <c r="F30" s="12">
        <v>28</v>
      </c>
      <c r="G30" s="12">
        <v>17</v>
      </c>
      <c r="H30" s="12">
        <v>17</v>
      </c>
      <c r="I30" s="12">
        <v>22</v>
      </c>
      <c r="J30" s="12">
        <v>5</v>
      </c>
      <c r="K30" s="12">
        <v>65</v>
      </c>
      <c r="L30" s="12">
        <v>57</v>
      </c>
      <c r="M30" s="12">
        <v>11</v>
      </c>
      <c r="N30" s="12">
        <v>44</v>
      </c>
      <c r="O30" s="12">
        <v>11</v>
      </c>
      <c r="P30" s="12">
        <v>21</v>
      </c>
      <c r="Q30" s="12">
        <v>10</v>
      </c>
      <c r="R30" s="12">
        <v>12</v>
      </c>
      <c r="S30" s="12">
        <v>62</v>
      </c>
      <c r="T30" s="12">
        <v>73</v>
      </c>
      <c r="U30" s="12">
        <v>11</v>
      </c>
      <c r="V30" s="12">
        <v>39</v>
      </c>
      <c r="W30" s="12">
        <v>32</v>
      </c>
      <c r="X30" s="12">
        <v>19</v>
      </c>
      <c r="Y30" s="12">
        <v>14</v>
      </c>
      <c r="Z30" s="12">
        <v>28</v>
      </c>
      <c r="AA30" s="12">
        <v>42</v>
      </c>
      <c r="AB30" s="12">
        <v>43</v>
      </c>
      <c r="AC30" s="12">
        <v>41</v>
      </c>
      <c r="AD30" s="12">
        <v>34</v>
      </c>
      <c r="AE30" s="12">
        <v>44</v>
      </c>
      <c r="AF30" s="12">
        <v>73</v>
      </c>
    </row>
    <row r="31" spans="1:32" ht="45.75" x14ac:dyDescent="0.25">
      <c r="A31" s="19"/>
      <c r="B31" s="13" t="s">
        <v>654</v>
      </c>
      <c r="C31" s="14">
        <v>0.02</v>
      </c>
      <c r="D31" s="15" t="s">
        <v>213</v>
      </c>
      <c r="E31" s="14">
        <v>0.02</v>
      </c>
      <c r="F31" s="14">
        <v>0.03</v>
      </c>
      <c r="G31" s="14">
        <v>0.02</v>
      </c>
      <c r="H31" s="14">
        <v>0.01</v>
      </c>
      <c r="I31" s="14">
        <v>0.01</v>
      </c>
      <c r="J31" s="14">
        <v>0.02</v>
      </c>
      <c r="K31" s="14">
        <v>0.06</v>
      </c>
      <c r="L31" s="14">
        <v>0.06</v>
      </c>
      <c r="M31" s="14">
        <v>0.01</v>
      </c>
      <c r="N31" s="14">
        <v>0.04</v>
      </c>
      <c r="O31" s="14">
        <v>0.01</v>
      </c>
      <c r="P31" s="14">
        <v>0.02</v>
      </c>
      <c r="Q31" s="14">
        <v>0.01</v>
      </c>
      <c r="R31" s="14">
        <v>0.02</v>
      </c>
      <c r="S31" s="14">
        <v>0.06</v>
      </c>
      <c r="T31" s="14">
        <v>7.0000000000000007E-2</v>
      </c>
      <c r="U31" s="14">
        <v>0.02</v>
      </c>
      <c r="V31" s="14">
        <v>0.04</v>
      </c>
      <c r="W31" s="14">
        <v>0.06</v>
      </c>
      <c r="X31" s="14">
        <v>0.02</v>
      </c>
      <c r="Y31" s="14">
        <v>0.01</v>
      </c>
      <c r="Z31" s="14">
        <v>0.03</v>
      </c>
      <c r="AA31" s="14">
        <v>0.04</v>
      </c>
      <c r="AB31" s="14">
        <v>0.04</v>
      </c>
      <c r="AC31" s="14">
        <v>0.04</v>
      </c>
      <c r="AD31" s="14">
        <v>0.03</v>
      </c>
      <c r="AE31" s="14">
        <v>0.04</v>
      </c>
      <c r="AF31" s="14">
        <v>7.0000000000000007E-2</v>
      </c>
    </row>
    <row r="32" spans="1:32" ht="45.75" x14ac:dyDescent="0.25">
      <c r="A32" s="19"/>
      <c r="B32" s="11" t="s">
        <v>655</v>
      </c>
      <c r="C32" s="12">
        <v>446</v>
      </c>
      <c r="D32" s="12">
        <v>6</v>
      </c>
      <c r="E32" s="12">
        <v>12</v>
      </c>
      <c r="F32" s="12">
        <v>6</v>
      </c>
      <c r="G32" s="12">
        <v>10</v>
      </c>
      <c r="H32" s="12">
        <v>28</v>
      </c>
      <c r="I32" s="12">
        <v>35</v>
      </c>
      <c r="J32" s="12">
        <v>7</v>
      </c>
      <c r="K32" s="12">
        <v>6</v>
      </c>
      <c r="L32" s="12">
        <v>36</v>
      </c>
      <c r="M32" s="12">
        <v>8</v>
      </c>
      <c r="N32" s="12">
        <v>3</v>
      </c>
      <c r="O32" s="12">
        <v>17</v>
      </c>
      <c r="P32" s="12">
        <v>10</v>
      </c>
      <c r="Q32" s="12">
        <v>36</v>
      </c>
      <c r="R32" s="12">
        <v>10</v>
      </c>
      <c r="S32" s="12">
        <v>14</v>
      </c>
      <c r="T32" s="12">
        <v>19</v>
      </c>
      <c r="U32" s="12">
        <v>18</v>
      </c>
      <c r="V32" s="12">
        <v>5</v>
      </c>
      <c r="W32" s="12">
        <v>40</v>
      </c>
      <c r="X32" s="12">
        <v>24</v>
      </c>
      <c r="Y32" s="12">
        <v>27</v>
      </c>
      <c r="Z32" s="12">
        <v>13</v>
      </c>
      <c r="AA32" s="12">
        <v>6</v>
      </c>
      <c r="AB32" s="12">
        <v>5</v>
      </c>
      <c r="AC32" s="12">
        <v>12</v>
      </c>
      <c r="AD32" s="12">
        <v>3</v>
      </c>
      <c r="AE32" s="12">
        <v>8</v>
      </c>
      <c r="AF32" s="12">
        <v>12</v>
      </c>
    </row>
    <row r="33" spans="1:32" ht="68.25" x14ac:dyDescent="0.25">
      <c r="A33" s="19"/>
      <c r="B33" s="13" t="s">
        <v>656</v>
      </c>
      <c r="C33" s="14">
        <v>0.02</v>
      </c>
      <c r="D33" s="14">
        <v>0.01</v>
      </c>
      <c r="E33" s="14">
        <v>0.01</v>
      </c>
      <c r="F33" s="14">
        <v>0.01</v>
      </c>
      <c r="G33" s="14">
        <v>0.01</v>
      </c>
      <c r="H33" s="14">
        <v>0.02</v>
      </c>
      <c r="I33" s="14">
        <v>0.02</v>
      </c>
      <c r="J33" s="14">
        <v>0.02</v>
      </c>
      <c r="K33" s="14">
        <v>0.01</v>
      </c>
      <c r="L33" s="14">
        <v>0.04</v>
      </c>
      <c r="M33" s="14">
        <v>0.01</v>
      </c>
      <c r="N33" s="15" t="s">
        <v>213</v>
      </c>
      <c r="O33" s="14">
        <v>0.02</v>
      </c>
      <c r="P33" s="14">
        <v>0.01</v>
      </c>
      <c r="Q33" s="14">
        <v>0.03</v>
      </c>
      <c r="R33" s="14">
        <v>0.02</v>
      </c>
      <c r="S33" s="14">
        <v>0.01</v>
      </c>
      <c r="T33" s="14">
        <v>0.02</v>
      </c>
      <c r="U33" s="14">
        <v>0.03</v>
      </c>
      <c r="V33" s="14">
        <v>0.01</v>
      </c>
      <c r="W33" s="14">
        <v>0.08</v>
      </c>
      <c r="X33" s="14">
        <v>0.02</v>
      </c>
      <c r="Y33" s="14">
        <v>0.03</v>
      </c>
      <c r="Z33" s="14">
        <v>0.01</v>
      </c>
      <c r="AA33" s="14">
        <v>0.01</v>
      </c>
      <c r="AB33" s="14">
        <v>0.01</v>
      </c>
      <c r="AC33" s="14">
        <v>0.01</v>
      </c>
      <c r="AD33" s="15" t="s">
        <v>213</v>
      </c>
      <c r="AE33" s="14">
        <v>0.01</v>
      </c>
      <c r="AF33" s="14">
        <v>0.01</v>
      </c>
    </row>
    <row r="34" spans="1:32" ht="45.75" x14ac:dyDescent="0.25">
      <c r="A34" s="19"/>
      <c r="B34" s="11" t="s">
        <v>657</v>
      </c>
      <c r="C34" s="12">
        <v>2363</v>
      </c>
      <c r="D34" s="12">
        <v>96</v>
      </c>
      <c r="E34" s="12">
        <v>51</v>
      </c>
      <c r="F34" s="12">
        <v>82</v>
      </c>
      <c r="G34" s="12">
        <v>119</v>
      </c>
      <c r="H34" s="12">
        <v>193</v>
      </c>
      <c r="I34" s="12">
        <v>222</v>
      </c>
      <c r="J34" s="12">
        <v>28</v>
      </c>
      <c r="K34" s="12">
        <v>98</v>
      </c>
      <c r="L34" s="12">
        <v>101</v>
      </c>
      <c r="M34" s="12">
        <v>23</v>
      </c>
      <c r="N34" s="12">
        <v>44</v>
      </c>
      <c r="O34" s="12">
        <v>114</v>
      </c>
      <c r="P34" s="12">
        <v>51</v>
      </c>
      <c r="Q34" s="12">
        <v>66</v>
      </c>
      <c r="R34" s="12">
        <v>55</v>
      </c>
      <c r="S34" s="12">
        <v>74</v>
      </c>
      <c r="T34" s="12">
        <v>58</v>
      </c>
      <c r="U34" s="12">
        <v>62</v>
      </c>
      <c r="V34" s="12">
        <v>47</v>
      </c>
      <c r="W34" s="12">
        <v>48</v>
      </c>
      <c r="X34" s="12">
        <v>155</v>
      </c>
      <c r="Y34" s="12">
        <v>101</v>
      </c>
      <c r="Z34" s="12">
        <v>58</v>
      </c>
      <c r="AA34" s="12">
        <v>57</v>
      </c>
      <c r="AB34" s="12">
        <v>21</v>
      </c>
      <c r="AC34" s="12">
        <v>76</v>
      </c>
      <c r="AD34" s="12">
        <v>80</v>
      </c>
      <c r="AE34" s="12">
        <v>139</v>
      </c>
      <c r="AF34" s="12">
        <v>129</v>
      </c>
    </row>
    <row r="35" spans="1:32" ht="57" x14ac:dyDescent="0.25">
      <c r="A35" s="19"/>
      <c r="B35" s="13" t="s">
        <v>658</v>
      </c>
      <c r="C35" s="14">
        <v>0.09</v>
      </c>
      <c r="D35" s="14">
        <v>0.09</v>
      </c>
      <c r="E35" s="14">
        <v>0.05</v>
      </c>
      <c r="F35" s="14">
        <v>0.08</v>
      </c>
      <c r="G35" s="14">
        <v>0.12</v>
      </c>
      <c r="H35" s="14">
        <v>0.16</v>
      </c>
      <c r="I35" s="14">
        <v>0.15</v>
      </c>
      <c r="J35" s="14">
        <v>0.1</v>
      </c>
      <c r="K35" s="14">
        <v>0.1</v>
      </c>
      <c r="L35" s="14">
        <v>0.1</v>
      </c>
      <c r="M35" s="14">
        <v>0.02</v>
      </c>
      <c r="N35" s="14">
        <v>0.04</v>
      </c>
      <c r="O35" s="14">
        <v>0.11</v>
      </c>
      <c r="P35" s="14">
        <v>0.05</v>
      </c>
      <c r="Q35" s="14">
        <v>0.06</v>
      </c>
      <c r="R35" s="14">
        <v>0.11</v>
      </c>
      <c r="S35" s="14">
        <v>7.0000000000000007E-2</v>
      </c>
      <c r="T35" s="14">
        <v>0.06</v>
      </c>
      <c r="U35" s="14">
        <v>0.12</v>
      </c>
      <c r="V35" s="14">
        <v>0.05</v>
      </c>
      <c r="W35" s="14">
        <v>0.1</v>
      </c>
      <c r="X35" s="14">
        <v>0.15</v>
      </c>
      <c r="Y35" s="14">
        <v>0.1</v>
      </c>
      <c r="Z35" s="14">
        <v>0.06</v>
      </c>
      <c r="AA35" s="14">
        <v>0.05</v>
      </c>
      <c r="AB35" s="14">
        <v>0.02</v>
      </c>
      <c r="AC35" s="14">
        <v>0.08</v>
      </c>
      <c r="AD35" s="14">
        <v>0.08</v>
      </c>
      <c r="AE35" s="14">
        <v>0.14000000000000001</v>
      </c>
      <c r="AF35" s="14">
        <v>0.12</v>
      </c>
    </row>
    <row r="36" spans="1:32" ht="34.5" x14ac:dyDescent="0.25">
      <c r="A36" s="19"/>
      <c r="B36" s="11" t="s">
        <v>659</v>
      </c>
      <c r="C36" s="12">
        <v>2547</v>
      </c>
      <c r="D36" s="12">
        <v>132</v>
      </c>
      <c r="E36" s="12">
        <v>137</v>
      </c>
      <c r="F36" s="12">
        <v>218</v>
      </c>
      <c r="G36" s="12">
        <v>126</v>
      </c>
      <c r="H36" s="12">
        <v>117</v>
      </c>
      <c r="I36" s="12">
        <v>135</v>
      </c>
      <c r="J36" s="12">
        <v>18</v>
      </c>
      <c r="K36" s="12">
        <v>61</v>
      </c>
      <c r="L36" s="12">
        <v>140</v>
      </c>
      <c r="M36" s="12">
        <v>104</v>
      </c>
      <c r="N36" s="12">
        <v>64</v>
      </c>
      <c r="O36" s="12">
        <v>54</v>
      </c>
      <c r="P36" s="12">
        <v>99</v>
      </c>
      <c r="Q36" s="12">
        <v>119</v>
      </c>
      <c r="R36" s="12">
        <v>86</v>
      </c>
      <c r="S36" s="12">
        <v>59</v>
      </c>
      <c r="T36" s="12">
        <v>45</v>
      </c>
      <c r="U36" s="12">
        <v>71</v>
      </c>
      <c r="V36" s="12">
        <v>167</v>
      </c>
      <c r="W36" s="12">
        <v>82</v>
      </c>
      <c r="X36" s="12">
        <v>152</v>
      </c>
      <c r="Y36" s="12">
        <v>99</v>
      </c>
      <c r="Z36" s="12">
        <v>101</v>
      </c>
      <c r="AA36" s="12">
        <v>46</v>
      </c>
      <c r="AB36" s="12">
        <v>95</v>
      </c>
      <c r="AC36" s="12">
        <v>81</v>
      </c>
      <c r="AD36" s="12">
        <v>102</v>
      </c>
      <c r="AE36" s="12">
        <v>70</v>
      </c>
      <c r="AF36" s="12">
        <v>191</v>
      </c>
    </row>
    <row r="37" spans="1:32" ht="23.25" x14ac:dyDescent="0.25">
      <c r="A37" s="19"/>
      <c r="B37" s="13" t="s">
        <v>660</v>
      </c>
      <c r="C37" s="14">
        <v>0.1</v>
      </c>
      <c r="D37" s="14">
        <v>0.13</v>
      </c>
      <c r="E37" s="14">
        <v>0.13</v>
      </c>
      <c r="F37" s="14">
        <v>0.2</v>
      </c>
      <c r="G37" s="14">
        <v>0.12</v>
      </c>
      <c r="H37" s="14">
        <v>0.1</v>
      </c>
      <c r="I37" s="14">
        <v>0.09</v>
      </c>
      <c r="J37" s="14">
        <v>0.06</v>
      </c>
      <c r="K37" s="14">
        <v>0.06</v>
      </c>
      <c r="L37" s="14">
        <v>0.14000000000000001</v>
      </c>
      <c r="M37" s="14">
        <v>0.1</v>
      </c>
      <c r="N37" s="14">
        <v>0.06</v>
      </c>
      <c r="O37" s="14">
        <v>0.05</v>
      </c>
      <c r="P37" s="14">
        <v>0.1</v>
      </c>
      <c r="Q37" s="14">
        <v>0.12</v>
      </c>
      <c r="R37" s="14">
        <v>0.17</v>
      </c>
      <c r="S37" s="14">
        <v>0.06</v>
      </c>
      <c r="T37" s="14">
        <v>0.04</v>
      </c>
      <c r="U37" s="14">
        <v>0.14000000000000001</v>
      </c>
      <c r="V37" s="14">
        <v>0.16</v>
      </c>
      <c r="W37" s="14">
        <v>0.16</v>
      </c>
      <c r="X37" s="14">
        <v>0.15</v>
      </c>
      <c r="Y37" s="14">
        <v>0.1</v>
      </c>
      <c r="Z37" s="14">
        <v>0.1</v>
      </c>
      <c r="AA37" s="14">
        <v>0.04</v>
      </c>
      <c r="AB37" s="14">
        <v>0.09</v>
      </c>
      <c r="AC37" s="14">
        <v>0.08</v>
      </c>
      <c r="AD37" s="14">
        <v>0.1</v>
      </c>
      <c r="AE37" s="14">
        <v>7.0000000000000007E-2</v>
      </c>
      <c r="AF37" s="14">
        <v>0.19</v>
      </c>
    </row>
    <row r="38" spans="1:32" ht="57" x14ac:dyDescent="0.25">
      <c r="A38" s="19"/>
      <c r="B38" s="11" t="s">
        <v>661</v>
      </c>
      <c r="C38" s="12">
        <v>893</v>
      </c>
      <c r="D38" s="12">
        <v>42</v>
      </c>
      <c r="E38" s="12">
        <v>56</v>
      </c>
      <c r="F38" s="12">
        <v>41</v>
      </c>
      <c r="G38" s="12">
        <v>17</v>
      </c>
      <c r="H38" s="12">
        <v>16</v>
      </c>
      <c r="I38" s="12">
        <v>22</v>
      </c>
      <c r="J38" s="12">
        <v>6</v>
      </c>
      <c r="K38" s="12">
        <v>60</v>
      </c>
      <c r="L38" s="12">
        <v>25</v>
      </c>
      <c r="M38" s="12">
        <v>58</v>
      </c>
      <c r="N38" s="12">
        <v>25</v>
      </c>
      <c r="O38" s="12">
        <v>37</v>
      </c>
      <c r="P38" s="12">
        <v>42</v>
      </c>
      <c r="Q38" s="12">
        <v>26</v>
      </c>
      <c r="R38" s="12">
        <v>30</v>
      </c>
      <c r="S38" s="12">
        <v>39</v>
      </c>
      <c r="T38" s="12">
        <v>46</v>
      </c>
      <c r="U38" s="12">
        <v>19</v>
      </c>
      <c r="V38" s="12">
        <v>55</v>
      </c>
      <c r="W38" s="12">
        <v>15</v>
      </c>
      <c r="X38" s="12">
        <v>19</v>
      </c>
      <c r="Y38" s="12">
        <v>31</v>
      </c>
      <c r="Z38" s="12">
        <v>84</v>
      </c>
      <c r="AA38" s="12">
        <v>38</v>
      </c>
      <c r="AB38" s="12">
        <v>42</v>
      </c>
      <c r="AC38" s="12">
        <v>45</v>
      </c>
      <c r="AD38" s="12">
        <v>51</v>
      </c>
      <c r="AE38" s="12">
        <v>28</v>
      </c>
      <c r="AF38" s="12">
        <v>36</v>
      </c>
    </row>
    <row r="39" spans="1:32" ht="34.5" x14ac:dyDescent="0.25">
      <c r="A39" s="19"/>
      <c r="B39" s="13" t="s">
        <v>662</v>
      </c>
      <c r="C39" s="14">
        <v>0.03</v>
      </c>
      <c r="D39" s="14">
        <v>0.04</v>
      </c>
      <c r="E39" s="14">
        <v>0.05</v>
      </c>
      <c r="F39" s="14">
        <v>0.04</v>
      </c>
      <c r="G39" s="14">
        <v>0.02</v>
      </c>
      <c r="H39" s="14">
        <v>0.01</v>
      </c>
      <c r="I39" s="14">
        <v>0.01</v>
      </c>
      <c r="J39" s="14">
        <v>0.02</v>
      </c>
      <c r="K39" s="14">
        <v>0.06</v>
      </c>
      <c r="L39" s="14">
        <v>0.02</v>
      </c>
      <c r="M39" s="14">
        <v>0.06</v>
      </c>
      <c r="N39" s="14">
        <v>0.02</v>
      </c>
      <c r="O39" s="14">
        <v>0.04</v>
      </c>
      <c r="P39" s="14">
        <v>0.04</v>
      </c>
      <c r="Q39" s="14">
        <v>0.02</v>
      </c>
      <c r="R39" s="14">
        <v>0.06</v>
      </c>
      <c r="S39" s="14">
        <v>0.04</v>
      </c>
      <c r="T39" s="14">
        <v>0.05</v>
      </c>
      <c r="U39" s="14">
        <v>0.04</v>
      </c>
      <c r="V39" s="14">
        <v>0.05</v>
      </c>
      <c r="W39" s="14">
        <v>0.03</v>
      </c>
      <c r="X39" s="14">
        <v>0.02</v>
      </c>
      <c r="Y39" s="14">
        <v>0.03</v>
      </c>
      <c r="Z39" s="14">
        <v>0.08</v>
      </c>
      <c r="AA39" s="14">
        <v>0.04</v>
      </c>
      <c r="AB39" s="14">
        <v>0.04</v>
      </c>
      <c r="AC39" s="14">
        <v>0.04</v>
      </c>
      <c r="AD39" s="14">
        <v>0.05</v>
      </c>
      <c r="AE39" s="14">
        <v>0.03</v>
      </c>
      <c r="AF39" s="14">
        <v>0.04</v>
      </c>
    </row>
    <row r="40" spans="1:32" ht="68.25" x14ac:dyDescent="0.25">
      <c r="A40" s="19"/>
      <c r="B40" s="11" t="s">
        <v>663</v>
      </c>
      <c r="C40" s="12">
        <v>1800</v>
      </c>
      <c r="D40" s="12">
        <v>78</v>
      </c>
      <c r="E40" s="12">
        <v>69</v>
      </c>
      <c r="F40" s="12">
        <v>44</v>
      </c>
      <c r="G40" s="12">
        <v>68</v>
      </c>
      <c r="H40" s="12">
        <v>73</v>
      </c>
      <c r="I40" s="12">
        <v>99</v>
      </c>
      <c r="J40" s="12">
        <v>26</v>
      </c>
      <c r="K40" s="12">
        <v>62</v>
      </c>
      <c r="L40" s="12">
        <v>83</v>
      </c>
      <c r="M40" s="12">
        <v>77</v>
      </c>
      <c r="N40" s="12">
        <v>69</v>
      </c>
      <c r="O40" s="12">
        <v>90</v>
      </c>
      <c r="P40" s="12">
        <v>89</v>
      </c>
      <c r="Q40" s="12">
        <v>49</v>
      </c>
      <c r="R40" s="12">
        <v>37</v>
      </c>
      <c r="S40" s="12">
        <v>106</v>
      </c>
      <c r="T40" s="12">
        <v>71</v>
      </c>
      <c r="U40" s="12">
        <v>46</v>
      </c>
      <c r="V40" s="12">
        <v>50</v>
      </c>
      <c r="W40" s="12">
        <v>23</v>
      </c>
      <c r="X40" s="12">
        <v>69</v>
      </c>
      <c r="Y40" s="12">
        <v>81</v>
      </c>
      <c r="Z40" s="12">
        <v>58</v>
      </c>
      <c r="AA40" s="12">
        <v>103</v>
      </c>
      <c r="AB40" s="12">
        <v>61</v>
      </c>
      <c r="AC40" s="12">
        <v>72</v>
      </c>
      <c r="AD40" s="12">
        <v>105</v>
      </c>
      <c r="AE40" s="12">
        <v>80</v>
      </c>
      <c r="AF40" s="12">
        <v>70</v>
      </c>
    </row>
    <row r="41" spans="1:32" ht="45.75" x14ac:dyDescent="0.25">
      <c r="A41" s="19"/>
      <c r="B41" s="13" t="s">
        <v>664</v>
      </c>
      <c r="C41" s="14">
        <v>7.0000000000000007E-2</v>
      </c>
      <c r="D41" s="14">
        <v>0.08</v>
      </c>
      <c r="E41" s="14">
        <v>7.0000000000000007E-2</v>
      </c>
      <c r="F41" s="14">
        <v>0.04</v>
      </c>
      <c r="G41" s="14">
        <v>7.0000000000000007E-2</v>
      </c>
      <c r="H41" s="14">
        <v>0.06</v>
      </c>
      <c r="I41" s="14">
        <v>7.0000000000000007E-2</v>
      </c>
      <c r="J41" s="14">
        <v>0.09</v>
      </c>
      <c r="K41" s="14">
        <v>0.06</v>
      </c>
      <c r="L41" s="14">
        <v>0.08</v>
      </c>
      <c r="M41" s="14">
        <v>0.08</v>
      </c>
      <c r="N41" s="14">
        <v>7.0000000000000007E-2</v>
      </c>
      <c r="O41" s="14">
        <v>0.09</v>
      </c>
      <c r="P41" s="14">
        <v>0.09</v>
      </c>
      <c r="Q41" s="14">
        <v>0.05</v>
      </c>
      <c r="R41" s="14">
        <v>7.0000000000000007E-2</v>
      </c>
      <c r="S41" s="14">
        <v>0.11</v>
      </c>
      <c r="T41" s="14">
        <v>7.0000000000000007E-2</v>
      </c>
      <c r="U41" s="14">
        <v>0.09</v>
      </c>
      <c r="V41" s="14">
        <v>0.05</v>
      </c>
      <c r="W41" s="14">
        <v>0.05</v>
      </c>
      <c r="X41" s="14">
        <v>7.0000000000000007E-2</v>
      </c>
      <c r="Y41" s="14">
        <v>0.08</v>
      </c>
      <c r="Z41" s="14">
        <v>0.06</v>
      </c>
      <c r="AA41" s="14">
        <v>0.1</v>
      </c>
      <c r="AB41" s="14">
        <v>0.06</v>
      </c>
      <c r="AC41" s="14">
        <v>7.0000000000000007E-2</v>
      </c>
      <c r="AD41" s="14">
        <v>0.11</v>
      </c>
      <c r="AE41" s="14">
        <v>0.08</v>
      </c>
      <c r="AF41" s="14">
        <v>7.0000000000000007E-2</v>
      </c>
    </row>
    <row r="42" spans="1:32" ht="23.25" x14ac:dyDescent="0.25">
      <c r="A42" s="19"/>
      <c r="B42" s="11" t="s">
        <v>665</v>
      </c>
      <c r="C42" s="12">
        <v>468</v>
      </c>
      <c r="D42" s="12">
        <v>12</v>
      </c>
      <c r="E42" s="12">
        <v>23</v>
      </c>
      <c r="F42" s="12">
        <v>21</v>
      </c>
      <c r="G42" s="12">
        <v>9</v>
      </c>
      <c r="H42" s="12">
        <v>22</v>
      </c>
      <c r="I42" s="12">
        <v>32</v>
      </c>
      <c r="J42" s="12">
        <v>10</v>
      </c>
      <c r="K42" s="12">
        <v>21</v>
      </c>
      <c r="L42" s="12">
        <v>15</v>
      </c>
      <c r="M42" s="12">
        <v>3</v>
      </c>
      <c r="N42" s="12">
        <v>9</v>
      </c>
      <c r="O42" s="12">
        <v>20</v>
      </c>
      <c r="P42" s="12">
        <v>37</v>
      </c>
      <c r="Q42" s="12">
        <v>13</v>
      </c>
      <c r="R42" s="12">
        <v>9</v>
      </c>
      <c r="S42" s="12">
        <v>13</v>
      </c>
      <c r="T42" s="12">
        <v>15</v>
      </c>
      <c r="U42" s="12">
        <v>4</v>
      </c>
      <c r="V42" s="12">
        <v>34</v>
      </c>
      <c r="W42" s="12">
        <v>13</v>
      </c>
      <c r="X42" s="12">
        <v>9</v>
      </c>
      <c r="Y42" s="12">
        <v>22</v>
      </c>
      <c r="Z42" s="12">
        <v>19</v>
      </c>
      <c r="AA42" s="12">
        <v>15</v>
      </c>
      <c r="AB42" s="12">
        <v>52</v>
      </c>
      <c r="AC42" s="12">
        <v>10</v>
      </c>
      <c r="AD42" s="12">
        <v>28</v>
      </c>
      <c r="AE42" s="12">
        <v>8</v>
      </c>
      <c r="AF42" s="12">
        <v>9</v>
      </c>
    </row>
    <row r="43" spans="1:32" ht="23.25" x14ac:dyDescent="0.25">
      <c r="A43" s="19"/>
      <c r="B43" s="13" t="s">
        <v>666</v>
      </c>
      <c r="C43" s="14">
        <v>0.02</v>
      </c>
      <c r="D43" s="14">
        <v>0.01</v>
      </c>
      <c r="E43" s="14">
        <v>0.02</v>
      </c>
      <c r="F43" s="14">
        <v>0.02</v>
      </c>
      <c r="G43" s="14">
        <v>0.01</v>
      </c>
      <c r="H43" s="14">
        <v>0.02</v>
      </c>
      <c r="I43" s="14">
        <v>0.02</v>
      </c>
      <c r="J43" s="14">
        <v>0.03</v>
      </c>
      <c r="K43" s="14">
        <v>0.02</v>
      </c>
      <c r="L43" s="14">
        <v>0.01</v>
      </c>
      <c r="M43" s="15" t="s">
        <v>213</v>
      </c>
      <c r="N43" s="14">
        <v>0.01</v>
      </c>
      <c r="O43" s="14">
        <v>0.02</v>
      </c>
      <c r="P43" s="14">
        <v>0.04</v>
      </c>
      <c r="Q43" s="14">
        <v>0.01</v>
      </c>
      <c r="R43" s="14">
        <v>0.02</v>
      </c>
      <c r="S43" s="14">
        <v>0.01</v>
      </c>
      <c r="T43" s="14">
        <v>0.01</v>
      </c>
      <c r="U43" s="14">
        <v>0.01</v>
      </c>
      <c r="V43" s="14">
        <v>0.03</v>
      </c>
      <c r="W43" s="14">
        <v>0.03</v>
      </c>
      <c r="X43" s="14">
        <v>0.01</v>
      </c>
      <c r="Y43" s="14">
        <v>0.02</v>
      </c>
      <c r="Z43" s="14">
        <v>0.02</v>
      </c>
      <c r="AA43" s="14">
        <v>0.01</v>
      </c>
      <c r="AB43" s="14">
        <v>0.05</v>
      </c>
      <c r="AC43" s="14">
        <v>0.01</v>
      </c>
      <c r="AD43" s="14">
        <v>0.03</v>
      </c>
      <c r="AE43" s="14">
        <v>0.01</v>
      </c>
      <c r="AF43" s="14">
        <v>0.01</v>
      </c>
    </row>
    <row r="44" spans="1:32" x14ac:dyDescent="0.25">
      <c r="A44" s="19"/>
      <c r="B44" s="11" t="s">
        <v>667</v>
      </c>
      <c r="C44" s="12">
        <v>2926</v>
      </c>
      <c r="D44" s="12">
        <v>41</v>
      </c>
      <c r="E44" s="12">
        <v>117</v>
      </c>
      <c r="F44" s="12">
        <v>78</v>
      </c>
      <c r="G44" s="12">
        <v>86</v>
      </c>
      <c r="H44" s="12">
        <v>99</v>
      </c>
      <c r="I44" s="12">
        <v>136</v>
      </c>
      <c r="J44" s="12">
        <v>37</v>
      </c>
      <c r="K44" s="12">
        <v>101</v>
      </c>
      <c r="L44" s="12">
        <v>103</v>
      </c>
      <c r="M44" s="12">
        <v>73</v>
      </c>
      <c r="N44" s="12">
        <v>181</v>
      </c>
      <c r="O44" s="12">
        <v>86</v>
      </c>
      <c r="P44" s="12">
        <v>140</v>
      </c>
      <c r="Q44" s="12">
        <v>88</v>
      </c>
      <c r="R44" s="12">
        <v>29</v>
      </c>
      <c r="S44" s="12">
        <v>102</v>
      </c>
      <c r="T44" s="12">
        <v>113</v>
      </c>
      <c r="U44" s="12">
        <v>29</v>
      </c>
      <c r="V44" s="12">
        <v>184</v>
      </c>
      <c r="W44" s="12">
        <v>22</v>
      </c>
      <c r="X44" s="12">
        <v>15</v>
      </c>
      <c r="Y44" s="12">
        <v>142</v>
      </c>
      <c r="Z44" s="12">
        <v>200</v>
      </c>
      <c r="AA44" s="12">
        <v>163</v>
      </c>
      <c r="AB44" s="12">
        <v>212</v>
      </c>
      <c r="AC44" s="12">
        <v>79</v>
      </c>
      <c r="AD44" s="12">
        <v>75</v>
      </c>
      <c r="AE44" s="12">
        <v>74</v>
      </c>
      <c r="AF44" s="12">
        <v>45</v>
      </c>
    </row>
    <row r="45" spans="1:32" ht="23.25" x14ac:dyDescent="0.25">
      <c r="A45" s="19"/>
      <c r="B45" s="13" t="s">
        <v>668</v>
      </c>
      <c r="C45" s="14">
        <v>0.11</v>
      </c>
      <c r="D45" s="14">
        <v>0.04</v>
      </c>
      <c r="E45" s="14">
        <v>0.11</v>
      </c>
      <c r="F45" s="14">
        <v>7.0000000000000007E-2</v>
      </c>
      <c r="G45" s="14">
        <v>0.08</v>
      </c>
      <c r="H45" s="14">
        <v>0.08</v>
      </c>
      <c r="I45" s="14">
        <v>0.09</v>
      </c>
      <c r="J45" s="14">
        <v>0.12</v>
      </c>
      <c r="K45" s="14">
        <v>0.1</v>
      </c>
      <c r="L45" s="14">
        <v>0.1</v>
      </c>
      <c r="M45" s="14">
        <v>7.0000000000000007E-2</v>
      </c>
      <c r="N45" s="14">
        <v>0.18</v>
      </c>
      <c r="O45" s="14">
        <v>0.09</v>
      </c>
      <c r="P45" s="14">
        <v>0.14000000000000001</v>
      </c>
      <c r="Q45" s="14">
        <v>0.09</v>
      </c>
      <c r="R45" s="14">
        <v>0.06</v>
      </c>
      <c r="S45" s="14">
        <v>0.1</v>
      </c>
      <c r="T45" s="14">
        <v>0.11</v>
      </c>
      <c r="U45" s="14">
        <v>0.06</v>
      </c>
      <c r="V45" s="14">
        <v>0.18</v>
      </c>
      <c r="W45" s="14">
        <v>0.04</v>
      </c>
      <c r="X45" s="14">
        <v>0.01</v>
      </c>
      <c r="Y45" s="14">
        <v>0.14000000000000001</v>
      </c>
      <c r="Z45" s="14">
        <v>0.2</v>
      </c>
      <c r="AA45" s="14">
        <v>0.16</v>
      </c>
      <c r="AB45" s="14">
        <v>0.2</v>
      </c>
      <c r="AC45" s="14">
        <v>0.08</v>
      </c>
      <c r="AD45" s="14">
        <v>0.08</v>
      </c>
      <c r="AE45" s="14">
        <v>7.0000000000000007E-2</v>
      </c>
      <c r="AF45" s="14">
        <v>0.04</v>
      </c>
    </row>
    <row r="46" spans="1:32" ht="34.5" x14ac:dyDescent="0.25">
      <c r="A46" s="19"/>
      <c r="B46" s="11" t="s">
        <v>669</v>
      </c>
      <c r="C46" s="12">
        <v>747</v>
      </c>
      <c r="D46" s="12">
        <v>26</v>
      </c>
      <c r="E46" s="12">
        <v>63</v>
      </c>
      <c r="F46" s="12">
        <v>14</v>
      </c>
      <c r="G46" s="12">
        <v>60</v>
      </c>
      <c r="H46" s="12">
        <v>29</v>
      </c>
      <c r="I46" s="12">
        <v>40</v>
      </c>
      <c r="J46" s="12">
        <v>12</v>
      </c>
      <c r="K46" s="12">
        <v>14</v>
      </c>
      <c r="L46" s="12">
        <v>22</v>
      </c>
      <c r="M46" s="12">
        <v>39</v>
      </c>
      <c r="N46" s="12">
        <v>49</v>
      </c>
      <c r="O46" s="12">
        <v>19</v>
      </c>
      <c r="P46" s="12">
        <v>30</v>
      </c>
      <c r="Q46" s="12">
        <v>49</v>
      </c>
      <c r="R46" s="12">
        <v>4</v>
      </c>
      <c r="S46" s="12">
        <v>27</v>
      </c>
      <c r="T46" s="12">
        <v>11</v>
      </c>
      <c r="U46" s="12">
        <v>18</v>
      </c>
      <c r="V46" s="12">
        <v>26</v>
      </c>
      <c r="W46" s="12">
        <v>7</v>
      </c>
      <c r="X46" s="12">
        <v>8</v>
      </c>
      <c r="Y46" s="12">
        <v>32</v>
      </c>
      <c r="Z46" s="12">
        <v>1</v>
      </c>
      <c r="AA46" s="12">
        <v>39</v>
      </c>
      <c r="AB46" s="12">
        <v>33</v>
      </c>
      <c r="AC46" s="12">
        <v>29</v>
      </c>
      <c r="AD46" s="12">
        <v>10</v>
      </c>
      <c r="AE46" s="12">
        <v>5</v>
      </c>
      <c r="AF46" s="12">
        <v>15</v>
      </c>
    </row>
    <row r="47" spans="1:32" ht="34.5" x14ac:dyDescent="0.25">
      <c r="A47" s="19"/>
      <c r="B47" s="13" t="s">
        <v>670</v>
      </c>
      <c r="C47" s="14">
        <v>0.03</v>
      </c>
      <c r="D47" s="14">
        <v>0.03</v>
      </c>
      <c r="E47" s="14">
        <v>0.06</v>
      </c>
      <c r="F47" s="14">
        <v>0.01</v>
      </c>
      <c r="G47" s="14">
        <v>0.06</v>
      </c>
      <c r="H47" s="14">
        <v>0.02</v>
      </c>
      <c r="I47" s="14">
        <v>0.03</v>
      </c>
      <c r="J47" s="14">
        <v>0.04</v>
      </c>
      <c r="K47" s="14">
        <v>0.01</v>
      </c>
      <c r="L47" s="14">
        <v>0.02</v>
      </c>
      <c r="M47" s="14">
        <v>0.04</v>
      </c>
      <c r="N47" s="14">
        <v>0.05</v>
      </c>
      <c r="O47" s="14">
        <v>0.02</v>
      </c>
      <c r="P47" s="14">
        <v>0.03</v>
      </c>
      <c r="Q47" s="14">
        <v>0.05</v>
      </c>
      <c r="R47" s="14">
        <v>0.01</v>
      </c>
      <c r="S47" s="14">
        <v>0.03</v>
      </c>
      <c r="T47" s="14">
        <v>0.01</v>
      </c>
      <c r="U47" s="14">
        <v>0.03</v>
      </c>
      <c r="V47" s="14">
        <v>0.03</v>
      </c>
      <c r="W47" s="14">
        <v>0.01</v>
      </c>
      <c r="X47" s="14">
        <v>0.01</v>
      </c>
      <c r="Y47" s="14">
        <v>0.03</v>
      </c>
      <c r="Z47" s="15" t="s">
        <v>213</v>
      </c>
      <c r="AA47" s="14">
        <v>0.04</v>
      </c>
      <c r="AB47" s="14">
        <v>0.03</v>
      </c>
      <c r="AC47" s="14">
        <v>0.03</v>
      </c>
      <c r="AD47" s="14">
        <v>0.01</v>
      </c>
      <c r="AE47" s="14">
        <v>0.01</v>
      </c>
      <c r="AF47" s="14">
        <v>0.02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1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117</v>
      </c>
      <c r="C3" s="18"/>
      <c r="D3" s="18"/>
      <c r="E3" s="18"/>
      <c r="F3" s="18"/>
      <c r="H3" s="18" t="s">
        <v>118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671</v>
      </c>
      <c r="C12" s="12">
        <v>1926</v>
      </c>
      <c r="D12" s="12">
        <v>87</v>
      </c>
      <c r="E12" s="12">
        <v>74</v>
      </c>
      <c r="F12" s="12">
        <v>115</v>
      </c>
      <c r="G12" s="12">
        <v>62</v>
      </c>
      <c r="H12" s="12">
        <v>62</v>
      </c>
      <c r="I12" s="12">
        <v>79</v>
      </c>
      <c r="J12" s="12">
        <v>17</v>
      </c>
      <c r="K12" s="12">
        <v>99</v>
      </c>
      <c r="L12" s="12">
        <v>56</v>
      </c>
      <c r="M12" s="12">
        <v>158</v>
      </c>
      <c r="N12" s="12">
        <v>56</v>
      </c>
      <c r="O12" s="12">
        <v>62</v>
      </c>
      <c r="P12" s="12">
        <v>72</v>
      </c>
      <c r="Q12" s="12">
        <v>124</v>
      </c>
      <c r="R12" s="12">
        <v>46</v>
      </c>
      <c r="S12" s="12">
        <v>79</v>
      </c>
      <c r="T12" s="12">
        <v>81</v>
      </c>
      <c r="U12" s="12">
        <v>41</v>
      </c>
      <c r="V12" s="12">
        <v>68</v>
      </c>
      <c r="W12" s="12">
        <v>40</v>
      </c>
      <c r="X12" s="12">
        <v>73</v>
      </c>
      <c r="Y12" s="12">
        <v>68</v>
      </c>
      <c r="Z12" s="12">
        <v>73</v>
      </c>
      <c r="AA12" s="12">
        <v>78</v>
      </c>
      <c r="AB12" s="12">
        <v>35</v>
      </c>
      <c r="AC12" s="12">
        <v>92</v>
      </c>
      <c r="AD12" s="12">
        <v>97</v>
      </c>
      <c r="AE12" s="12">
        <v>81</v>
      </c>
      <c r="AF12" s="12">
        <v>63</v>
      </c>
    </row>
    <row r="13" spans="1:32" x14ac:dyDescent="0.25">
      <c r="A13" s="19"/>
      <c r="B13" s="13" t="s">
        <v>672</v>
      </c>
      <c r="C13" s="14">
        <v>7.0000000000000007E-2</v>
      </c>
      <c r="D13" s="14">
        <v>0.08</v>
      </c>
      <c r="E13" s="14">
        <v>7.0000000000000007E-2</v>
      </c>
      <c r="F13" s="14">
        <v>0.11</v>
      </c>
      <c r="G13" s="14">
        <v>0.06</v>
      </c>
      <c r="H13" s="14">
        <v>0.05</v>
      </c>
      <c r="I13" s="14">
        <v>0.05</v>
      </c>
      <c r="J13" s="14">
        <v>0.06</v>
      </c>
      <c r="K13" s="14">
        <v>0.1</v>
      </c>
      <c r="L13" s="14">
        <v>0.05</v>
      </c>
      <c r="M13" s="14">
        <v>0.16</v>
      </c>
      <c r="N13" s="14">
        <v>0.06</v>
      </c>
      <c r="O13" s="14">
        <v>0.06</v>
      </c>
      <c r="P13" s="14">
        <v>7.0000000000000007E-2</v>
      </c>
      <c r="Q13" s="14">
        <v>0.12</v>
      </c>
      <c r="R13" s="14">
        <v>0.09</v>
      </c>
      <c r="S13" s="14">
        <v>0.08</v>
      </c>
      <c r="T13" s="14">
        <v>0.08</v>
      </c>
      <c r="U13" s="14">
        <v>0.08</v>
      </c>
      <c r="V13" s="14">
        <v>7.0000000000000007E-2</v>
      </c>
      <c r="W13" s="14">
        <v>0.08</v>
      </c>
      <c r="X13" s="14">
        <v>7.0000000000000007E-2</v>
      </c>
      <c r="Y13" s="14">
        <v>7.0000000000000007E-2</v>
      </c>
      <c r="Z13" s="14">
        <v>7.0000000000000007E-2</v>
      </c>
      <c r="AA13" s="14">
        <v>0.08</v>
      </c>
      <c r="AB13" s="14">
        <v>0.03</v>
      </c>
      <c r="AC13" s="14">
        <v>0.09</v>
      </c>
      <c r="AD13" s="14">
        <v>0.09</v>
      </c>
      <c r="AE13" s="14">
        <v>0.08</v>
      </c>
      <c r="AF13" s="14">
        <v>0.06</v>
      </c>
    </row>
    <row r="14" spans="1:32" x14ac:dyDescent="0.25">
      <c r="A14" s="19"/>
      <c r="B14" s="11" t="s">
        <v>673</v>
      </c>
      <c r="C14" s="12">
        <v>12806</v>
      </c>
      <c r="D14" s="12">
        <v>437</v>
      </c>
      <c r="E14" s="12">
        <v>554</v>
      </c>
      <c r="F14" s="12">
        <v>533</v>
      </c>
      <c r="G14" s="12">
        <v>511</v>
      </c>
      <c r="H14" s="12">
        <v>593</v>
      </c>
      <c r="I14" s="12">
        <v>743</v>
      </c>
      <c r="J14" s="12">
        <v>150</v>
      </c>
      <c r="K14" s="12">
        <v>488</v>
      </c>
      <c r="L14" s="12">
        <v>582</v>
      </c>
      <c r="M14" s="12">
        <v>397</v>
      </c>
      <c r="N14" s="12">
        <v>488</v>
      </c>
      <c r="O14" s="12">
        <v>447</v>
      </c>
      <c r="P14" s="12">
        <v>519</v>
      </c>
      <c r="Q14" s="12">
        <v>454</v>
      </c>
      <c r="R14" s="12">
        <v>272</v>
      </c>
      <c r="S14" s="12">
        <v>496</v>
      </c>
      <c r="T14" s="12">
        <v>452</v>
      </c>
      <c r="U14" s="12">
        <v>276</v>
      </c>
      <c r="V14" s="12">
        <v>606</v>
      </c>
      <c r="W14" s="12">
        <v>281</v>
      </c>
      <c r="X14" s="12">
        <v>469</v>
      </c>
      <c r="Y14" s="12">
        <v>549</v>
      </c>
      <c r="Z14" s="12">
        <v>562</v>
      </c>
      <c r="AA14" s="12">
        <v>511</v>
      </c>
      <c r="AB14" s="12">
        <v>562</v>
      </c>
      <c r="AC14" s="12">
        <v>445</v>
      </c>
      <c r="AD14" s="12">
        <v>488</v>
      </c>
      <c r="AE14" s="12">
        <v>456</v>
      </c>
      <c r="AF14" s="12">
        <v>581</v>
      </c>
    </row>
    <row r="15" spans="1:32" x14ac:dyDescent="0.25">
      <c r="A15" s="19"/>
      <c r="B15" s="13" t="s">
        <v>674</v>
      </c>
      <c r="C15" s="14">
        <v>0.49</v>
      </c>
      <c r="D15" s="14">
        <v>0.43</v>
      </c>
      <c r="E15" s="14">
        <v>0.53</v>
      </c>
      <c r="F15" s="14">
        <v>0.5</v>
      </c>
      <c r="G15" s="14">
        <v>0.5</v>
      </c>
      <c r="H15" s="14">
        <v>0.48</v>
      </c>
      <c r="I15" s="14">
        <v>0.49</v>
      </c>
      <c r="J15" s="14">
        <v>0.5</v>
      </c>
      <c r="K15" s="14">
        <v>0.48</v>
      </c>
      <c r="L15" s="14">
        <v>0.57999999999999996</v>
      </c>
      <c r="M15" s="14">
        <v>0.39</v>
      </c>
      <c r="N15" s="14">
        <v>0.48</v>
      </c>
      <c r="O15" s="14">
        <v>0.45</v>
      </c>
      <c r="P15" s="14">
        <v>0.52</v>
      </c>
      <c r="Q15" s="14">
        <v>0.44</v>
      </c>
      <c r="R15" s="14">
        <v>0.55000000000000004</v>
      </c>
      <c r="S15" s="14">
        <v>0.49</v>
      </c>
      <c r="T15" s="14">
        <v>0.44</v>
      </c>
      <c r="U15" s="14">
        <v>0.54</v>
      </c>
      <c r="V15" s="14">
        <v>0.59</v>
      </c>
      <c r="W15" s="14">
        <v>0.56000000000000005</v>
      </c>
      <c r="X15" s="14">
        <v>0.47</v>
      </c>
      <c r="Y15" s="14">
        <v>0.55000000000000004</v>
      </c>
      <c r="Z15" s="14">
        <v>0.55000000000000004</v>
      </c>
      <c r="AA15" s="14">
        <v>0.49</v>
      </c>
      <c r="AB15" s="14">
        <v>0.54</v>
      </c>
      <c r="AC15" s="14">
        <v>0.44</v>
      </c>
      <c r="AD15" s="14">
        <v>0.49</v>
      </c>
      <c r="AE15" s="14">
        <v>0.46</v>
      </c>
      <c r="AF15" s="14">
        <v>0.56000000000000005</v>
      </c>
    </row>
    <row r="16" spans="1:32" x14ac:dyDescent="0.25">
      <c r="A16" s="19"/>
      <c r="B16" s="11" t="s">
        <v>675</v>
      </c>
      <c r="C16" s="12">
        <v>11720</v>
      </c>
      <c r="D16" s="12">
        <v>497</v>
      </c>
      <c r="E16" s="12">
        <v>418</v>
      </c>
      <c r="F16" s="12">
        <v>417</v>
      </c>
      <c r="G16" s="12">
        <v>442</v>
      </c>
      <c r="H16" s="12">
        <v>575</v>
      </c>
      <c r="I16" s="12">
        <v>705</v>
      </c>
      <c r="J16" s="12">
        <v>130</v>
      </c>
      <c r="K16" s="12">
        <v>419</v>
      </c>
      <c r="L16" s="12">
        <v>369</v>
      </c>
      <c r="M16" s="12">
        <v>452</v>
      </c>
      <c r="N16" s="12">
        <v>467</v>
      </c>
      <c r="O16" s="12">
        <v>495</v>
      </c>
      <c r="P16" s="12">
        <v>412</v>
      </c>
      <c r="Q16" s="12">
        <v>453</v>
      </c>
      <c r="R16" s="12">
        <v>182</v>
      </c>
      <c r="S16" s="12">
        <v>430</v>
      </c>
      <c r="T16" s="12">
        <v>490</v>
      </c>
      <c r="U16" s="12">
        <v>190</v>
      </c>
      <c r="V16" s="12">
        <v>352</v>
      </c>
      <c r="W16" s="12">
        <v>180</v>
      </c>
      <c r="X16" s="12">
        <v>468</v>
      </c>
      <c r="Y16" s="12">
        <v>386</v>
      </c>
      <c r="Z16" s="12">
        <v>381</v>
      </c>
      <c r="AA16" s="12">
        <v>448</v>
      </c>
      <c r="AB16" s="12">
        <v>444</v>
      </c>
      <c r="AC16" s="12">
        <v>468</v>
      </c>
      <c r="AD16" s="12">
        <v>419</v>
      </c>
      <c r="AE16" s="12">
        <v>464</v>
      </c>
      <c r="AF16" s="12">
        <v>387</v>
      </c>
    </row>
    <row r="17" spans="1:32" x14ac:dyDescent="0.25">
      <c r="A17" s="19"/>
      <c r="B17" s="13" t="s">
        <v>676</v>
      </c>
      <c r="C17" s="14">
        <v>0.44</v>
      </c>
      <c r="D17" s="14">
        <v>0.49</v>
      </c>
      <c r="E17" s="14">
        <v>0.4</v>
      </c>
      <c r="F17" s="14">
        <v>0.39</v>
      </c>
      <c r="G17" s="14">
        <v>0.44</v>
      </c>
      <c r="H17" s="14">
        <v>0.47</v>
      </c>
      <c r="I17" s="14">
        <v>0.46</v>
      </c>
      <c r="J17" s="14">
        <v>0.44</v>
      </c>
      <c r="K17" s="14">
        <v>0.42</v>
      </c>
      <c r="L17" s="14">
        <v>0.37</v>
      </c>
      <c r="M17" s="14">
        <v>0.45</v>
      </c>
      <c r="N17" s="14">
        <v>0.46</v>
      </c>
      <c r="O17" s="14">
        <v>0.49</v>
      </c>
      <c r="P17" s="14">
        <v>0.41</v>
      </c>
      <c r="Q17" s="14">
        <v>0.44</v>
      </c>
      <c r="R17" s="14">
        <v>0.36</v>
      </c>
      <c r="S17" s="14">
        <v>0.43</v>
      </c>
      <c r="T17" s="14">
        <v>0.48</v>
      </c>
      <c r="U17" s="14">
        <v>0.38</v>
      </c>
      <c r="V17" s="14">
        <v>0.34</v>
      </c>
      <c r="W17" s="14">
        <v>0.36</v>
      </c>
      <c r="X17" s="14">
        <v>0.46</v>
      </c>
      <c r="Y17" s="14">
        <v>0.38</v>
      </c>
      <c r="Z17" s="14">
        <v>0.38</v>
      </c>
      <c r="AA17" s="14">
        <v>0.43</v>
      </c>
      <c r="AB17" s="14">
        <v>0.43</v>
      </c>
      <c r="AC17" s="14">
        <v>0.47</v>
      </c>
      <c r="AD17" s="14">
        <v>0.42</v>
      </c>
      <c r="AE17" s="14">
        <v>0.46</v>
      </c>
      <c r="AF17" s="14">
        <v>0.38</v>
      </c>
    </row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2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119</v>
      </c>
      <c r="C3" s="18"/>
      <c r="D3" s="18"/>
      <c r="E3" s="18"/>
      <c r="F3" s="18"/>
      <c r="H3" s="18" t="s">
        <v>120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671</v>
      </c>
      <c r="C12" s="12">
        <v>1926</v>
      </c>
      <c r="D12" s="12">
        <v>87</v>
      </c>
      <c r="E12" s="12">
        <v>74</v>
      </c>
      <c r="F12" s="12">
        <v>115</v>
      </c>
      <c r="G12" s="12">
        <v>62</v>
      </c>
      <c r="H12" s="12">
        <v>62</v>
      </c>
      <c r="I12" s="12">
        <v>79</v>
      </c>
      <c r="J12" s="12">
        <v>17</v>
      </c>
      <c r="K12" s="12">
        <v>99</v>
      </c>
      <c r="L12" s="12">
        <v>56</v>
      </c>
      <c r="M12" s="12">
        <v>158</v>
      </c>
      <c r="N12" s="12">
        <v>56</v>
      </c>
      <c r="O12" s="12">
        <v>62</v>
      </c>
      <c r="P12" s="12">
        <v>72</v>
      </c>
      <c r="Q12" s="12">
        <v>124</v>
      </c>
      <c r="R12" s="12">
        <v>46</v>
      </c>
      <c r="S12" s="12">
        <v>79</v>
      </c>
      <c r="T12" s="12">
        <v>81</v>
      </c>
      <c r="U12" s="12">
        <v>41</v>
      </c>
      <c r="V12" s="12">
        <v>68</v>
      </c>
      <c r="W12" s="12">
        <v>40</v>
      </c>
      <c r="X12" s="12">
        <v>73</v>
      </c>
      <c r="Y12" s="12">
        <v>68</v>
      </c>
      <c r="Z12" s="12">
        <v>73</v>
      </c>
      <c r="AA12" s="12">
        <v>78</v>
      </c>
      <c r="AB12" s="12">
        <v>35</v>
      </c>
      <c r="AC12" s="12">
        <v>92</v>
      </c>
      <c r="AD12" s="12">
        <v>97</v>
      </c>
      <c r="AE12" s="12">
        <v>81</v>
      </c>
      <c r="AF12" s="12">
        <v>63</v>
      </c>
    </row>
    <row r="13" spans="1:32" x14ac:dyDescent="0.25">
      <c r="A13" s="19"/>
      <c r="B13" s="13" t="s">
        <v>672</v>
      </c>
      <c r="C13" s="14">
        <v>7.0000000000000007E-2</v>
      </c>
      <c r="D13" s="14">
        <v>0.09</v>
      </c>
      <c r="E13" s="14">
        <v>7.0000000000000007E-2</v>
      </c>
      <c r="F13" s="14">
        <v>0.11</v>
      </c>
      <c r="G13" s="14">
        <v>0.06</v>
      </c>
      <c r="H13" s="14">
        <v>0.05</v>
      </c>
      <c r="I13" s="14">
        <v>0.05</v>
      </c>
      <c r="J13" s="14">
        <v>0.06</v>
      </c>
      <c r="K13" s="14">
        <v>0.1</v>
      </c>
      <c r="L13" s="14">
        <v>0.06</v>
      </c>
      <c r="M13" s="14">
        <v>0.16</v>
      </c>
      <c r="N13" s="14">
        <v>0.06</v>
      </c>
      <c r="O13" s="14">
        <v>0.06</v>
      </c>
      <c r="P13" s="14">
        <v>7.0000000000000007E-2</v>
      </c>
      <c r="Q13" s="14">
        <v>0.12</v>
      </c>
      <c r="R13" s="14">
        <v>0.09</v>
      </c>
      <c r="S13" s="14">
        <v>0.08</v>
      </c>
      <c r="T13" s="14">
        <v>0.08</v>
      </c>
      <c r="U13" s="14">
        <v>0.08</v>
      </c>
      <c r="V13" s="14">
        <v>7.0000000000000007E-2</v>
      </c>
      <c r="W13" s="14">
        <v>0.08</v>
      </c>
      <c r="X13" s="14">
        <v>7.0000000000000007E-2</v>
      </c>
      <c r="Y13" s="14">
        <v>7.0000000000000007E-2</v>
      </c>
      <c r="Z13" s="14">
        <v>7.0000000000000007E-2</v>
      </c>
      <c r="AA13" s="14">
        <v>0.08</v>
      </c>
      <c r="AB13" s="14">
        <v>0.03</v>
      </c>
      <c r="AC13" s="14">
        <v>0.09</v>
      </c>
      <c r="AD13" s="14">
        <v>0.1</v>
      </c>
      <c r="AE13" s="14">
        <v>0.08</v>
      </c>
      <c r="AF13" s="14">
        <v>0.06</v>
      </c>
    </row>
    <row r="14" spans="1:32" x14ac:dyDescent="0.25">
      <c r="A14" s="19"/>
      <c r="B14" s="11" t="s">
        <v>677</v>
      </c>
      <c r="C14" s="12">
        <v>3426</v>
      </c>
      <c r="D14" s="12">
        <v>106</v>
      </c>
      <c r="E14" s="12">
        <v>89</v>
      </c>
      <c r="F14" s="12">
        <v>117</v>
      </c>
      <c r="G14" s="12">
        <v>146</v>
      </c>
      <c r="H14" s="12">
        <v>238</v>
      </c>
      <c r="I14" s="12">
        <v>279</v>
      </c>
      <c r="J14" s="12">
        <v>41</v>
      </c>
      <c r="K14" s="12">
        <v>168</v>
      </c>
      <c r="L14" s="12">
        <v>194</v>
      </c>
      <c r="M14" s="12">
        <v>42</v>
      </c>
      <c r="N14" s="12">
        <v>91</v>
      </c>
      <c r="O14" s="12">
        <v>141</v>
      </c>
      <c r="P14" s="12">
        <v>82</v>
      </c>
      <c r="Q14" s="12">
        <v>111</v>
      </c>
      <c r="R14" s="12">
        <v>77</v>
      </c>
      <c r="S14" s="12">
        <v>151</v>
      </c>
      <c r="T14" s="12">
        <v>150</v>
      </c>
      <c r="U14" s="12">
        <v>90</v>
      </c>
      <c r="V14" s="12">
        <v>91</v>
      </c>
      <c r="W14" s="12">
        <v>120</v>
      </c>
      <c r="X14" s="12">
        <v>198</v>
      </c>
      <c r="Y14" s="12">
        <v>142</v>
      </c>
      <c r="Z14" s="12">
        <v>99</v>
      </c>
      <c r="AA14" s="12">
        <v>105</v>
      </c>
      <c r="AB14" s="12">
        <v>68</v>
      </c>
      <c r="AC14" s="12">
        <v>130</v>
      </c>
      <c r="AD14" s="12">
        <v>117</v>
      </c>
      <c r="AE14" s="12">
        <v>192</v>
      </c>
      <c r="AF14" s="12">
        <v>214</v>
      </c>
    </row>
    <row r="15" spans="1:32" x14ac:dyDescent="0.25">
      <c r="A15" s="19"/>
      <c r="B15" s="13" t="s">
        <v>678</v>
      </c>
      <c r="C15" s="14">
        <v>0.13</v>
      </c>
      <c r="D15" s="14">
        <v>0.11</v>
      </c>
      <c r="E15" s="14">
        <v>0.09</v>
      </c>
      <c r="F15" s="14">
        <v>0.11</v>
      </c>
      <c r="G15" s="14">
        <v>0.14000000000000001</v>
      </c>
      <c r="H15" s="14">
        <v>0.19</v>
      </c>
      <c r="I15" s="14">
        <v>0.18</v>
      </c>
      <c r="J15" s="14">
        <v>0.14000000000000001</v>
      </c>
      <c r="K15" s="14">
        <v>0.17</v>
      </c>
      <c r="L15" s="14">
        <v>0.19</v>
      </c>
      <c r="M15" s="14">
        <v>0.04</v>
      </c>
      <c r="N15" s="14">
        <v>0.09</v>
      </c>
      <c r="O15" s="14">
        <v>0.14000000000000001</v>
      </c>
      <c r="P15" s="14">
        <v>0.08</v>
      </c>
      <c r="Q15" s="14">
        <v>0.11</v>
      </c>
      <c r="R15" s="14">
        <v>0.15</v>
      </c>
      <c r="S15" s="14">
        <v>0.15</v>
      </c>
      <c r="T15" s="14">
        <v>0.15</v>
      </c>
      <c r="U15" s="14">
        <v>0.18</v>
      </c>
      <c r="V15" s="14">
        <v>0.09</v>
      </c>
      <c r="W15" s="14">
        <v>0.24</v>
      </c>
      <c r="X15" s="14">
        <v>0.2</v>
      </c>
      <c r="Y15" s="14">
        <v>0.14000000000000001</v>
      </c>
      <c r="Z15" s="14">
        <v>0.1</v>
      </c>
      <c r="AA15" s="14">
        <v>0.1</v>
      </c>
      <c r="AB15" s="14">
        <v>7.0000000000000007E-2</v>
      </c>
      <c r="AC15" s="14">
        <v>0.13</v>
      </c>
      <c r="AD15" s="14">
        <v>0.12</v>
      </c>
      <c r="AE15" s="14">
        <v>0.19</v>
      </c>
      <c r="AF15" s="14">
        <v>0.21</v>
      </c>
    </row>
    <row r="16" spans="1:32" x14ac:dyDescent="0.25">
      <c r="A16" s="19"/>
      <c r="B16" s="11" t="s">
        <v>679</v>
      </c>
      <c r="C16" s="12">
        <v>3440</v>
      </c>
      <c r="D16" s="12">
        <v>174</v>
      </c>
      <c r="E16" s="12">
        <v>193</v>
      </c>
      <c r="F16" s="12">
        <v>259</v>
      </c>
      <c r="G16" s="12">
        <v>142</v>
      </c>
      <c r="H16" s="12">
        <v>132</v>
      </c>
      <c r="I16" s="12">
        <v>157</v>
      </c>
      <c r="J16" s="12">
        <v>24</v>
      </c>
      <c r="K16" s="12">
        <v>121</v>
      </c>
      <c r="L16" s="12">
        <v>165</v>
      </c>
      <c r="M16" s="12">
        <v>162</v>
      </c>
      <c r="N16" s="12">
        <v>89</v>
      </c>
      <c r="O16" s="12">
        <v>92</v>
      </c>
      <c r="P16" s="12">
        <v>141</v>
      </c>
      <c r="Q16" s="12">
        <v>144</v>
      </c>
      <c r="R16" s="12">
        <v>116</v>
      </c>
      <c r="S16" s="12">
        <v>97</v>
      </c>
      <c r="T16" s="12">
        <v>92</v>
      </c>
      <c r="U16" s="12">
        <v>90</v>
      </c>
      <c r="V16" s="12">
        <v>222</v>
      </c>
      <c r="W16" s="12">
        <v>97</v>
      </c>
      <c r="X16" s="12">
        <v>171</v>
      </c>
      <c r="Y16" s="12">
        <v>130</v>
      </c>
      <c r="Z16" s="12">
        <v>185</v>
      </c>
      <c r="AA16" s="12">
        <v>84</v>
      </c>
      <c r="AB16" s="12">
        <v>136</v>
      </c>
      <c r="AC16" s="12">
        <v>126</v>
      </c>
      <c r="AD16" s="12">
        <v>153</v>
      </c>
      <c r="AE16" s="12">
        <v>98</v>
      </c>
      <c r="AF16" s="12">
        <v>227</v>
      </c>
    </row>
    <row r="17" spans="1:32" x14ac:dyDescent="0.25">
      <c r="A17" s="19"/>
      <c r="B17" s="13" t="s">
        <v>680</v>
      </c>
      <c r="C17" s="14">
        <v>0.13</v>
      </c>
      <c r="D17" s="14">
        <v>0.17</v>
      </c>
      <c r="E17" s="14">
        <v>0.18</v>
      </c>
      <c r="F17" s="14">
        <v>0.24</v>
      </c>
      <c r="G17" s="14">
        <v>0.14000000000000001</v>
      </c>
      <c r="H17" s="14">
        <v>0.11</v>
      </c>
      <c r="I17" s="14">
        <v>0.1</v>
      </c>
      <c r="J17" s="14">
        <v>0.08</v>
      </c>
      <c r="K17" s="14">
        <v>0.12</v>
      </c>
      <c r="L17" s="14">
        <v>0.16</v>
      </c>
      <c r="M17" s="14">
        <v>0.16</v>
      </c>
      <c r="N17" s="14">
        <v>0.09</v>
      </c>
      <c r="O17" s="14">
        <v>0.09</v>
      </c>
      <c r="P17" s="14">
        <v>0.14000000000000001</v>
      </c>
      <c r="Q17" s="14">
        <v>0.14000000000000001</v>
      </c>
      <c r="R17" s="14">
        <v>0.23</v>
      </c>
      <c r="S17" s="14">
        <v>0.1</v>
      </c>
      <c r="T17" s="14">
        <v>0.09</v>
      </c>
      <c r="U17" s="14">
        <v>0.18</v>
      </c>
      <c r="V17" s="14">
        <v>0.22</v>
      </c>
      <c r="W17" s="14">
        <v>0.19</v>
      </c>
      <c r="X17" s="14">
        <v>0.17</v>
      </c>
      <c r="Y17" s="14">
        <v>0.13</v>
      </c>
      <c r="Z17" s="14">
        <v>0.18</v>
      </c>
      <c r="AA17" s="14">
        <v>0.08</v>
      </c>
      <c r="AB17" s="14">
        <v>0.13</v>
      </c>
      <c r="AC17" s="14">
        <v>0.12</v>
      </c>
      <c r="AD17" s="14">
        <v>0.15</v>
      </c>
      <c r="AE17" s="14">
        <v>0.1</v>
      </c>
      <c r="AF17" s="14">
        <v>0.22</v>
      </c>
    </row>
    <row r="18" spans="1:32" x14ac:dyDescent="0.25">
      <c r="A18" s="19"/>
      <c r="B18" s="11" t="s">
        <v>681</v>
      </c>
      <c r="C18" s="12">
        <v>5941</v>
      </c>
      <c r="D18" s="12">
        <v>156</v>
      </c>
      <c r="E18" s="12">
        <v>272</v>
      </c>
      <c r="F18" s="12">
        <v>157</v>
      </c>
      <c r="G18" s="12">
        <v>223</v>
      </c>
      <c r="H18" s="12">
        <v>222</v>
      </c>
      <c r="I18" s="12">
        <v>307</v>
      </c>
      <c r="J18" s="12">
        <v>85</v>
      </c>
      <c r="K18" s="12">
        <v>199</v>
      </c>
      <c r="L18" s="12">
        <v>223</v>
      </c>
      <c r="M18" s="12">
        <v>193</v>
      </c>
      <c r="N18" s="12">
        <v>308</v>
      </c>
      <c r="O18" s="12">
        <v>215</v>
      </c>
      <c r="P18" s="12">
        <v>296</v>
      </c>
      <c r="Q18" s="12">
        <v>198</v>
      </c>
      <c r="R18" s="12">
        <v>79</v>
      </c>
      <c r="S18" s="12">
        <v>248</v>
      </c>
      <c r="T18" s="12">
        <v>210</v>
      </c>
      <c r="U18" s="12">
        <v>96</v>
      </c>
      <c r="V18" s="12">
        <v>293</v>
      </c>
      <c r="W18" s="12">
        <v>64</v>
      </c>
      <c r="X18" s="12">
        <v>100</v>
      </c>
      <c r="Y18" s="12">
        <v>277</v>
      </c>
      <c r="Z18" s="12">
        <v>278</v>
      </c>
      <c r="AA18" s="12">
        <v>321</v>
      </c>
      <c r="AB18" s="12">
        <v>358</v>
      </c>
      <c r="AC18" s="12">
        <v>189</v>
      </c>
      <c r="AD18" s="12">
        <v>218</v>
      </c>
      <c r="AE18" s="12">
        <v>167</v>
      </c>
      <c r="AF18" s="12">
        <v>140</v>
      </c>
    </row>
    <row r="19" spans="1:32" x14ac:dyDescent="0.25">
      <c r="A19" s="19"/>
      <c r="B19" s="13" t="s">
        <v>682</v>
      </c>
      <c r="C19" s="14">
        <v>0.23</v>
      </c>
      <c r="D19" s="14">
        <v>0.15</v>
      </c>
      <c r="E19" s="14">
        <v>0.26</v>
      </c>
      <c r="F19" s="14">
        <v>0.15</v>
      </c>
      <c r="G19" s="14">
        <v>0.22</v>
      </c>
      <c r="H19" s="14">
        <v>0.18</v>
      </c>
      <c r="I19" s="14">
        <v>0.2</v>
      </c>
      <c r="J19" s="14">
        <v>0.28000000000000003</v>
      </c>
      <c r="K19" s="14">
        <v>0.2</v>
      </c>
      <c r="L19" s="14">
        <v>0.22</v>
      </c>
      <c r="M19" s="14">
        <v>0.19</v>
      </c>
      <c r="N19" s="14">
        <v>0.3</v>
      </c>
      <c r="O19" s="14">
        <v>0.21</v>
      </c>
      <c r="P19" s="14">
        <v>0.3</v>
      </c>
      <c r="Q19" s="14">
        <v>0.19</v>
      </c>
      <c r="R19" s="14">
        <v>0.16</v>
      </c>
      <c r="S19" s="14">
        <v>0.25</v>
      </c>
      <c r="T19" s="14">
        <v>0.2</v>
      </c>
      <c r="U19" s="14">
        <v>0.19</v>
      </c>
      <c r="V19" s="14">
        <v>0.28000000000000003</v>
      </c>
      <c r="W19" s="14">
        <v>0.13</v>
      </c>
      <c r="X19" s="14">
        <v>0.1</v>
      </c>
      <c r="Y19" s="14">
        <v>0.28000000000000003</v>
      </c>
      <c r="Z19" s="14">
        <v>0.27</v>
      </c>
      <c r="AA19" s="14">
        <v>0.31</v>
      </c>
      <c r="AB19" s="14">
        <v>0.34</v>
      </c>
      <c r="AC19" s="14">
        <v>0.19</v>
      </c>
      <c r="AD19" s="14">
        <v>0.22</v>
      </c>
      <c r="AE19" s="14">
        <v>0.17</v>
      </c>
      <c r="AF19" s="14">
        <v>0.14000000000000001</v>
      </c>
    </row>
    <row r="20" spans="1:32" ht="23.25" x14ac:dyDescent="0.25">
      <c r="A20" s="19"/>
      <c r="B20" s="11" t="s">
        <v>683</v>
      </c>
      <c r="C20" s="12">
        <v>1068</v>
      </c>
      <c r="D20" s="12">
        <v>17</v>
      </c>
      <c r="E20" s="12">
        <v>30</v>
      </c>
      <c r="F20" s="12">
        <v>20</v>
      </c>
      <c r="G20" s="12">
        <v>4</v>
      </c>
      <c r="H20" s="12">
        <v>33</v>
      </c>
      <c r="I20" s="12">
        <v>35</v>
      </c>
      <c r="J20" s="12">
        <v>2</v>
      </c>
      <c r="K20" s="12">
        <v>37</v>
      </c>
      <c r="L20" s="12">
        <v>64</v>
      </c>
      <c r="M20" s="12">
        <v>77</v>
      </c>
      <c r="N20" s="12">
        <v>57</v>
      </c>
      <c r="O20" s="12">
        <v>36</v>
      </c>
      <c r="P20" s="12">
        <v>28</v>
      </c>
      <c r="Q20" s="12">
        <v>87</v>
      </c>
      <c r="R20" s="12">
        <v>22</v>
      </c>
      <c r="S20" s="12">
        <v>29</v>
      </c>
      <c r="T20" s="12">
        <v>42</v>
      </c>
      <c r="U20" s="12">
        <v>6</v>
      </c>
      <c r="V20" s="12">
        <v>12</v>
      </c>
      <c r="W20" s="12">
        <v>73</v>
      </c>
      <c r="X20" s="12">
        <v>18</v>
      </c>
      <c r="Y20" s="12">
        <v>29</v>
      </c>
      <c r="Z20" s="12">
        <v>32</v>
      </c>
      <c r="AA20" s="12">
        <v>22</v>
      </c>
      <c r="AB20" s="12">
        <v>75</v>
      </c>
      <c r="AC20" s="12">
        <v>10</v>
      </c>
      <c r="AD20" s="12">
        <v>44</v>
      </c>
      <c r="AE20" s="12">
        <v>8</v>
      </c>
      <c r="AF20" s="12">
        <v>2</v>
      </c>
    </row>
    <row r="21" spans="1:32" x14ac:dyDescent="0.25">
      <c r="A21" s="19"/>
      <c r="B21" s="13" t="s">
        <v>684</v>
      </c>
      <c r="C21" s="14">
        <v>0.04</v>
      </c>
      <c r="D21" s="14">
        <v>0.02</v>
      </c>
      <c r="E21" s="14">
        <v>0.03</v>
      </c>
      <c r="F21" s="14">
        <v>0.02</v>
      </c>
      <c r="G21" s="15" t="s">
        <v>213</v>
      </c>
      <c r="H21" s="14">
        <v>0.03</v>
      </c>
      <c r="I21" s="14">
        <v>0.02</v>
      </c>
      <c r="J21" s="14">
        <v>0.01</v>
      </c>
      <c r="K21" s="14">
        <v>0.03</v>
      </c>
      <c r="L21" s="14">
        <v>0.06</v>
      </c>
      <c r="M21" s="14">
        <v>0.08</v>
      </c>
      <c r="N21" s="14">
        <v>0.06</v>
      </c>
      <c r="O21" s="14">
        <v>0.04</v>
      </c>
      <c r="P21" s="14">
        <v>0.03</v>
      </c>
      <c r="Q21" s="14">
        <v>0.08</v>
      </c>
      <c r="R21" s="14">
        <v>0.05</v>
      </c>
      <c r="S21" s="14">
        <v>0.03</v>
      </c>
      <c r="T21" s="14">
        <v>0.04</v>
      </c>
      <c r="U21" s="14">
        <v>0.01</v>
      </c>
      <c r="V21" s="14">
        <v>0.01</v>
      </c>
      <c r="W21" s="14">
        <v>0.15</v>
      </c>
      <c r="X21" s="14">
        <v>0.02</v>
      </c>
      <c r="Y21" s="14">
        <v>0.03</v>
      </c>
      <c r="Z21" s="14">
        <v>0.03</v>
      </c>
      <c r="AA21" s="14">
        <v>0.02</v>
      </c>
      <c r="AB21" s="14">
        <v>7.0000000000000007E-2</v>
      </c>
      <c r="AC21" s="14">
        <v>0.01</v>
      </c>
      <c r="AD21" s="14">
        <v>0.04</v>
      </c>
      <c r="AE21" s="14">
        <v>0.01</v>
      </c>
      <c r="AF21" s="15" t="s">
        <v>213</v>
      </c>
    </row>
    <row r="22" spans="1:32" x14ac:dyDescent="0.25">
      <c r="A22" s="19"/>
      <c r="B22" s="11" t="s">
        <v>685</v>
      </c>
      <c r="C22" s="12">
        <v>1141</v>
      </c>
      <c r="D22" s="12">
        <v>75</v>
      </c>
      <c r="E22" s="12">
        <v>43</v>
      </c>
      <c r="F22" s="12">
        <v>43</v>
      </c>
      <c r="G22" s="12">
        <v>36</v>
      </c>
      <c r="H22" s="12">
        <v>48</v>
      </c>
      <c r="I22" s="12">
        <v>57</v>
      </c>
      <c r="J22" s="12">
        <v>9</v>
      </c>
      <c r="K22" s="12">
        <v>37</v>
      </c>
      <c r="L22" s="12">
        <v>39</v>
      </c>
      <c r="M22" s="12">
        <v>39</v>
      </c>
      <c r="N22" s="12">
        <v>87</v>
      </c>
      <c r="O22" s="12">
        <v>66</v>
      </c>
      <c r="P22" s="12">
        <v>34</v>
      </c>
      <c r="Q22" s="12">
        <v>19</v>
      </c>
      <c r="R22" s="12">
        <v>21</v>
      </c>
      <c r="S22" s="12">
        <v>50</v>
      </c>
      <c r="T22" s="12">
        <v>85</v>
      </c>
      <c r="U22" s="12">
        <v>17</v>
      </c>
      <c r="V22" s="12">
        <v>21</v>
      </c>
      <c r="W22" s="12">
        <v>4</v>
      </c>
      <c r="X22" s="12">
        <v>49</v>
      </c>
      <c r="Y22" s="12">
        <v>33</v>
      </c>
      <c r="Z22" s="12">
        <v>16</v>
      </c>
      <c r="AA22" s="12">
        <v>44</v>
      </c>
      <c r="AB22" s="12">
        <v>7</v>
      </c>
      <c r="AC22" s="12">
        <v>46</v>
      </c>
      <c r="AD22" s="12">
        <v>33</v>
      </c>
      <c r="AE22" s="12">
        <v>64</v>
      </c>
      <c r="AF22" s="12">
        <v>37</v>
      </c>
    </row>
    <row r="23" spans="1:32" x14ac:dyDescent="0.25">
      <c r="A23" s="19"/>
      <c r="B23" s="13" t="s">
        <v>686</v>
      </c>
      <c r="C23" s="14">
        <v>0.04</v>
      </c>
      <c r="D23" s="14">
        <v>7.0000000000000007E-2</v>
      </c>
      <c r="E23" s="14">
        <v>0.04</v>
      </c>
      <c r="F23" s="14">
        <v>0.04</v>
      </c>
      <c r="G23" s="14">
        <v>0.04</v>
      </c>
      <c r="H23" s="14">
        <v>0.04</v>
      </c>
      <c r="I23" s="14">
        <v>0.04</v>
      </c>
      <c r="J23" s="14">
        <v>0.03</v>
      </c>
      <c r="K23" s="14">
        <v>0.04</v>
      </c>
      <c r="L23" s="14">
        <v>0.04</v>
      </c>
      <c r="M23" s="14">
        <v>0.04</v>
      </c>
      <c r="N23" s="14">
        <v>0.09</v>
      </c>
      <c r="O23" s="14">
        <v>7.0000000000000007E-2</v>
      </c>
      <c r="P23" s="14">
        <v>0.03</v>
      </c>
      <c r="Q23" s="14">
        <v>0.02</v>
      </c>
      <c r="R23" s="14">
        <v>0.04</v>
      </c>
      <c r="S23" s="14">
        <v>0.05</v>
      </c>
      <c r="T23" s="14">
        <v>0.08</v>
      </c>
      <c r="U23" s="14">
        <v>0.03</v>
      </c>
      <c r="V23" s="14">
        <v>0.02</v>
      </c>
      <c r="W23" s="14">
        <v>0.01</v>
      </c>
      <c r="X23" s="14">
        <v>0.05</v>
      </c>
      <c r="Y23" s="14">
        <v>0.03</v>
      </c>
      <c r="Z23" s="14">
        <v>0.02</v>
      </c>
      <c r="AA23" s="14">
        <v>0.04</v>
      </c>
      <c r="AB23" s="14">
        <v>0.01</v>
      </c>
      <c r="AC23" s="14">
        <v>0.05</v>
      </c>
      <c r="AD23" s="14">
        <v>0.03</v>
      </c>
      <c r="AE23" s="14">
        <v>0.06</v>
      </c>
      <c r="AF23" s="14">
        <v>0.04</v>
      </c>
    </row>
    <row r="24" spans="1:32" x14ac:dyDescent="0.25">
      <c r="A24" s="19"/>
      <c r="B24" s="11" t="s">
        <v>687</v>
      </c>
      <c r="C24" s="12">
        <v>6938</v>
      </c>
      <c r="D24" s="12">
        <v>289</v>
      </c>
      <c r="E24" s="12">
        <v>273</v>
      </c>
      <c r="F24" s="12">
        <v>264</v>
      </c>
      <c r="G24" s="12">
        <v>291</v>
      </c>
      <c r="H24" s="12">
        <v>333</v>
      </c>
      <c r="I24" s="12">
        <v>433</v>
      </c>
      <c r="J24" s="12">
        <v>100</v>
      </c>
      <c r="K24" s="12">
        <v>237</v>
      </c>
      <c r="L24" s="12">
        <v>168</v>
      </c>
      <c r="M24" s="12">
        <v>262</v>
      </c>
      <c r="N24" s="12">
        <v>248</v>
      </c>
      <c r="O24" s="12">
        <v>294</v>
      </c>
      <c r="P24" s="12">
        <v>289</v>
      </c>
      <c r="Q24" s="12">
        <v>232</v>
      </c>
      <c r="R24" s="12">
        <v>100</v>
      </c>
      <c r="S24" s="12">
        <v>266</v>
      </c>
      <c r="T24" s="12">
        <v>275</v>
      </c>
      <c r="U24" s="12">
        <v>121</v>
      </c>
      <c r="V24" s="12">
        <v>251</v>
      </c>
      <c r="W24" s="12">
        <v>62</v>
      </c>
      <c r="X24" s="12">
        <v>254</v>
      </c>
      <c r="Y24" s="12">
        <v>245</v>
      </c>
      <c r="Z24" s="12">
        <v>264</v>
      </c>
      <c r="AA24" s="12">
        <v>278</v>
      </c>
      <c r="AB24" s="12">
        <v>274</v>
      </c>
      <c r="AC24" s="12">
        <v>312</v>
      </c>
      <c r="AD24" s="12">
        <v>244</v>
      </c>
      <c r="AE24" s="12">
        <v>289</v>
      </c>
      <c r="AF24" s="12">
        <v>273</v>
      </c>
    </row>
    <row r="25" spans="1:32" x14ac:dyDescent="0.25">
      <c r="A25" s="19"/>
      <c r="B25" s="13" t="s">
        <v>688</v>
      </c>
      <c r="C25" s="14">
        <v>0.26</v>
      </c>
      <c r="D25" s="14">
        <v>0.28000000000000003</v>
      </c>
      <c r="E25" s="14">
        <v>0.26</v>
      </c>
      <c r="F25" s="14">
        <v>0.25</v>
      </c>
      <c r="G25" s="14">
        <v>0.28999999999999998</v>
      </c>
      <c r="H25" s="14">
        <v>0.27</v>
      </c>
      <c r="I25" s="14">
        <v>0.28999999999999998</v>
      </c>
      <c r="J25" s="14">
        <v>0.34</v>
      </c>
      <c r="K25" s="14">
        <v>0.23</v>
      </c>
      <c r="L25" s="14">
        <v>0.17</v>
      </c>
      <c r="M25" s="14">
        <v>0.26</v>
      </c>
      <c r="N25" s="14">
        <v>0.24</v>
      </c>
      <c r="O25" s="14">
        <v>0.28999999999999998</v>
      </c>
      <c r="P25" s="14">
        <v>0.28999999999999998</v>
      </c>
      <c r="Q25" s="14">
        <v>0.23</v>
      </c>
      <c r="R25" s="14">
        <v>0.2</v>
      </c>
      <c r="S25" s="14">
        <v>0.26</v>
      </c>
      <c r="T25" s="14">
        <v>0.27</v>
      </c>
      <c r="U25" s="14">
        <v>0.24</v>
      </c>
      <c r="V25" s="14">
        <v>0.24</v>
      </c>
      <c r="W25" s="14">
        <v>0.12</v>
      </c>
      <c r="X25" s="14">
        <v>0.25</v>
      </c>
      <c r="Y25" s="14">
        <v>0.24</v>
      </c>
      <c r="Z25" s="14">
        <v>0.26</v>
      </c>
      <c r="AA25" s="14">
        <v>0.27</v>
      </c>
      <c r="AB25" s="14">
        <v>0.26</v>
      </c>
      <c r="AC25" s="14">
        <v>0.31</v>
      </c>
      <c r="AD25" s="14">
        <v>0.24</v>
      </c>
      <c r="AE25" s="14">
        <v>0.28999999999999998</v>
      </c>
      <c r="AF25" s="14">
        <v>0.26</v>
      </c>
    </row>
    <row r="26" spans="1:32" x14ac:dyDescent="0.25">
      <c r="A26" s="19"/>
      <c r="B26" s="11" t="s">
        <v>689</v>
      </c>
      <c r="C26" s="12">
        <v>2573</v>
      </c>
      <c r="D26" s="12">
        <v>115</v>
      </c>
      <c r="E26" s="12">
        <v>73</v>
      </c>
      <c r="F26" s="12">
        <v>90</v>
      </c>
      <c r="G26" s="12">
        <v>112</v>
      </c>
      <c r="H26" s="12">
        <v>161</v>
      </c>
      <c r="I26" s="12">
        <v>181</v>
      </c>
      <c r="J26" s="12">
        <v>20</v>
      </c>
      <c r="K26" s="12">
        <v>108</v>
      </c>
      <c r="L26" s="12">
        <v>98</v>
      </c>
      <c r="M26" s="12">
        <v>75</v>
      </c>
      <c r="N26" s="12">
        <v>76</v>
      </c>
      <c r="O26" s="12">
        <v>99</v>
      </c>
      <c r="P26" s="12">
        <v>61</v>
      </c>
      <c r="Q26" s="12">
        <v>116</v>
      </c>
      <c r="R26" s="12">
        <v>39</v>
      </c>
      <c r="S26" s="12">
        <v>84</v>
      </c>
      <c r="T26" s="12">
        <v>89</v>
      </c>
      <c r="U26" s="12">
        <v>46</v>
      </c>
      <c r="V26" s="12">
        <v>68</v>
      </c>
      <c r="W26" s="12">
        <v>42</v>
      </c>
      <c r="X26" s="12">
        <v>146</v>
      </c>
      <c r="Y26" s="12">
        <v>78</v>
      </c>
      <c r="Z26" s="12">
        <v>69</v>
      </c>
      <c r="AA26" s="12">
        <v>103</v>
      </c>
      <c r="AB26" s="12">
        <v>88</v>
      </c>
      <c r="AC26" s="12">
        <v>99</v>
      </c>
      <c r="AD26" s="12">
        <v>98</v>
      </c>
      <c r="AE26" s="12">
        <v>102</v>
      </c>
      <c r="AF26" s="12">
        <v>75</v>
      </c>
    </row>
    <row r="27" spans="1:32" x14ac:dyDescent="0.25">
      <c r="A27" s="19"/>
      <c r="B27" s="13" t="s">
        <v>690</v>
      </c>
      <c r="C27" s="14">
        <v>0.1</v>
      </c>
      <c r="D27" s="14">
        <v>0.11</v>
      </c>
      <c r="E27" s="14">
        <v>7.0000000000000007E-2</v>
      </c>
      <c r="F27" s="14">
        <v>0.08</v>
      </c>
      <c r="G27" s="14">
        <v>0.11</v>
      </c>
      <c r="H27" s="14">
        <v>0.13</v>
      </c>
      <c r="I27" s="14">
        <v>0.12</v>
      </c>
      <c r="J27" s="14">
        <v>0.06</v>
      </c>
      <c r="K27" s="14">
        <v>0.11</v>
      </c>
      <c r="L27" s="14">
        <v>0.1</v>
      </c>
      <c r="M27" s="14">
        <v>7.0000000000000007E-2</v>
      </c>
      <c r="N27" s="14">
        <v>7.0000000000000007E-2</v>
      </c>
      <c r="O27" s="14">
        <v>0.1</v>
      </c>
      <c r="P27" s="14">
        <v>0.06</v>
      </c>
      <c r="Q27" s="14">
        <v>0.11</v>
      </c>
      <c r="R27" s="14">
        <v>0.08</v>
      </c>
      <c r="S27" s="14">
        <v>0.08</v>
      </c>
      <c r="T27" s="14">
        <v>0.09</v>
      </c>
      <c r="U27" s="14">
        <v>0.09</v>
      </c>
      <c r="V27" s="14">
        <v>7.0000000000000007E-2</v>
      </c>
      <c r="W27" s="14">
        <v>0.08</v>
      </c>
      <c r="X27" s="14">
        <v>0.14000000000000001</v>
      </c>
      <c r="Y27" s="14">
        <v>0.08</v>
      </c>
      <c r="Z27" s="14">
        <v>7.0000000000000007E-2</v>
      </c>
      <c r="AA27" s="14">
        <v>0.1</v>
      </c>
      <c r="AB27" s="14">
        <v>0.09</v>
      </c>
      <c r="AC27" s="14">
        <v>0.1</v>
      </c>
      <c r="AD27" s="14">
        <v>0.1</v>
      </c>
      <c r="AE27" s="14">
        <v>0.1</v>
      </c>
      <c r="AF27" s="14">
        <v>7.0000000000000007E-2</v>
      </c>
    </row>
  </sheetData>
  <mergeCells count="9">
    <mergeCell ref="H3:L3"/>
    <mergeCell ref="C8:AF8"/>
    <mergeCell ref="B3:F3"/>
    <mergeCell ref="B5:F5"/>
    <mergeCell ref="A10:A27"/>
    <mergeCell ref="B10:B11"/>
    <mergeCell ref="H4:L4"/>
    <mergeCell ref="B4:F4"/>
    <mergeCell ref="H5:L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4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121</v>
      </c>
      <c r="C3" s="18"/>
      <c r="D3" s="18"/>
      <c r="E3" s="18"/>
      <c r="F3" s="18"/>
      <c r="H3" s="18" t="s">
        <v>122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691</v>
      </c>
      <c r="C5" s="18"/>
      <c r="D5" s="18"/>
      <c r="E5" s="18"/>
      <c r="F5" s="18"/>
      <c r="H5" s="18" t="s">
        <v>692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11720</v>
      </c>
      <c r="D10" s="10">
        <v>497</v>
      </c>
      <c r="E10" s="10">
        <v>418</v>
      </c>
      <c r="F10" s="10">
        <v>417</v>
      </c>
      <c r="G10" s="10">
        <v>442</v>
      </c>
      <c r="H10" s="10">
        <v>575</v>
      </c>
      <c r="I10" s="10">
        <v>705</v>
      </c>
      <c r="J10" s="10">
        <v>130</v>
      </c>
      <c r="K10" s="10">
        <v>419</v>
      </c>
      <c r="L10" s="10">
        <v>369</v>
      </c>
      <c r="M10" s="10">
        <v>452</v>
      </c>
      <c r="N10" s="10">
        <v>467</v>
      </c>
      <c r="O10" s="10">
        <v>495</v>
      </c>
      <c r="P10" s="10">
        <v>412</v>
      </c>
      <c r="Q10" s="10">
        <v>453</v>
      </c>
      <c r="R10" s="10">
        <v>182</v>
      </c>
      <c r="S10" s="10">
        <v>430</v>
      </c>
      <c r="T10" s="10">
        <v>490</v>
      </c>
      <c r="U10" s="10">
        <v>190</v>
      </c>
      <c r="V10" s="10">
        <v>352</v>
      </c>
      <c r="W10" s="10">
        <v>180</v>
      </c>
      <c r="X10" s="10">
        <v>468</v>
      </c>
      <c r="Y10" s="10">
        <v>386</v>
      </c>
      <c r="Z10" s="10">
        <v>381</v>
      </c>
      <c r="AA10" s="10">
        <v>448</v>
      </c>
      <c r="AB10" s="10">
        <v>444</v>
      </c>
      <c r="AC10" s="10">
        <v>468</v>
      </c>
      <c r="AD10" s="10">
        <v>419</v>
      </c>
      <c r="AE10" s="10">
        <v>464</v>
      </c>
      <c r="AF10" s="10">
        <v>387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643</v>
      </c>
      <c r="C12" s="12">
        <v>238</v>
      </c>
      <c r="D12" s="12">
        <v>3</v>
      </c>
      <c r="E12" s="12">
        <v>12</v>
      </c>
      <c r="F12" s="12">
        <v>4</v>
      </c>
      <c r="G12" s="12">
        <v>5</v>
      </c>
      <c r="H12" s="12">
        <v>5</v>
      </c>
      <c r="I12" s="12">
        <v>5</v>
      </c>
      <c r="J12" s="12">
        <v>0</v>
      </c>
      <c r="K12" s="12">
        <v>0</v>
      </c>
      <c r="L12" s="12">
        <v>2</v>
      </c>
      <c r="M12" s="12">
        <v>44</v>
      </c>
      <c r="N12" s="12">
        <v>8</v>
      </c>
      <c r="O12" s="12">
        <v>5</v>
      </c>
      <c r="P12" s="12">
        <v>7</v>
      </c>
      <c r="Q12" s="12">
        <v>18</v>
      </c>
      <c r="R12" s="12">
        <v>3</v>
      </c>
      <c r="S12" s="12">
        <v>2</v>
      </c>
      <c r="T12" s="12">
        <v>6</v>
      </c>
      <c r="U12" s="12">
        <v>1</v>
      </c>
      <c r="V12" s="12">
        <v>2</v>
      </c>
      <c r="W12" s="12">
        <v>1</v>
      </c>
      <c r="X12" s="12">
        <v>0</v>
      </c>
      <c r="Y12" s="12">
        <v>11</v>
      </c>
      <c r="Z12" s="12">
        <v>23</v>
      </c>
      <c r="AA12" s="12">
        <v>7</v>
      </c>
      <c r="AB12" s="12">
        <v>11</v>
      </c>
      <c r="AC12" s="12">
        <v>14</v>
      </c>
      <c r="AD12" s="12">
        <v>2</v>
      </c>
      <c r="AE12" s="12">
        <v>14</v>
      </c>
      <c r="AF12" s="12">
        <v>1</v>
      </c>
    </row>
    <row r="13" spans="1:32" x14ac:dyDescent="0.25">
      <c r="A13" s="19"/>
      <c r="B13" s="13" t="s">
        <v>644</v>
      </c>
      <c r="C13" s="14">
        <v>0.02</v>
      </c>
      <c r="D13" s="14">
        <v>0.01</v>
      </c>
      <c r="E13" s="14">
        <v>0.03</v>
      </c>
      <c r="F13" s="14">
        <v>0.01</v>
      </c>
      <c r="G13" s="14">
        <v>0.01</v>
      </c>
      <c r="H13" s="14">
        <v>0.01</v>
      </c>
      <c r="I13" s="14">
        <v>0.01</v>
      </c>
      <c r="J13" s="15" t="s">
        <v>213</v>
      </c>
      <c r="K13" s="15" t="s">
        <v>213</v>
      </c>
      <c r="L13" s="15" t="s">
        <v>213</v>
      </c>
      <c r="M13" s="14">
        <v>0.1</v>
      </c>
      <c r="N13" s="14">
        <v>0.02</v>
      </c>
      <c r="O13" s="14">
        <v>0.01</v>
      </c>
      <c r="P13" s="14">
        <v>0.02</v>
      </c>
      <c r="Q13" s="14">
        <v>0.04</v>
      </c>
      <c r="R13" s="14">
        <v>0.02</v>
      </c>
      <c r="S13" s="15" t="s">
        <v>213</v>
      </c>
      <c r="T13" s="14">
        <v>0.01</v>
      </c>
      <c r="U13" s="14">
        <v>0.01</v>
      </c>
      <c r="V13" s="15" t="s">
        <v>213</v>
      </c>
      <c r="W13" s="14">
        <v>0.01</v>
      </c>
      <c r="X13" s="15" t="s">
        <v>213</v>
      </c>
      <c r="Y13" s="14">
        <v>0.03</v>
      </c>
      <c r="Z13" s="14">
        <v>0.06</v>
      </c>
      <c r="AA13" s="14">
        <v>0.02</v>
      </c>
      <c r="AB13" s="14">
        <v>0.02</v>
      </c>
      <c r="AC13" s="14">
        <v>0.03</v>
      </c>
      <c r="AD13" s="15" t="s">
        <v>213</v>
      </c>
      <c r="AE13" s="14">
        <v>0.03</v>
      </c>
      <c r="AF13" s="15" t="s">
        <v>213</v>
      </c>
    </row>
    <row r="14" spans="1:32" x14ac:dyDescent="0.25">
      <c r="A14" s="19"/>
      <c r="B14" s="11" t="s">
        <v>645</v>
      </c>
      <c r="C14" s="12">
        <v>14</v>
      </c>
      <c r="D14" s="12">
        <v>1</v>
      </c>
      <c r="E14" s="12">
        <v>0</v>
      </c>
      <c r="F14" s="12">
        <v>0</v>
      </c>
      <c r="G14" s="12">
        <v>0</v>
      </c>
      <c r="H14" s="12">
        <v>1</v>
      </c>
      <c r="I14" s="12">
        <v>1</v>
      </c>
      <c r="J14" s="12">
        <v>0</v>
      </c>
      <c r="K14" s="12">
        <v>1</v>
      </c>
      <c r="L14" s="12">
        <v>1</v>
      </c>
      <c r="M14" s="12">
        <v>0</v>
      </c>
      <c r="N14" s="12">
        <v>1</v>
      </c>
      <c r="O14" s="12">
        <v>0</v>
      </c>
      <c r="P14" s="12">
        <v>0</v>
      </c>
      <c r="Q14" s="12">
        <v>1</v>
      </c>
      <c r="R14" s="12">
        <v>1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2</v>
      </c>
      <c r="AA14" s="12">
        <v>1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</row>
    <row r="15" spans="1:32" x14ac:dyDescent="0.25">
      <c r="A15" s="19"/>
      <c r="B15" s="13" t="s">
        <v>646</v>
      </c>
      <c r="C15" s="15" t="s">
        <v>213</v>
      </c>
      <c r="D15" s="15" t="s">
        <v>213</v>
      </c>
      <c r="E15" s="15" t="s">
        <v>213</v>
      </c>
      <c r="F15" s="15" t="s">
        <v>213</v>
      </c>
      <c r="G15" s="15" t="s">
        <v>213</v>
      </c>
      <c r="H15" s="15" t="s">
        <v>213</v>
      </c>
      <c r="I15" s="15" t="s">
        <v>213</v>
      </c>
      <c r="J15" s="15" t="s">
        <v>213</v>
      </c>
      <c r="K15" s="15" t="s">
        <v>213</v>
      </c>
      <c r="L15" s="15" t="s">
        <v>213</v>
      </c>
      <c r="M15" s="15" t="s">
        <v>213</v>
      </c>
      <c r="N15" s="15" t="s">
        <v>213</v>
      </c>
      <c r="O15" s="15" t="s">
        <v>213</v>
      </c>
      <c r="P15" s="15" t="s">
        <v>213</v>
      </c>
      <c r="Q15" s="15" t="s">
        <v>213</v>
      </c>
      <c r="R15" s="15" t="s">
        <v>213</v>
      </c>
      <c r="S15" s="15" t="s">
        <v>213</v>
      </c>
      <c r="T15" s="15" t="s">
        <v>213</v>
      </c>
      <c r="U15" s="15" t="s">
        <v>213</v>
      </c>
      <c r="V15" s="15" t="s">
        <v>213</v>
      </c>
      <c r="W15" s="15" t="s">
        <v>213</v>
      </c>
      <c r="X15" s="15" t="s">
        <v>213</v>
      </c>
      <c r="Y15" s="15" t="s">
        <v>213</v>
      </c>
      <c r="Z15" s="15" t="s">
        <v>213</v>
      </c>
      <c r="AA15" s="15" t="s">
        <v>213</v>
      </c>
      <c r="AB15" s="15" t="s">
        <v>213</v>
      </c>
      <c r="AC15" s="15" t="s">
        <v>213</v>
      </c>
      <c r="AD15" s="15" t="s">
        <v>213</v>
      </c>
      <c r="AE15" s="15" t="s">
        <v>213</v>
      </c>
      <c r="AF15" s="15" t="s">
        <v>213</v>
      </c>
    </row>
    <row r="16" spans="1:32" ht="45.75" x14ac:dyDescent="0.25">
      <c r="A16" s="19"/>
      <c r="B16" s="11" t="s">
        <v>647</v>
      </c>
      <c r="C16" s="12">
        <v>173</v>
      </c>
      <c r="D16" s="12">
        <v>4</v>
      </c>
      <c r="E16" s="12">
        <v>0</v>
      </c>
      <c r="F16" s="12">
        <v>4</v>
      </c>
      <c r="G16" s="12">
        <v>8</v>
      </c>
      <c r="H16" s="12">
        <v>13</v>
      </c>
      <c r="I16" s="12">
        <v>14</v>
      </c>
      <c r="J16" s="12">
        <v>2</v>
      </c>
      <c r="K16" s="12">
        <v>5</v>
      </c>
      <c r="L16" s="12">
        <v>3</v>
      </c>
      <c r="M16" s="12">
        <v>4</v>
      </c>
      <c r="N16" s="12">
        <v>8</v>
      </c>
      <c r="O16" s="12">
        <v>3</v>
      </c>
      <c r="P16" s="12">
        <v>1</v>
      </c>
      <c r="Q16" s="12">
        <v>11</v>
      </c>
      <c r="R16" s="12">
        <v>1</v>
      </c>
      <c r="S16" s="12">
        <v>5</v>
      </c>
      <c r="T16" s="12">
        <v>3</v>
      </c>
      <c r="U16" s="12">
        <v>4</v>
      </c>
      <c r="V16" s="12">
        <v>0</v>
      </c>
      <c r="W16" s="12">
        <v>1</v>
      </c>
      <c r="X16" s="12">
        <v>14</v>
      </c>
      <c r="Y16" s="12">
        <v>2</v>
      </c>
      <c r="Z16" s="12">
        <v>3</v>
      </c>
      <c r="AA16" s="12">
        <v>2</v>
      </c>
      <c r="AB16" s="12">
        <v>0</v>
      </c>
      <c r="AC16" s="12">
        <v>1</v>
      </c>
      <c r="AD16" s="12">
        <v>8</v>
      </c>
      <c r="AE16" s="12">
        <v>10</v>
      </c>
      <c r="AF16" s="12">
        <v>12</v>
      </c>
    </row>
    <row r="17" spans="1:32" ht="57" x14ac:dyDescent="0.25">
      <c r="A17" s="19"/>
      <c r="B17" s="13" t="s">
        <v>648</v>
      </c>
      <c r="C17" s="14">
        <v>0.01</v>
      </c>
      <c r="D17" s="14">
        <v>0.01</v>
      </c>
      <c r="E17" s="15" t="s">
        <v>213</v>
      </c>
      <c r="F17" s="14">
        <v>0.01</v>
      </c>
      <c r="G17" s="14">
        <v>0.02</v>
      </c>
      <c r="H17" s="14">
        <v>0.02</v>
      </c>
      <c r="I17" s="14">
        <v>0.02</v>
      </c>
      <c r="J17" s="14">
        <v>0.01</v>
      </c>
      <c r="K17" s="14">
        <v>0.01</v>
      </c>
      <c r="L17" s="14">
        <v>0.01</v>
      </c>
      <c r="M17" s="14">
        <v>0.01</v>
      </c>
      <c r="N17" s="14">
        <v>0.02</v>
      </c>
      <c r="O17" s="14">
        <v>0.01</v>
      </c>
      <c r="P17" s="15" t="s">
        <v>213</v>
      </c>
      <c r="Q17" s="14">
        <v>0.03</v>
      </c>
      <c r="R17" s="14">
        <v>0.01</v>
      </c>
      <c r="S17" s="14">
        <v>0.01</v>
      </c>
      <c r="T17" s="14">
        <v>0.01</v>
      </c>
      <c r="U17" s="14">
        <v>0.02</v>
      </c>
      <c r="V17" s="15" t="s">
        <v>213</v>
      </c>
      <c r="W17" s="14">
        <v>0.01</v>
      </c>
      <c r="X17" s="14">
        <v>0.03</v>
      </c>
      <c r="Y17" s="14">
        <v>0.01</v>
      </c>
      <c r="Z17" s="14">
        <v>0.01</v>
      </c>
      <c r="AA17" s="14">
        <v>0.01</v>
      </c>
      <c r="AB17" s="15" t="s">
        <v>213</v>
      </c>
      <c r="AC17" s="15" t="s">
        <v>213</v>
      </c>
      <c r="AD17" s="14">
        <v>0.02</v>
      </c>
      <c r="AE17" s="14">
        <v>0.02</v>
      </c>
      <c r="AF17" s="14">
        <v>0.03</v>
      </c>
    </row>
    <row r="18" spans="1:32" ht="45.75" x14ac:dyDescent="0.25">
      <c r="A18" s="19"/>
      <c r="B18" s="11" t="s">
        <v>649</v>
      </c>
      <c r="C18" s="12">
        <v>339</v>
      </c>
      <c r="D18" s="12">
        <v>18</v>
      </c>
      <c r="E18" s="12">
        <v>8</v>
      </c>
      <c r="F18" s="12">
        <v>8</v>
      </c>
      <c r="G18" s="12">
        <v>6</v>
      </c>
      <c r="H18" s="12">
        <v>16</v>
      </c>
      <c r="I18" s="12">
        <v>19</v>
      </c>
      <c r="J18" s="12">
        <v>3</v>
      </c>
      <c r="K18" s="12">
        <v>3</v>
      </c>
      <c r="L18" s="12">
        <v>2</v>
      </c>
      <c r="M18" s="12">
        <v>32</v>
      </c>
      <c r="N18" s="12">
        <v>9</v>
      </c>
      <c r="O18" s="12">
        <v>18</v>
      </c>
      <c r="P18" s="12">
        <v>10</v>
      </c>
      <c r="Q18" s="12">
        <v>24</v>
      </c>
      <c r="R18" s="12">
        <v>12</v>
      </c>
      <c r="S18" s="12">
        <v>6</v>
      </c>
      <c r="T18" s="12">
        <v>3</v>
      </c>
      <c r="U18" s="12">
        <v>5</v>
      </c>
      <c r="V18" s="12">
        <v>6</v>
      </c>
      <c r="W18" s="12">
        <v>4</v>
      </c>
      <c r="X18" s="12">
        <v>9</v>
      </c>
      <c r="Y18" s="12">
        <v>9</v>
      </c>
      <c r="Z18" s="12">
        <v>5</v>
      </c>
      <c r="AA18" s="12">
        <v>16</v>
      </c>
      <c r="AB18" s="12">
        <v>2</v>
      </c>
      <c r="AC18" s="12">
        <v>10</v>
      </c>
      <c r="AD18" s="12">
        <v>6</v>
      </c>
      <c r="AE18" s="12">
        <v>3</v>
      </c>
      <c r="AF18" s="12">
        <v>8</v>
      </c>
    </row>
    <row r="19" spans="1:32" ht="34.5" x14ac:dyDescent="0.25">
      <c r="A19" s="19"/>
      <c r="B19" s="13" t="s">
        <v>650</v>
      </c>
      <c r="C19" s="14">
        <v>0.03</v>
      </c>
      <c r="D19" s="14">
        <v>0.04</v>
      </c>
      <c r="E19" s="14">
        <v>0.02</v>
      </c>
      <c r="F19" s="14">
        <v>0.02</v>
      </c>
      <c r="G19" s="14">
        <v>0.01</v>
      </c>
      <c r="H19" s="14">
        <v>0.03</v>
      </c>
      <c r="I19" s="14">
        <v>0.03</v>
      </c>
      <c r="J19" s="14">
        <v>0.03</v>
      </c>
      <c r="K19" s="14">
        <v>0.01</v>
      </c>
      <c r="L19" s="14">
        <v>0.01</v>
      </c>
      <c r="M19" s="14">
        <v>7.0000000000000007E-2</v>
      </c>
      <c r="N19" s="14">
        <v>0.02</v>
      </c>
      <c r="O19" s="14">
        <v>0.04</v>
      </c>
      <c r="P19" s="14">
        <v>0.02</v>
      </c>
      <c r="Q19" s="14">
        <v>0.05</v>
      </c>
      <c r="R19" s="14">
        <v>7.0000000000000007E-2</v>
      </c>
      <c r="S19" s="14">
        <v>0.02</v>
      </c>
      <c r="T19" s="14">
        <v>0.01</v>
      </c>
      <c r="U19" s="14">
        <v>0.03</v>
      </c>
      <c r="V19" s="14">
        <v>0.02</v>
      </c>
      <c r="W19" s="14">
        <v>0.02</v>
      </c>
      <c r="X19" s="14">
        <v>0.02</v>
      </c>
      <c r="Y19" s="14">
        <v>0.02</v>
      </c>
      <c r="Z19" s="14">
        <v>0.01</v>
      </c>
      <c r="AA19" s="14">
        <v>0.04</v>
      </c>
      <c r="AB19" s="15" t="s">
        <v>213</v>
      </c>
      <c r="AC19" s="14">
        <v>0.02</v>
      </c>
      <c r="AD19" s="14">
        <v>0.01</v>
      </c>
      <c r="AE19" s="14">
        <v>0.01</v>
      </c>
      <c r="AF19" s="14">
        <v>0.02</v>
      </c>
    </row>
    <row r="20" spans="1:32" ht="34.5" x14ac:dyDescent="0.25">
      <c r="A20" s="19"/>
      <c r="B20" s="11" t="s">
        <v>651</v>
      </c>
      <c r="C20" s="12">
        <v>146</v>
      </c>
      <c r="D20" s="12">
        <v>7</v>
      </c>
      <c r="E20" s="12">
        <v>5</v>
      </c>
      <c r="F20" s="12">
        <v>5</v>
      </c>
      <c r="G20" s="12">
        <v>11</v>
      </c>
      <c r="H20" s="12">
        <v>10</v>
      </c>
      <c r="I20" s="12">
        <v>12</v>
      </c>
      <c r="J20" s="12">
        <v>2</v>
      </c>
      <c r="K20" s="12">
        <v>9</v>
      </c>
      <c r="L20" s="12">
        <v>7</v>
      </c>
      <c r="M20" s="12">
        <v>6</v>
      </c>
      <c r="N20" s="12">
        <v>9</v>
      </c>
      <c r="O20" s="12">
        <v>6</v>
      </c>
      <c r="P20" s="12">
        <v>3</v>
      </c>
      <c r="Q20" s="12">
        <v>2</v>
      </c>
      <c r="R20" s="12">
        <v>2</v>
      </c>
      <c r="S20" s="12">
        <v>4</v>
      </c>
      <c r="T20" s="12">
        <v>0</v>
      </c>
      <c r="U20" s="12">
        <v>1</v>
      </c>
      <c r="V20" s="12">
        <v>3</v>
      </c>
      <c r="W20" s="12">
        <v>4</v>
      </c>
      <c r="X20" s="12">
        <v>10</v>
      </c>
      <c r="Y20" s="12">
        <v>13</v>
      </c>
      <c r="Z20" s="12">
        <v>2</v>
      </c>
      <c r="AA20" s="12">
        <v>0</v>
      </c>
      <c r="AB20" s="12">
        <v>2</v>
      </c>
      <c r="AC20" s="12">
        <v>11</v>
      </c>
      <c r="AD20" s="12">
        <v>3</v>
      </c>
      <c r="AE20" s="12">
        <v>16</v>
      </c>
      <c r="AF20" s="12">
        <v>4</v>
      </c>
    </row>
    <row r="21" spans="1:32" ht="34.5" x14ac:dyDescent="0.25">
      <c r="A21" s="19"/>
      <c r="B21" s="13" t="s">
        <v>652</v>
      </c>
      <c r="C21" s="14">
        <v>0.01</v>
      </c>
      <c r="D21" s="14">
        <v>0.01</v>
      </c>
      <c r="E21" s="14">
        <v>0.01</v>
      </c>
      <c r="F21" s="14">
        <v>0.01</v>
      </c>
      <c r="G21" s="14">
        <v>0.02</v>
      </c>
      <c r="H21" s="14">
        <v>0.02</v>
      </c>
      <c r="I21" s="14">
        <v>0.02</v>
      </c>
      <c r="J21" s="14">
        <v>0.02</v>
      </c>
      <c r="K21" s="14">
        <v>0.02</v>
      </c>
      <c r="L21" s="14">
        <v>0.02</v>
      </c>
      <c r="M21" s="14">
        <v>0.01</v>
      </c>
      <c r="N21" s="14">
        <v>0.02</v>
      </c>
      <c r="O21" s="14">
        <v>0.01</v>
      </c>
      <c r="P21" s="14">
        <v>0.01</v>
      </c>
      <c r="Q21" s="15" t="s">
        <v>213</v>
      </c>
      <c r="R21" s="14">
        <v>0.01</v>
      </c>
      <c r="S21" s="14">
        <v>0.01</v>
      </c>
      <c r="T21" s="15" t="s">
        <v>213</v>
      </c>
      <c r="U21" s="14">
        <v>0.01</v>
      </c>
      <c r="V21" s="14">
        <v>0.01</v>
      </c>
      <c r="W21" s="14">
        <v>0.02</v>
      </c>
      <c r="X21" s="14">
        <v>0.02</v>
      </c>
      <c r="Y21" s="14">
        <v>0.03</v>
      </c>
      <c r="Z21" s="14">
        <v>0.01</v>
      </c>
      <c r="AA21" s="15" t="s">
        <v>213</v>
      </c>
      <c r="AB21" s="15" t="s">
        <v>213</v>
      </c>
      <c r="AC21" s="14">
        <v>0.03</v>
      </c>
      <c r="AD21" s="14">
        <v>0.01</v>
      </c>
      <c r="AE21" s="14">
        <v>0.04</v>
      </c>
      <c r="AF21" s="14">
        <v>0.01</v>
      </c>
    </row>
    <row r="22" spans="1:32" ht="45.75" x14ac:dyDescent="0.25">
      <c r="A22" s="19"/>
      <c r="B22" s="11" t="s">
        <v>653</v>
      </c>
      <c r="C22" s="12">
        <v>207</v>
      </c>
      <c r="D22" s="12">
        <v>2</v>
      </c>
      <c r="E22" s="12">
        <v>10</v>
      </c>
      <c r="F22" s="12">
        <v>7</v>
      </c>
      <c r="G22" s="12">
        <v>3</v>
      </c>
      <c r="H22" s="12">
        <v>11</v>
      </c>
      <c r="I22" s="12">
        <v>11</v>
      </c>
      <c r="J22" s="12">
        <v>0</v>
      </c>
      <c r="K22" s="12">
        <v>34</v>
      </c>
      <c r="L22" s="12">
        <v>7</v>
      </c>
      <c r="M22" s="12">
        <v>1</v>
      </c>
      <c r="N22" s="12">
        <v>15</v>
      </c>
      <c r="O22" s="12">
        <v>5</v>
      </c>
      <c r="P22" s="12">
        <v>3</v>
      </c>
      <c r="Q22" s="12">
        <v>0</v>
      </c>
      <c r="R22" s="12">
        <v>5</v>
      </c>
      <c r="S22" s="12">
        <v>30</v>
      </c>
      <c r="T22" s="12">
        <v>32</v>
      </c>
      <c r="U22" s="12">
        <v>2</v>
      </c>
      <c r="V22" s="12">
        <v>7</v>
      </c>
      <c r="W22" s="12">
        <v>3</v>
      </c>
      <c r="X22" s="12">
        <v>15</v>
      </c>
      <c r="Y22" s="12">
        <v>3</v>
      </c>
      <c r="Z22" s="12">
        <v>6</v>
      </c>
      <c r="AA22" s="12">
        <v>2</v>
      </c>
      <c r="AB22" s="12">
        <v>12</v>
      </c>
      <c r="AC22" s="12">
        <v>10</v>
      </c>
      <c r="AD22" s="12">
        <v>9</v>
      </c>
      <c r="AE22" s="12">
        <v>17</v>
      </c>
      <c r="AF22" s="12">
        <v>41</v>
      </c>
    </row>
    <row r="23" spans="1:32" ht="45.75" x14ac:dyDescent="0.25">
      <c r="A23" s="19"/>
      <c r="B23" s="13" t="s">
        <v>654</v>
      </c>
      <c r="C23" s="14">
        <v>0.02</v>
      </c>
      <c r="D23" s="15" t="s">
        <v>213</v>
      </c>
      <c r="E23" s="14">
        <v>0.02</v>
      </c>
      <c r="F23" s="14">
        <v>0.02</v>
      </c>
      <c r="G23" s="14">
        <v>0.01</v>
      </c>
      <c r="H23" s="14">
        <v>0.02</v>
      </c>
      <c r="I23" s="14">
        <v>0.01</v>
      </c>
      <c r="J23" s="15" t="s">
        <v>213</v>
      </c>
      <c r="K23" s="14">
        <v>0.08</v>
      </c>
      <c r="L23" s="14">
        <v>0.02</v>
      </c>
      <c r="M23" s="15" t="s">
        <v>213</v>
      </c>
      <c r="N23" s="14">
        <v>0.03</v>
      </c>
      <c r="O23" s="14">
        <v>0.01</v>
      </c>
      <c r="P23" s="14">
        <v>0.01</v>
      </c>
      <c r="Q23" s="15" t="s">
        <v>213</v>
      </c>
      <c r="R23" s="14">
        <v>0.03</v>
      </c>
      <c r="S23" s="14">
        <v>7.0000000000000007E-2</v>
      </c>
      <c r="T23" s="14">
        <v>0.06</v>
      </c>
      <c r="U23" s="14">
        <v>0.01</v>
      </c>
      <c r="V23" s="14">
        <v>0.02</v>
      </c>
      <c r="W23" s="14">
        <v>0.02</v>
      </c>
      <c r="X23" s="14">
        <v>0.03</v>
      </c>
      <c r="Y23" s="14">
        <v>0.01</v>
      </c>
      <c r="Z23" s="14">
        <v>0.02</v>
      </c>
      <c r="AA23" s="15" t="s">
        <v>213</v>
      </c>
      <c r="AB23" s="14">
        <v>0.03</v>
      </c>
      <c r="AC23" s="14">
        <v>0.02</v>
      </c>
      <c r="AD23" s="14">
        <v>0.02</v>
      </c>
      <c r="AE23" s="14">
        <v>0.04</v>
      </c>
      <c r="AF23" s="14">
        <v>0.11</v>
      </c>
    </row>
    <row r="24" spans="1:32" ht="45.75" x14ac:dyDescent="0.25">
      <c r="A24" s="19"/>
      <c r="B24" s="11" t="s">
        <v>655</v>
      </c>
      <c r="C24" s="12">
        <v>231</v>
      </c>
      <c r="D24" s="12">
        <v>17</v>
      </c>
      <c r="E24" s="12">
        <v>4</v>
      </c>
      <c r="F24" s="12">
        <v>3</v>
      </c>
      <c r="G24" s="12">
        <v>14</v>
      </c>
      <c r="H24" s="12">
        <v>15</v>
      </c>
      <c r="I24" s="12">
        <v>20</v>
      </c>
      <c r="J24" s="12">
        <v>5</v>
      </c>
      <c r="K24" s="12">
        <v>5</v>
      </c>
      <c r="L24" s="12">
        <v>10</v>
      </c>
      <c r="M24" s="12">
        <v>8</v>
      </c>
      <c r="N24" s="12">
        <v>2</v>
      </c>
      <c r="O24" s="12">
        <v>15</v>
      </c>
      <c r="P24" s="12">
        <v>0</v>
      </c>
      <c r="Q24" s="12">
        <v>5</v>
      </c>
      <c r="R24" s="12">
        <v>3</v>
      </c>
      <c r="S24" s="12">
        <v>10</v>
      </c>
      <c r="T24" s="12">
        <v>6</v>
      </c>
      <c r="U24" s="12">
        <v>13</v>
      </c>
      <c r="V24" s="12">
        <v>0</v>
      </c>
      <c r="W24" s="12">
        <v>4</v>
      </c>
      <c r="X24" s="12">
        <v>21</v>
      </c>
      <c r="Y24" s="12">
        <v>9</v>
      </c>
      <c r="Z24" s="12">
        <v>2</v>
      </c>
      <c r="AA24" s="12">
        <v>3</v>
      </c>
      <c r="AB24" s="12">
        <v>2</v>
      </c>
      <c r="AC24" s="12">
        <v>10</v>
      </c>
      <c r="AD24" s="12">
        <v>2</v>
      </c>
      <c r="AE24" s="12">
        <v>17</v>
      </c>
      <c r="AF24" s="12">
        <v>15</v>
      </c>
    </row>
    <row r="25" spans="1:32" ht="68.25" x14ac:dyDescent="0.25">
      <c r="A25" s="19"/>
      <c r="B25" s="13" t="s">
        <v>656</v>
      </c>
      <c r="C25" s="14">
        <v>0.02</v>
      </c>
      <c r="D25" s="14">
        <v>0.03</v>
      </c>
      <c r="E25" s="14">
        <v>0.01</v>
      </c>
      <c r="F25" s="14">
        <v>0.01</v>
      </c>
      <c r="G25" s="14">
        <v>0.03</v>
      </c>
      <c r="H25" s="14">
        <v>0.03</v>
      </c>
      <c r="I25" s="14">
        <v>0.03</v>
      </c>
      <c r="J25" s="14">
        <v>0.04</v>
      </c>
      <c r="K25" s="14">
        <v>0.01</v>
      </c>
      <c r="L25" s="14">
        <v>0.03</v>
      </c>
      <c r="M25" s="14">
        <v>0.02</v>
      </c>
      <c r="N25" s="15" t="s">
        <v>213</v>
      </c>
      <c r="O25" s="14">
        <v>0.03</v>
      </c>
      <c r="P25" s="15" t="s">
        <v>213</v>
      </c>
      <c r="Q25" s="14">
        <v>0.01</v>
      </c>
      <c r="R25" s="14">
        <v>0.01</v>
      </c>
      <c r="S25" s="14">
        <v>0.02</v>
      </c>
      <c r="T25" s="14">
        <v>0.01</v>
      </c>
      <c r="U25" s="14">
        <v>7.0000000000000007E-2</v>
      </c>
      <c r="V25" s="15" t="s">
        <v>213</v>
      </c>
      <c r="W25" s="14">
        <v>0.02</v>
      </c>
      <c r="X25" s="14">
        <v>0.05</v>
      </c>
      <c r="Y25" s="14">
        <v>0.02</v>
      </c>
      <c r="Z25" s="15" t="s">
        <v>213</v>
      </c>
      <c r="AA25" s="14">
        <v>0.01</v>
      </c>
      <c r="AB25" s="14">
        <v>0.01</v>
      </c>
      <c r="AC25" s="14">
        <v>0.02</v>
      </c>
      <c r="AD25" s="14">
        <v>0.01</v>
      </c>
      <c r="AE25" s="14">
        <v>0.04</v>
      </c>
      <c r="AF25" s="14">
        <v>0.04</v>
      </c>
    </row>
    <row r="26" spans="1:32" ht="45.75" x14ac:dyDescent="0.25">
      <c r="A26" s="19"/>
      <c r="B26" s="11" t="s">
        <v>657</v>
      </c>
      <c r="C26" s="12">
        <v>1022</v>
      </c>
      <c r="D26" s="12">
        <v>49</v>
      </c>
      <c r="E26" s="12">
        <v>16</v>
      </c>
      <c r="F26" s="12">
        <v>23</v>
      </c>
      <c r="G26" s="12">
        <v>85</v>
      </c>
      <c r="H26" s="12">
        <v>75</v>
      </c>
      <c r="I26" s="12">
        <v>87</v>
      </c>
      <c r="J26" s="12">
        <v>12</v>
      </c>
      <c r="K26" s="12">
        <v>37</v>
      </c>
      <c r="L26" s="12">
        <v>25</v>
      </c>
      <c r="M26" s="12">
        <v>10</v>
      </c>
      <c r="N26" s="12">
        <v>24</v>
      </c>
      <c r="O26" s="12">
        <v>59</v>
      </c>
      <c r="P26" s="12">
        <v>16</v>
      </c>
      <c r="Q26" s="12">
        <v>14</v>
      </c>
      <c r="R26" s="12">
        <v>11</v>
      </c>
      <c r="S26" s="12">
        <v>52</v>
      </c>
      <c r="T26" s="12">
        <v>34</v>
      </c>
      <c r="U26" s="12">
        <v>22</v>
      </c>
      <c r="V26" s="12">
        <v>17</v>
      </c>
      <c r="W26" s="12">
        <v>9</v>
      </c>
      <c r="X26" s="12">
        <v>109</v>
      </c>
      <c r="Y26" s="12">
        <v>25</v>
      </c>
      <c r="Z26" s="12">
        <v>13</v>
      </c>
      <c r="AA26" s="12">
        <v>16</v>
      </c>
      <c r="AB26" s="12">
        <v>6</v>
      </c>
      <c r="AC26" s="12">
        <v>36</v>
      </c>
      <c r="AD26" s="12">
        <v>38</v>
      </c>
      <c r="AE26" s="12">
        <v>83</v>
      </c>
      <c r="AF26" s="12">
        <v>85</v>
      </c>
    </row>
    <row r="27" spans="1:32" ht="57" x14ac:dyDescent="0.25">
      <c r="A27" s="19"/>
      <c r="B27" s="13" t="s">
        <v>658</v>
      </c>
      <c r="C27" s="14">
        <v>0.09</v>
      </c>
      <c r="D27" s="14">
        <v>0.1</v>
      </c>
      <c r="E27" s="14">
        <v>0.04</v>
      </c>
      <c r="F27" s="14">
        <v>0.05</v>
      </c>
      <c r="G27" s="14">
        <v>0.19</v>
      </c>
      <c r="H27" s="14">
        <v>0.13</v>
      </c>
      <c r="I27" s="14">
        <v>0.12</v>
      </c>
      <c r="J27" s="14">
        <v>0.09</v>
      </c>
      <c r="K27" s="14">
        <v>0.09</v>
      </c>
      <c r="L27" s="14">
        <v>7.0000000000000007E-2</v>
      </c>
      <c r="M27" s="14">
        <v>0.02</v>
      </c>
      <c r="N27" s="14">
        <v>0.05</v>
      </c>
      <c r="O27" s="14">
        <v>0.12</v>
      </c>
      <c r="P27" s="14">
        <v>0.04</v>
      </c>
      <c r="Q27" s="14">
        <v>0.03</v>
      </c>
      <c r="R27" s="14">
        <v>0.06</v>
      </c>
      <c r="S27" s="14">
        <v>0.12</v>
      </c>
      <c r="T27" s="14">
        <v>7.0000000000000007E-2</v>
      </c>
      <c r="U27" s="14">
        <v>0.12</v>
      </c>
      <c r="V27" s="14">
        <v>0.05</v>
      </c>
      <c r="W27" s="14">
        <v>0.05</v>
      </c>
      <c r="X27" s="14">
        <v>0.23</v>
      </c>
      <c r="Y27" s="14">
        <v>0.06</v>
      </c>
      <c r="Z27" s="14">
        <v>0.04</v>
      </c>
      <c r="AA27" s="14">
        <v>0.03</v>
      </c>
      <c r="AB27" s="14">
        <v>0.01</v>
      </c>
      <c r="AC27" s="14">
        <v>0.08</v>
      </c>
      <c r="AD27" s="14">
        <v>0.09</v>
      </c>
      <c r="AE27" s="14">
        <v>0.18</v>
      </c>
      <c r="AF27" s="14">
        <v>0.22</v>
      </c>
    </row>
    <row r="28" spans="1:32" ht="34.5" x14ac:dyDescent="0.25">
      <c r="A28" s="19"/>
      <c r="B28" s="11" t="s">
        <v>659</v>
      </c>
      <c r="C28" s="12">
        <v>1253</v>
      </c>
      <c r="D28" s="12">
        <v>68</v>
      </c>
      <c r="E28" s="12">
        <v>48</v>
      </c>
      <c r="F28" s="12">
        <v>113</v>
      </c>
      <c r="G28" s="12">
        <v>60</v>
      </c>
      <c r="H28" s="12">
        <v>94</v>
      </c>
      <c r="I28" s="12">
        <v>107</v>
      </c>
      <c r="J28" s="12">
        <v>13</v>
      </c>
      <c r="K28" s="12">
        <v>32</v>
      </c>
      <c r="L28" s="12">
        <v>42</v>
      </c>
      <c r="M28" s="12">
        <v>29</v>
      </c>
      <c r="N28" s="12">
        <v>36</v>
      </c>
      <c r="O28" s="12">
        <v>47</v>
      </c>
      <c r="P28" s="12">
        <v>49</v>
      </c>
      <c r="Q28" s="12">
        <v>40</v>
      </c>
      <c r="R28" s="12">
        <v>23</v>
      </c>
      <c r="S28" s="12">
        <v>31</v>
      </c>
      <c r="T28" s="12">
        <v>23</v>
      </c>
      <c r="U28" s="12">
        <v>41</v>
      </c>
      <c r="V28" s="12">
        <v>44</v>
      </c>
      <c r="W28" s="12">
        <v>45</v>
      </c>
      <c r="X28" s="12">
        <v>65</v>
      </c>
      <c r="Y28" s="12">
        <v>41</v>
      </c>
      <c r="Z28" s="12">
        <v>26</v>
      </c>
      <c r="AA28" s="12">
        <v>18</v>
      </c>
      <c r="AB28" s="12">
        <v>13</v>
      </c>
      <c r="AC28" s="12">
        <v>58</v>
      </c>
      <c r="AD28" s="12">
        <v>42</v>
      </c>
      <c r="AE28" s="12">
        <v>57</v>
      </c>
      <c r="AF28" s="12">
        <v>60</v>
      </c>
    </row>
    <row r="29" spans="1:32" ht="23.25" x14ac:dyDescent="0.25">
      <c r="A29" s="19"/>
      <c r="B29" s="13" t="s">
        <v>660</v>
      </c>
      <c r="C29" s="14">
        <v>0.11</v>
      </c>
      <c r="D29" s="14">
        <v>0.14000000000000001</v>
      </c>
      <c r="E29" s="14">
        <v>0.11</v>
      </c>
      <c r="F29" s="14">
        <v>0.27</v>
      </c>
      <c r="G29" s="14">
        <v>0.14000000000000001</v>
      </c>
      <c r="H29" s="14">
        <v>0.16</v>
      </c>
      <c r="I29" s="14">
        <v>0.15</v>
      </c>
      <c r="J29" s="14">
        <v>0.1</v>
      </c>
      <c r="K29" s="14">
        <v>0.08</v>
      </c>
      <c r="L29" s="14">
        <v>0.11</v>
      </c>
      <c r="M29" s="14">
        <v>0.06</v>
      </c>
      <c r="N29" s="14">
        <v>0.08</v>
      </c>
      <c r="O29" s="14">
        <v>0.1</v>
      </c>
      <c r="P29" s="14">
        <v>0.12</v>
      </c>
      <c r="Q29" s="14">
        <v>0.09</v>
      </c>
      <c r="R29" s="14">
        <v>0.13</v>
      </c>
      <c r="S29" s="14">
        <v>7.0000000000000007E-2</v>
      </c>
      <c r="T29" s="14">
        <v>0.05</v>
      </c>
      <c r="U29" s="14">
        <v>0.21</v>
      </c>
      <c r="V29" s="14">
        <v>0.12</v>
      </c>
      <c r="W29" s="14">
        <v>0.25</v>
      </c>
      <c r="X29" s="14">
        <v>0.14000000000000001</v>
      </c>
      <c r="Y29" s="14">
        <v>0.11</v>
      </c>
      <c r="Z29" s="14">
        <v>7.0000000000000007E-2</v>
      </c>
      <c r="AA29" s="14">
        <v>0.04</v>
      </c>
      <c r="AB29" s="14">
        <v>0.03</v>
      </c>
      <c r="AC29" s="14">
        <v>0.12</v>
      </c>
      <c r="AD29" s="14">
        <v>0.1</v>
      </c>
      <c r="AE29" s="14">
        <v>0.12</v>
      </c>
      <c r="AF29" s="14">
        <v>0.15</v>
      </c>
    </row>
    <row r="30" spans="1:32" ht="57" x14ac:dyDescent="0.25">
      <c r="A30" s="19"/>
      <c r="B30" s="11" t="s">
        <v>661</v>
      </c>
      <c r="C30" s="12">
        <v>514</v>
      </c>
      <c r="D30" s="12">
        <v>40</v>
      </c>
      <c r="E30" s="12">
        <v>16</v>
      </c>
      <c r="F30" s="12">
        <v>14</v>
      </c>
      <c r="G30" s="12">
        <v>18</v>
      </c>
      <c r="H30" s="12">
        <v>11</v>
      </c>
      <c r="I30" s="12">
        <v>17</v>
      </c>
      <c r="J30" s="12">
        <v>6</v>
      </c>
      <c r="K30" s="12">
        <v>18</v>
      </c>
      <c r="L30" s="12">
        <v>9</v>
      </c>
      <c r="M30" s="12">
        <v>34</v>
      </c>
      <c r="N30" s="12">
        <v>16</v>
      </c>
      <c r="O30" s="12">
        <v>36</v>
      </c>
      <c r="P30" s="12">
        <v>5</v>
      </c>
      <c r="Q30" s="12">
        <v>12</v>
      </c>
      <c r="R30" s="12">
        <v>9</v>
      </c>
      <c r="S30" s="12">
        <v>19</v>
      </c>
      <c r="T30" s="12">
        <v>19</v>
      </c>
      <c r="U30" s="12">
        <v>12</v>
      </c>
      <c r="V30" s="12">
        <v>9</v>
      </c>
      <c r="W30" s="12">
        <v>11</v>
      </c>
      <c r="X30" s="12">
        <v>19</v>
      </c>
      <c r="Y30" s="12">
        <v>12</v>
      </c>
      <c r="Z30" s="12">
        <v>36</v>
      </c>
      <c r="AA30" s="12">
        <v>15</v>
      </c>
      <c r="AB30" s="12">
        <v>10</v>
      </c>
      <c r="AC30" s="12">
        <v>25</v>
      </c>
      <c r="AD30" s="12">
        <v>8</v>
      </c>
      <c r="AE30" s="12">
        <v>14</v>
      </c>
      <c r="AF30" s="12">
        <v>20</v>
      </c>
    </row>
    <row r="31" spans="1:32" ht="34.5" x14ac:dyDescent="0.25">
      <c r="A31" s="19"/>
      <c r="B31" s="13" t="s">
        <v>662</v>
      </c>
      <c r="C31" s="14">
        <v>0.04</v>
      </c>
      <c r="D31" s="14">
        <v>0.08</v>
      </c>
      <c r="E31" s="14">
        <v>0.04</v>
      </c>
      <c r="F31" s="14">
        <v>0.03</v>
      </c>
      <c r="G31" s="14">
        <v>0.04</v>
      </c>
      <c r="H31" s="14">
        <v>0.02</v>
      </c>
      <c r="I31" s="14">
        <v>0.02</v>
      </c>
      <c r="J31" s="14">
        <v>0.04</v>
      </c>
      <c r="K31" s="14">
        <v>0.04</v>
      </c>
      <c r="L31" s="14">
        <v>0.02</v>
      </c>
      <c r="M31" s="14">
        <v>0.08</v>
      </c>
      <c r="N31" s="14">
        <v>0.03</v>
      </c>
      <c r="O31" s="14">
        <v>7.0000000000000007E-2</v>
      </c>
      <c r="P31" s="14">
        <v>0.01</v>
      </c>
      <c r="Q31" s="14">
        <v>0.03</v>
      </c>
      <c r="R31" s="14">
        <v>0.05</v>
      </c>
      <c r="S31" s="14">
        <v>0.04</v>
      </c>
      <c r="T31" s="14">
        <v>0.04</v>
      </c>
      <c r="U31" s="14">
        <v>0.06</v>
      </c>
      <c r="V31" s="14">
        <v>0.02</v>
      </c>
      <c r="W31" s="14">
        <v>0.06</v>
      </c>
      <c r="X31" s="14">
        <v>0.04</v>
      </c>
      <c r="Y31" s="14">
        <v>0.03</v>
      </c>
      <c r="Z31" s="14">
        <v>0.09</v>
      </c>
      <c r="AA31" s="14">
        <v>0.03</v>
      </c>
      <c r="AB31" s="14">
        <v>0.02</v>
      </c>
      <c r="AC31" s="14">
        <v>0.05</v>
      </c>
      <c r="AD31" s="14">
        <v>0.02</v>
      </c>
      <c r="AE31" s="14">
        <v>0.03</v>
      </c>
      <c r="AF31" s="14">
        <v>0.05</v>
      </c>
    </row>
    <row r="32" spans="1:32" ht="68.25" x14ac:dyDescent="0.25">
      <c r="A32" s="19"/>
      <c r="B32" s="11" t="s">
        <v>663</v>
      </c>
      <c r="C32" s="12">
        <v>1188</v>
      </c>
      <c r="D32" s="12">
        <v>70</v>
      </c>
      <c r="E32" s="12">
        <v>42</v>
      </c>
      <c r="F32" s="12">
        <v>28</v>
      </c>
      <c r="G32" s="12">
        <v>80</v>
      </c>
      <c r="H32" s="12">
        <v>47</v>
      </c>
      <c r="I32" s="12">
        <v>61</v>
      </c>
      <c r="J32" s="12">
        <v>13</v>
      </c>
      <c r="K32" s="12">
        <v>53</v>
      </c>
      <c r="L32" s="12">
        <v>47</v>
      </c>
      <c r="M32" s="12">
        <v>57</v>
      </c>
      <c r="N32" s="12">
        <v>51</v>
      </c>
      <c r="O32" s="12">
        <v>71</v>
      </c>
      <c r="P32" s="12">
        <v>60</v>
      </c>
      <c r="Q32" s="12">
        <v>17</v>
      </c>
      <c r="R32" s="12">
        <v>24</v>
      </c>
      <c r="S32" s="12">
        <v>65</v>
      </c>
      <c r="T32" s="12">
        <v>57</v>
      </c>
      <c r="U32" s="12">
        <v>23</v>
      </c>
      <c r="V32" s="12">
        <v>11</v>
      </c>
      <c r="W32" s="12">
        <v>15</v>
      </c>
      <c r="X32" s="12">
        <v>93</v>
      </c>
      <c r="Y32" s="12">
        <v>47</v>
      </c>
      <c r="Z32" s="12">
        <v>24</v>
      </c>
      <c r="AA32" s="12">
        <v>46</v>
      </c>
      <c r="AB32" s="12">
        <v>12</v>
      </c>
      <c r="AC32" s="12">
        <v>46</v>
      </c>
      <c r="AD32" s="12">
        <v>71</v>
      </c>
      <c r="AE32" s="12">
        <v>85</v>
      </c>
      <c r="AF32" s="12">
        <v>62</v>
      </c>
    </row>
    <row r="33" spans="1:32" ht="45.75" x14ac:dyDescent="0.25">
      <c r="A33" s="19"/>
      <c r="B33" s="13" t="s">
        <v>664</v>
      </c>
      <c r="C33" s="14">
        <v>0.1</v>
      </c>
      <c r="D33" s="14">
        <v>0.14000000000000001</v>
      </c>
      <c r="E33" s="14">
        <v>0.1</v>
      </c>
      <c r="F33" s="14">
        <v>7.0000000000000007E-2</v>
      </c>
      <c r="G33" s="14">
        <v>0.18</v>
      </c>
      <c r="H33" s="14">
        <v>0.08</v>
      </c>
      <c r="I33" s="14">
        <v>0.09</v>
      </c>
      <c r="J33" s="14">
        <v>0.1</v>
      </c>
      <c r="K33" s="14">
        <v>0.13</v>
      </c>
      <c r="L33" s="14">
        <v>0.13</v>
      </c>
      <c r="M33" s="14">
        <v>0.13</v>
      </c>
      <c r="N33" s="14">
        <v>0.11</v>
      </c>
      <c r="O33" s="14">
        <v>0.14000000000000001</v>
      </c>
      <c r="P33" s="14">
        <v>0.15</v>
      </c>
      <c r="Q33" s="14">
        <v>0.04</v>
      </c>
      <c r="R33" s="14">
        <v>0.13</v>
      </c>
      <c r="S33" s="14">
        <v>0.15</v>
      </c>
      <c r="T33" s="14">
        <v>0.12</v>
      </c>
      <c r="U33" s="14">
        <v>0.12</v>
      </c>
      <c r="V33" s="14">
        <v>0.03</v>
      </c>
      <c r="W33" s="14">
        <v>0.08</v>
      </c>
      <c r="X33" s="14">
        <v>0.2</v>
      </c>
      <c r="Y33" s="14">
        <v>0.12</v>
      </c>
      <c r="Z33" s="14">
        <v>0.06</v>
      </c>
      <c r="AA33" s="14">
        <v>0.1</v>
      </c>
      <c r="AB33" s="14">
        <v>0.03</v>
      </c>
      <c r="AC33" s="14">
        <v>0.1</v>
      </c>
      <c r="AD33" s="14">
        <v>0.17</v>
      </c>
      <c r="AE33" s="14">
        <v>0.18</v>
      </c>
      <c r="AF33" s="14">
        <v>0.16</v>
      </c>
    </row>
    <row r="34" spans="1:32" ht="23.25" x14ac:dyDescent="0.25">
      <c r="A34" s="19"/>
      <c r="B34" s="11" t="s">
        <v>665</v>
      </c>
      <c r="C34" s="12">
        <v>264</v>
      </c>
      <c r="D34" s="12">
        <v>14</v>
      </c>
      <c r="E34" s="12">
        <v>24</v>
      </c>
      <c r="F34" s="12">
        <v>3</v>
      </c>
      <c r="G34" s="12">
        <v>4</v>
      </c>
      <c r="H34" s="12">
        <v>18</v>
      </c>
      <c r="I34" s="12">
        <v>22</v>
      </c>
      <c r="J34" s="12">
        <v>4</v>
      </c>
      <c r="K34" s="12">
        <v>6</v>
      </c>
      <c r="L34" s="12">
        <v>20</v>
      </c>
      <c r="M34" s="12">
        <v>2</v>
      </c>
      <c r="N34" s="12">
        <v>4</v>
      </c>
      <c r="O34" s="12">
        <v>16</v>
      </c>
      <c r="P34" s="12">
        <v>17</v>
      </c>
      <c r="Q34" s="12">
        <v>4</v>
      </c>
      <c r="R34" s="12">
        <v>2</v>
      </c>
      <c r="S34" s="12">
        <v>18</v>
      </c>
      <c r="T34" s="12">
        <v>16</v>
      </c>
      <c r="U34" s="12">
        <v>4</v>
      </c>
      <c r="V34" s="12">
        <v>14</v>
      </c>
      <c r="W34" s="12">
        <v>11</v>
      </c>
      <c r="X34" s="12">
        <v>8</v>
      </c>
      <c r="Y34" s="12">
        <v>13</v>
      </c>
      <c r="Z34" s="12">
        <v>7</v>
      </c>
      <c r="AA34" s="12">
        <v>5</v>
      </c>
      <c r="AB34" s="12">
        <v>15</v>
      </c>
      <c r="AC34" s="12">
        <v>13</v>
      </c>
      <c r="AD34" s="12">
        <v>13</v>
      </c>
      <c r="AE34" s="12">
        <v>9</v>
      </c>
      <c r="AF34" s="12">
        <v>7</v>
      </c>
    </row>
    <row r="35" spans="1:32" ht="23.25" x14ac:dyDescent="0.25">
      <c r="A35" s="19"/>
      <c r="B35" s="13" t="s">
        <v>666</v>
      </c>
      <c r="C35" s="14">
        <v>0.02</v>
      </c>
      <c r="D35" s="14">
        <v>0.03</v>
      </c>
      <c r="E35" s="14">
        <v>0.06</v>
      </c>
      <c r="F35" s="14">
        <v>0.01</v>
      </c>
      <c r="G35" s="14">
        <v>0.01</v>
      </c>
      <c r="H35" s="14">
        <v>0.03</v>
      </c>
      <c r="I35" s="14">
        <v>0.03</v>
      </c>
      <c r="J35" s="14">
        <v>0.03</v>
      </c>
      <c r="K35" s="14">
        <v>0.02</v>
      </c>
      <c r="L35" s="14">
        <v>0.05</v>
      </c>
      <c r="M35" s="15" t="s">
        <v>213</v>
      </c>
      <c r="N35" s="14">
        <v>0.01</v>
      </c>
      <c r="O35" s="14">
        <v>0.03</v>
      </c>
      <c r="P35" s="14">
        <v>0.04</v>
      </c>
      <c r="Q35" s="14">
        <v>0.01</v>
      </c>
      <c r="R35" s="14">
        <v>0.01</v>
      </c>
      <c r="S35" s="14">
        <v>0.04</v>
      </c>
      <c r="T35" s="14">
        <v>0.03</v>
      </c>
      <c r="U35" s="14">
        <v>0.02</v>
      </c>
      <c r="V35" s="14">
        <v>0.04</v>
      </c>
      <c r="W35" s="14">
        <v>0.06</v>
      </c>
      <c r="X35" s="14">
        <v>0.02</v>
      </c>
      <c r="Y35" s="14">
        <v>0.04</v>
      </c>
      <c r="Z35" s="14">
        <v>0.02</v>
      </c>
      <c r="AA35" s="14">
        <v>0.01</v>
      </c>
      <c r="AB35" s="14">
        <v>0.04</v>
      </c>
      <c r="AC35" s="14">
        <v>0.03</v>
      </c>
      <c r="AD35" s="14">
        <v>0.03</v>
      </c>
      <c r="AE35" s="14">
        <v>0.02</v>
      </c>
      <c r="AF35" s="14">
        <v>0.02</v>
      </c>
    </row>
    <row r="36" spans="1:32" x14ac:dyDescent="0.25">
      <c r="A36" s="19"/>
      <c r="B36" s="11" t="s">
        <v>667</v>
      </c>
      <c r="C36" s="12">
        <v>2303</v>
      </c>
      <c r="D36" s="12">
        <v>67</v>
      </c>
      <c r="E36" s="12">
        <v>94</v>
      </c>
      <c r="F36" s="12">
        <v>84</v>
      </c>
      <c r="G36" s="12">
        <v>46</v>
      </c>
      <c r="H36" s="12">
        <v>88</v>
      </c>
      <c r="I36" s="12">
        <v>124</v>
      </c>
      <c r="J36" s="12">
        <v>36</v>
      </c>
      <c r="K36" s="12">
        <v>88</v>
      </c>
      <c r="L36" s="12">
        <v>65</v>
      </c>
      <c r="M36" s="12">
        <v>74</v>
      </c>
      <c r="N36" s="12">
        <v>117</v>
      </c>
      <c r="O36" s="12">
        <v>79</v>
      </c>
      <c r="P36" s="12">
        <v>101</v>
      </c>
      <c r="Q36" s="12">
        <v>58</v>
      </c>
      <c r="R36" s="12">
        <v>25</v>
      </c>
      <c r="S36" s="12">
        <v>84</v>
      </c>
      <c r="T36" s="12">
        <v>130</v>
      </c>
      <c r="U36" s="12">
        <v>19</v>
      </c>
      <c r="V36" s="12">
        <v>126</v>
      </c>
      <c r="W36" s="12">
        <v>27</v>
      </c>
      <c r="X36" s="12">
        <v>20</v>
      </c>
      <c r="Y36" s="12">
        <v>74</v>
      </c>
      <c r="Z36" s="12">
        <v>153</v>
      </c>
      <c r="AA36" s="12">
        <v>138</v>
      </c>
      <c r="AB36" s="12">
        <v>153</v>
      </c>
      <c r="AC36" s="12">
        <v>93</v>
      </c>
      <c r="AD36" s="12">
        <v>88</v>
      </c>
      <c r="AE36" s="12">
        <v>66</v>
      </c>
      <c r="AF36" s="12">
        <v>30</v>
      </c>
    </row>
    <row r="37" spans="1:32" ht="23.25" x14ac:dyDescent="0.25">
      <c r="A37" s="19"/>
      <c r="B37" s="13" t="s">
        <v>668</v>
      </c>
      <c r="C37" s="14">
        <v>0.2</v>
      </c>
      <c r="D37" s="14">
        <v>0.14000000000000001</v>
      </c>
      <c r="E37" s="14">
        <v>0.22</v>
      </c>
      <c r="F37" s="14">
        <v>0.2</v>
      </c>
      <c r="G37" s="14">
        <v>0.11</v>
      </c>
      <c r="H37" s="14">
        <v>0.15</v>
      </c>
      <c r="I37" s="14">
        <v>0.18</v>
      </c>
      <c r="J37" s="14">
        <v>0.28000000000000003</v>
      </c>
      <c r="K37" s="14">
        <v>0.21</v>
      </c>
      <c r="L37" s="14">
        <v>0.18</v>
      </c>
      <c r="M37" s="14">
        <v>0.16</v>
      </c>
      <c r="N37" s="14">
        <v>0.25</v>
      </c>
      <c r="O37" s="14">
        <v>0.16</v>
      </c>
      <c r="P37" s="14">
        <v>0.25</v>
      </c>
      <c r="Q37" s="14">
        <v>0.13</v>
      </c>
      <c r="R37" s="14">
        <v>0.14000000000000001</v>
      </c>
      <c r="S37" s="14">
        <v>0.2</v>
      </c>
      <c r="T37" s="14">
        <v>0.26</v>
      </c>
      <c r="U37" s="14">
        <v>0.1</v>
      </c>
      <c r="V37" s="14">
        <v>0.36</v>
      </c>
      <c r="W37" s="14">
        <v>0.15</v>
      </c>
      <c r="X37" s="14">
        <v>0.04</v>
      </c>
      <c r="Y37" s="14">
        <v>0.19</v>
      </c>
      <c r="Z37" s="14">
        <v>0.4</v>
      </c>
      <c r="AA37" s="14">
        <v>0.31</v>
      </c>
      <c r="AB37" s="14">
        <v>0.35</v>
      </c>
      <c r="AC37" s="14">
        <v>0.2</v>
      </c>
      <c r="AD37" s="14">
        <v>0.21</v>
      </c>
      <c r="AE37" s="14">
        <v>0.14000000000000001</v>
      </c>
      <c r="AF37" s="14">
        <v>0.08</v>
      </c>
    </row>
    <row r="38" spans="1:32" ht="34.5" x14ac:dyDescent="0.25">
      <c r="A38" s="19"/>
      <c r="B38" s="11" t="s">
        <v>669</v>
      </c>
      <c r="C38" s="12">
        <v>1480</v>
      </c>
      <c r="D38" s="12">
        <v>31</v>
      </c>
      <c r="E38" s="12">
        <v>81</v>
      </c>
      <c r="F38" s="12">
        <v>47</v>
      </c>
      <c r="G38" s="12">
        <v>88</v>
      </c>
      <c r="H38" s="12">
        <v>74</v>
      </c>
      <c r="I38" s="12">
        <v>87</v>
      </c>
      <c r="J38" s="12">
        <v>14</v>
      </c>
      <c r="K38" s="12">
        <v>55</v>
      </c>
      <c r="L38" s="12">
        <v>79</v>
      </c>
      <c r="M38" s="12">
        <v>48</v>
      </c>
      <c r="N38" s="12">
        <v>92</v>
      </c>
      <c r="O38" s="12">
        <v>41</v>
      </c>
      <c r="P38" s="12">
        <v>62</v>
      </c>
      <c r="Q38" s="12">
        <v>63</v>
      </c>
      <c r="R38" s="12">
        <v>15</v>
      </c>
      <c r="S38" s="12">
        <v>66</v>
      </c>
      <c r="T38" s="12">
        <v>85</v>
      </c>
      <c r="U38" s="12">
        <v>8</v>
      </c>
      <c r="V38" s="12">
        <v>51</v>
      </c>
      <c r="W38" s="12">
        <v>24</v>
      </c>
      <c r="X38" s="12">
        <v>61</v>
      </c>
      <c r="Y38" s="12">
        <v>57</v>
      </c>
      <c r="Z38" s="12">
        <v>16</v>
      </c>
      <c r="AA38" s="12">
        <v>76</v>
      </c>
      <c r="AB38" s="12">
        <v>89</v>
      </c>
      <c r="AC38" s="12">
        <v>62</v>
      </c>
      <c r="AD38" s="12">
        <v>46</v>
      </c>
      <c r="AE38" s="12">
        <v>38</v>
      </c>
      <c r="AF38" s="12">
        <v>22</v>
      </c>
    </row>
    <row r="39" spans="1:32" ht="34.5" x14ac:dyDescent="0.25">
      <c r="A39" s="19"/>
      <c r="B39" s="13" t="s">
        <v>670</v>
      </c>
      <c r="C39" s="14">
        <v>0.13</v>
      </c>
      <c r="D39" s="14">
        <v>0.06</v>
      </c>
      <c r="E39" s="14">
        <v>0.19</v>
      </c>
      <c r="F39" s="14">
        <v>0.11</v>
      </c>
      <c r="G39" s="14">
        <v>0.2</v>
      </c>
      <c r="H39" s="14">
        <v>0.13</v>
      </c>
      <c r="I39" s="14">
        <v>0.12</v>
      </c>
      <c r="J39" s="14">
        <v>0.11</v>
      </c>
      <c r="K39" s="14">
        <v>0.13</v>
      </c>
      <c r="L39" s="14">
        <v>0.21</v>
      </c>
      <c r="M39" s="14">
        <v>0.11</v>
      </c>
      <c r="N39" s="14">
        <v>0.2</v>
      </c>
      <c r="O39" s="14">
        <v>0.08</v>
      </c>
      <c r="P39" s="14">
        <v>0.15</v>
      </c>
      <c r="Q39" s="14">
        <v>0.14000000000000001</v>
      </c>
      <c r="R39" s="14">
        <v>0.08</v>
      </c>
      <c r="S39" s="14">
        <v>0.16</v>
      </c>
      <c r="T39" s="14">
        <v>0.17</v>
      </c>
      <c r="U39" s="14">
        <v>0.04</v>
      </c>
      <c r="V39" s="14">
        <v>0.15</v>
      </c>
      <c r="W39" s="14">
        <v>0.13</v>
      </c>
      <c r="X39" s="14">
        <v>0.13</v>
      </c>
      <c r="Y39" s="14">
        <v>0.15</v>
      </c>
      <c r="Z39" s="14">
        <v>0.04</v>
      </c>
      <c r="AA39" s="14">
        <v>0.17</v>
      </c>
      <c r="AB39" s="14">
        <v>0.2</v>
      </c>
      <c r="AC39" s="14">
        <v>0.13</v>
      </c>
      <c r="AD39" s="14">
        <v>0.11</v>
      </c>
      <c r="AE39" s="14">
        <v>0.08</v>
      </c>
      <c r="AF39" s="14">
        <v>0.06</v>
      </c>
    </row>
    <row r="40" spans="1:32" ht="34.5" x14ac:dyDescent="0.25">
      <c r="A40" s="19"/>
      <c r="B40" s="11" t="s">
        <v>693</v>
      </c>
      <c r="C40" s="12">
        <v>2348</v>
      </c>
      <c r="D40" s="12">
        <v>106</v>
      </c>
      <c r="E40" s="12">
        <v>61</v>
      </c>
      <c r="F40" s="12">
        <v>73</v>
      </c>
      <c r="G40" s="12">
        <v>14</v>
      </c>
      <c r="H40" s="12">
        <v>99</v>
      </c>
      <c r="I40" s="12">
        <v>118</v>
      </c>
      <c r="J40" s="12">
        <v>19</v>
      </c>
      <c r="K40" s="12">
        <v>71</v>
      </c>
      <c r="L40" s="12">
        <v>51</v>
      </c>
      <c r="M40" s="12">
        <v>105</v>
      </c>
      <c r="N40" s="12">
        <v>75</v>
      </c>
      <c r="O40" s="12">
        <v>95</v>
      </c>
      <c r="P40" s="12">
        <v>77</v>
      </c>
      <c r="Q40" s="12">
        <v>183</v>
      </c>
      <c r="R40" s="12">
        <v>45</v>
      </c>
      <c r="S40" s="12">
        <v>38</v>
      </c>
      <c r="T40" s="12">
        <v>76</v>
      </c>
      <c r="U40" s="12">
        <v>34</v>
      </c>
      <c r="V40" s="12">
        <v>63</v>
      </c>
      <c r="W40" s="12">
        <v>22</v>
      </c>
      <c r="X40" s="12">
        <v>24</v>
      </c>
      <c r="Y40" s="12">
        <v>71</v>
      </c>
      <c r="Z40" s="12">
        <v>63</v>
      </c>
      <c r="AA40" s="12">
        <v>102</v>
      </c>
      <c r="AB40" s="12">
        <v>116</v>
      </c>
      <c r="AC40" s="12">
        <v>79</v>
      </c>
      <c r="AD40" s="12">
        <v>83</v>
      </c>
      <c r="AE40" s="12">
        <v>34</v>
      </c>
      <c r="AF40" s="12">
        <v>19</v>
      </c>
    </row>
    <row r="41" spans="1:32" x14ac:dyDescent="0.25">
      <c r="A41" s="19"/>
      <c r="B41" s="13" t="s">
        <v>694</v>
      </c>
      <c r="C41" s="14">
        <v>0.2</v>
      </c>
      <c r="D41" s="14">
        <v>0.21</v>
      </c>
      <c r="E41" s="14">
        <v>0.15</v>
      </c>
      <c r="F41" s="14">
        <v>0.18</v>
      </c>
      <c r="G41" s="14">
        <v>0.03</v>
      </c>
      <c r="H41" s="14">
        <v>0.17</v>
      </c>
      <c r="I41" s="14">
        <v>0.17</v>
      </c>
      <c r="J41" s="14">
        <v>0.15</v>
      </c>
      <c r="K41" s="14">
        <v>0.17</v>
      </c>
      <c r="L41" s="14">
        <v>0.14000000000000001</v>
      </c>
      <c r="M41" s="14">
        <v>0.23</v>
      </c>
      <c r="N41" s="14">
        <v>0.16</v>
      </c>
      <c r="O41" s="14">
        <v>0.19</v>
      </c>
      <c r="P41" s="14">
        <v>0.18</v>
      </c>
      <c r="Q41" s="14">
        <v>0.4</v>
      </c>
      <c r="R41" s="14">
        <v>0.25</v>
      </c>
      <c r="S41" s="14">
        <v>0.09</v>
      </c>
      <c r="T41" s="14">
        <v>0.16</v>
      </c>
      <c r="U41" s="14">
        <v>0.18</v>
      </c>
      <c r="V41" s="14">
        <v>0.18</v>
      </c>
      <c r="W41" s="14">
        <v>0.12</v>
      </c>
      <c r="X41" s="14">
        <v>0.05</v>
      </c>
      <c r="Y41" s="14">
        <v>0.18</v>
      </c>
      <c r="Z41" s="14">
        <v>0.17</v>
      </c>
      <c r="AA41" s="14">
        <v>0.23</v>
      </c>
      <c r="AB41" s="14">
        <v>0.26</v>
      </c>
      <c r="AC41" s="14">
        <v>0.17</v>
      </c>
      <c r="AD41" s="14">
        <v>0.2</v>
      </c>
      <c r="AE41" s="14">
        <v>7.0000000000000007E-2</v>
      </c>
      <c r="AF41" s="14">
        <v>0.05</v>
      </c>
    </row>
  </sheetData>
  <mergeCells count="9">
    <mergeCell ref="H3:L3"/>
    <mergeCell ref="C8:AF8"/>
    <mergeCell ref="B3:F3"/>
    <mergeCell ref="B5:F5"/>
    <mergeCell ref="A10:A41"/>
    <mergeCell ref="H5:L5"/>
    <mergeCell ref="B10:B11"/>
    <mergeCell ref="H4:L4"/>
    <mergeCell ref="B4:F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1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123</v>
      </c>
      <c r="C3" s="18"/>
      <c r="D3" s="18"/>
      <c r="E3" s="18"/>
      <c r="F3" s="18"/>
      <c r="H3" s="18" t="s">
        <v>124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691</v>
      </c>
      <c r="C5" s="18"/>
      <c r="D5" s="18"/>
      <c r="E5" s="18"/>
      <c r="F5" s="18"/>
      <c r="H5" s="18" t="s">
        <v>692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11720</v>
      </c>
      <c r="D10" s="10">
        <v>497</v>
      </c>
      <c r="E10" s="10">
        <v>418</v>
      </c>
      <c r="F10" s="10">
        <v>417</v>
      </c>
      <c r="G10" s="10">
        <v>442</v>
      </c>
      <c r="H10" s="10">
        <v>575</v>
      </c>
      <c r="I10" s="10">
        <v>705</v>
      </c>
      <c r="J10" s="10">
        <v>130</v>
      </c>
      <c r="K10" s="10">
        <v>419</v>
      </c>
      <c r="L10" s="10">
        <v>369</v>
      </c>
      <c r="M10" s="10">
        <v>452</v>
      </c>
      <c r="N10" s="10">
        <v>467</v>
      </c>
      <c r="O10" s="10">
        <v>495</v>
      </c>
      <c r="P10" s="10">
        <v>412</v>
      </c>
      <c r="Q10" s="10">
        <v>453</v>
      </c>
      <c r="R10" s="10">
        <v>182</v>
      </c>
      <c r="S10" s="10">
        <v>430</v>
      </c>
      <c r="T10" s="10">
        <v>490</v>
      </c>
      <c r="U10" s="10">
        <v>190</v>
      </c>
      <c r="V10" s="10">
        <v>352</v>
      </c>
      <c r="W10" s="10">
        <v>180</v>
      </c>
      <c r="X10" s="10">
        <v>468</v>
      </c>
      <c r="Y10" s="10">
        <v>386</v>
      </c>
      <c r="Z10" s="10">
        <v>381</v>
      </c>
      <c r="AA10" s="10">
        <v>448</v>
      </c>
      <c r="AB10" s="10">
        <v>444</v>
      </c>
      <c r="AC10" s="10">
        <v>468</v>
      </c>
      <c r="AD10" s="10">
        <v>419</v>
      </c>
      <c r="AE10" s="10">
        <v>464</v>
      </c>
      <c r="AF10" s="10">
        <v>387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671</v>
      </c>
      <c r="C12" s="12">
        <v>910</v>
      </c>
      <c r="D12" s="12">
        <v>33</v>
      </c>
      <c r="E12" s="12">
        <v>24</v>
      </c>
      <c r="F12" s="12">
        <v>22</v>
      </c>
      <c r="G12" s="12">
        <v>29</v>
      </c>
      <c r="H12" s="12">
        <v>44</v>
      </c>
      <c r="I12" s="12">
        <v>51</v>
      </c>
      <c r="J12" s="12">
        <v>7</v>
      </c>
      <c r="K12" s="12">
        <v>18</v>
      </c>
      <c r="L12" s="12">
        <v>14</v>
      </c>
      <c r="M12" s="12">
        <v>86</v>
      </c>
      <c r="N12" s="12">
        <v>35</v>
      </c>
      <c r="O12" s="12">
        <v>31</v>
      </c>
      <c r="P12" s="12">
        <v>21</v>
      </c>
      <c r="Q12" s="12">
        <v>56</v>
      </c>
      <c r="R12" s="12">
        <v>19</v>
      </c>
      <c r="S12" s="12">
        <v>17</v>
      </c>
      <c r="T12" s="12">
        <v>12</v>
      </c>
      <c r="U12" s="12">
        <v>12</v>
      </c>
      <c r="V12" s="12">
        <v>11</v>
      </c>
      <c r="W12" s="12">
        <v>10</v>
      </c>
      <c r="X12" s="12">
        <v>33</v>
      </c>
      <c r="Y12" s="12">
        <v>35</v>
      </c>
      <c r="Z12" s="12">
        <v>35</v>
      </c>
      <c r="AA12" s="12">
        <v>27</v>
      </c>
      <c r="AB12" s="12">
        <v>14</v>
      </c>
      <c r="AC12" s="12">
        <v>36</v>
      </c>
      <c r="AD12" s="12">
        <v>18</v>
      </c>
      <c r="AE12" s="12">
        <v>44</v>
      </c>
      <c r="AF12" s="12">
        <v>25</v>
      </c>
    </row>
    <row r="13" spans="1:32" x14ac:dyDescent="0.25">
      <c r="A13" s="19"/>
      <c r="B13" s="13" t="s">
        <v>672</v>
      </c>
      <c r="C13" s="14">
        <v>0.08</v>
      </c>
      <c r="D13" s="14">
        <v>7.0000000000000007E-2</v>
      </c>
      <c r="E13" s="14">
        <v>0.06</v>
      </c>
      <c r="F13" s="14">
        <v>0.05</v>
      </c>
      <c r="G13" s="14">
        <v>7.0000000000000007E-2</v>
      </c>
      <c r="H13" s="14">
        <v>0.08</v>
      </c>
      <c r="I13" s="14">
        <v>7.0000000000000007E-2</v>
      </c>
      <c r="J13" s="14">
        <v>0.06</v>
      </c>
      <c r="K13" s="14">
        <v>0.04</v>
      </c>
      <c r="L13" s="14">
        <v>0.04</v>
      </c>
      <c r="M13" s="14">
        <v>0.19</v>
      </c>
      <c r="N13" s="14">
        <v>0.08</v>
      </c>
      <c r="O13" s="14">
        <v>0.06</v>
      </c>
      <c r="P13" s="14">
        <v>0.05</v>
      </c>
      <c r="Q13" s="14">
        <v>0.12</v>
      </c>
      <c r="R13" s="14">
        <v>0.1</v>
      </c>
      <c r="S13" s="14">
        <v>0.04</v>
      </c>
      <c r="T13" s="14">
        <v>0.02</v>
      </c>
      <c r="U13" s="14">
        <v>0.06</v>
      </c>
      <c r="V13" s="14">
        <v>0.03</v>
      </c>
      <c r="W13" s="14">
        <v>0.06</v>
      </c>
      <c r="X13" s="14">
        <v>7.0000000000000007E-2</v>
      </c>
      <c r="Y13" s="14">
        <v>0.09</v>
      </c>
      <c r="Z13" s="14">
        <v>0.09</v>
      </c>
      <c r="AA13" s="14">
        <v>0.06</v>
      </c>
      <c r="AB13" s="14">
        <v>0.03</v>
      </c>
      <c r="AC13" s="14">
        <v>0.08</v>
      </c>
      <c r="AD13" s="14">
        <v>0.04</v>
      </c>
      <c r="AE13" s="14">
        <v>0.09</v>
      </c>
      <c r="AF13" s="14">
        <v>0.06</v>
      </c>
    </row>
    <row r="14" spans="1:32" x14ac:dyDescent="0.25">
      <c r="A14" s="19"/>
      <c r="B14" s="11" t="s">
        <v>673</v>
      </c>
      <c r="C14" s="12">
        <v>8462</v>
      </c>
      <c r="D14" s="12">
        <v>359</v>
      </c>
      <c r="E14" s="12">
        <v>332</v>
      </c>
      <c r="F14" s="12">
        <v>322</v>
      </c>
      <c r="G14" s="12">
        <v>399</v>
      </c>
      <c r="H14" s="12">
        <v>433</v>
      </c>
      <c r="I14" s="12">
        <v>536</v>
      </c>
      <c r="J14" s="12">
        <v>104</v>
      </c>
      <c r="K14" s="12">
        <v>330</v>
      </c>
      <c r="L14" s="12">
        <v>304</v>
      </c>
      <c r="M14" s="12">
        <v>261</v>
      </c>
      <c r="N14" s="12">
        <v>358</v>
      </c>
      <c r="O14" s="12">
        <v>369</v>
      </c>
      <c r="P14" s="12">
        <v>314</v>
      </c>
      <c r="Q14" s="12">
        <v>214</v>
      </c>
      <c r="R14" s="12">
        <v>118</v>
      </c>
      <c r="S14" s="12">
        <v>374</v>
      </c>
      <c r="T14" s="12">
        <v>402</v>
      </c>
      <c r="U14" s="12">
        <v>144</v>
      </c>
      <c r="V14" s="12">
        <v>279</v>
      </c>
      <c r="W14" s="12">
        <v>148</v>
      </c>
      <c r="X14" s="12">
        <v>411</v>
      </c>
      <c r="Y14" s="12">
        <v>280</v>
      </c>
      <c r="Z14" s="12">
        <v>283</v>
      </c>
      <c r="AA14" s="12">
        <v>319</v>
      </c>
      <c r="AB14" s="12">
        <v>314</v>
      </c>
      <c r="AC14" s="12">
        <v>352</v>
      </c>
      <c r="AD14" s="12">
        <v>318</v>
      </c>
      <c r="AE14" s="12">
        <v>386</v>
      </c>
      <c r="AF14" s="12">
        <v>343</v>
      </c>
    </row>
    <row r="15" spans="1:32" x14ac:dyDescent="0.25">
      <c r="A15" s="19"/>
      <c r="B15" s="13" t="s">
        <v>674</v>
      </c>
      <c r="C15" s="14">
        <v>0.72</v>
      </c>
      <c r="D15" s="14">
        <v>0.72</v>
      </c>
      <c r="E15" s="14">
        <v>0.79</v>
      </c>
      <c r="F15" s="14">
        <v>0.77</v>
      </c>
      <c r="G15" s="14">
        <v>0.9</v>
      </c>
      <c r="H15" s="14">
        <v>0.75</v>
      </c>
      <c r="I15" s="14">
        <v>0.76</v>
      </c>
      <c r="J15" s="14">
        <v>0.79</v>
      </c>
      <c r="K15" s="14">
        <v>0.79</v>
      </c>
      <c r="L15" s="14">
        <v>0.82000000000000006</v>
      </c>
      <c r="M15" s="14">
        <v>0.57999999999999996</v>
      </c>
      <c r="N15" s="14">
        <v>0.76</v>
      </c>
      <c r="O15" s="14">
        <v>0.75</v>
      </c>
      <c r="P15" s="14">
        <v>0.76</v>
      </c>
      <c r="Q15" s="14">
        <v>0.47</v>
      </c>
      <c r="R15" s="14">
        <v>0.65</v>
      </c>
      <c r="S15" s="14">
        <v>0.87</v>
      </c>
      <c r="T15" s="14">
        <v>0.82000000000000006</v>
      </c>
      <c r="U15" s="14">
        <v>0.76</v>
      </c>
      <c r="V15" s="14">
        <v>0.79</v>
      </c>
      <c r="W15" s="14">
        <v>0.82000000000000006</v>
      </c>
      <c r="X15" s="14">
        <v>0.88</v>
      </c>
      <c r="Y15" s="14">
        <v>0.73</v>
      </c>
      <c r="Z15" s="14">
        <v>0.74</v>
      </c>
      <c r="AA15" s="14">
        <v>0.71</v>
      </c>
      <c r="AB15" s="14">
        <v>0.71</v>
      </c>
      <c r="AC15" s="14">
        <v>0.75</v>
      </c>
      <c r="AD15" s="14">
        <v>0.76</v>
      </c>
      <c r="AE15" s="14">
        <v>0.83000000000000007</v>
      </c>
      <c r="AF15" s="14">
        <v>0.89</v>
      </c>
    </row>
    <row r="16" spans="1:32" x14ac:dyDescent="0.25">
      <c r="A16" s="19"/>
      <c r="B16" s="11" t="s">
        <v>675</v>
      </c>
      <c r="C16" s="12">
        <v>2348</v>
      </c>
      <c r="D16" s="12">
        <v>106</v>
      </c>
      <c r="E16" s="12">
        <v>61</v>
      </c>
      <c r="F16" s="12">
        <v>73</v>
      </c>
      <c r="G16" s="12">
        <v>14</v>
      </c>
      <c r="H16" s="12">
        <v>99</v>
      </c>
      <c r="I16" s="12">
        <v>118</v>
      </c>
      <c r="J16" s="12">
        <v>19</v>
      </c>
      <c r="K16" s="12">
        <v>71</v>
      </c>
      <c r="L16" s="12">
        <v>51</v>
      </c>
      <c r="M16" s="12">
        <v>105</v>
      </c>
      <c r="N16" s="12">
        <v>75</v>
      </c>
      <c r="O16" s="12">
        <v>95</v>
      </c>
      <c r="P16" s="12">
        <v>77</v>
      </c>
      <c r="Q16" s="12">
        <v>183</v>
      </c>
      <c r="R16" s="12">
        <v>45</v>
      </c>
      <c r="S16" s="12">
        <v>38</v>
      </c>
      <c r="T16" s="12">
        <v>76</v>
      </c>
      <c r="U16" s="12">
        <v>34</v>
      </c>
      <c r="V16" s="12">
        <v>63</v>
      </c>
      <c r="W16" s="12">
        <v>22</v>
      </c>
      <c r="X16" s="12">
        <v>24</v>
      </c>
      <c r="Y16" s="12">
        <v>71</v>
      </c>
      <c r="Z16" s="12">
        <v>63</v>
      </c>
      <c r="AA16" s="12">
        <v>102</v>
      </c>
      <c r="AB16" s="12">
        <v>116</v>
      </c>
      <c r="AC16" s="12">
        <v>79</v>
      </c>
      <c r="AD16" s="12">
        <v>83</v>
      </c>
      <c r="AE16" s="12">
        <v>34</v>
      </c>
      <c r="AF16" s="12">
        <v>19</v>
      </c>
    </row>
    <row r="17" spans="1:32" x14ac:dyDescent="0.25">
      <c r="A17" s="19"/>
      <c r="B17" s="13" t="s">
        <v>676</v>
      </c>
      <c r="C17" s="14">
        <v>0.2</v>
      </c>
      <c r="D17" s="14">
        <v>0.21</v>
      </c>
      <c r="E17" s="14">
        <v>0.15</v>
      </c>
      <c r="F17" s="14">
        <v>0.18</v>
      </c>
      <c r="G17" s="14">
        <v>0.03</v>
      </c>
      <c r="H17" s="14">
        <v>0.17</v>
      </c>
      <c r="I17" s="14">
        <v>0.17</v>
      </c>
      <c r="J17" s="14">
        <v>0.15</v>
      </c>
      <c r="K17" s="14">
        <v>0.17</v>
      </c>
      <c r="L17" s="14">
        <v>0.14000000000000001</v>
      </c>
      <c r="M17" s="14">
        <v>0.23</v>
      </c>
      <c r="N17" s="14">
        <v>0.16</v>
      </c>
      <c r="O17" s="14">
        <v>0.19</v>
      </c>
      <c r="P17" s="14">
        <v>0.19</v>
      </c>
      <c r="Q17" s="14">
        <v>0.41</v>
      </c>
      <c r="R17" s="14">
        <v>0.25</v>
      </c>
      <c r="S17" s="14">
        <v>0.09</v>
      </c>
      <c r="T17" s="14">
        <v>0.16</v>
      </c>
      <c r="U17" s="14">
        <v>0.18</v>
      </c>
      <c r="V17" s="14">
        <v>0.18</v>
      </c>
      <c r="W17" s="14">
        <v>0.12</v>
      </c>
      <c r="X17" s="14">
        <v>0.05</v>
      </c>
      <c r="Y17" s="14">
        <v>0.18</v>
      </c>
      <c r="Z17" s="14">
        <v>0.17</v>
      </c>
      <c r="AA17" s="14">
        <v>0.23</v>
      </c>
      <c r="AB17" s="14">
        <v>0.26</v>
      </c>
      <c r="AC17" s="14">
        <v>0.17</v>
      </c>
      <c r="AD17" s="14">
        <v>0.2</v>
      </c>
      <c r="AE17" s="14">
        <v>0.08</v>
      </c>
      <c r="AF17" s="14">
        <v>0.05</v>
      </c>
    </row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125</v>
      </c>
      <c r="C3" s="18"/>
      <c r="D3" s="18"/>
      <c r="E3" s="18"/>
      <c r="F3" s="18"/>
      <c r="H3" s="18" t="s">
        <v>126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695</v>
      </c>
      <c r="C12" s="12">
        <v>8320</v>
      </c>
      <c r="D12" s="12">
        <v>318</v>
      </c>
      <c r="E12" s="12">
        <v>350</v>
      </c>
      <c r="F12" s="12">
        <v>466</v>
      </c>
      <c r="G12" s="12">
        <v>269</v>
      </c>
      <c r="H12" s="12">
        <v>433</v>
      </c>
      <c r="I12" s="12">
        <v>500</v>
      </c>
      <c r="J12" s="12">
        <v>68</v>
      </c>
      <c r="K12" s="12">
        <v>304</v>
      </c>
      <c r="L12" s="12">
        <v>344</v>
      </c>
      <c r="M12" s="12">
        <v>305</v>
      </c>
      <c r="N12" s="12">
        <v>429</v>
      </c>
      <c r="O12" s="12">
        <v>264</v>
      </c>
      <c r="P12" s="12">
        <v>440</v>
      </c>
      <c r="Q12" s="12">
        <v>118</v>
      </c>
      <c r="R12" s="12">
        <v>171</v>
      </c>
      <c r="S12" s="12">
        <v>271</v>
      </c>
      <c r="T12" s="12">
        <v>366</v>
      </c>
      <c r="U12" s="12">
        <v>129</v>
      </c>
      <c r="V12" s="12">
        <v>284</v>
      </c>
      <c r="W12" s="12">
        <v>201</v>
      </c>
      <c r="X12" s="12">
        <v>361</v>
      </c>
      <c r="Y12" s="12">
        <v>465</v>
      </c>
      <c r="Z12" s="12">
        <v>404</v>
      </c>
      <c r="AA12" s="12">
        <v>436</v>
      </c>
      <c r="AB12" s="12">
        <v>442</v>
      </c>
      <c r="AC12" s="12">
        <v>642</v>
      </c>
      <c r="AD12" s="12">
        <v>410</v>
      </c>
      <c r="AE12" s="12">
        <v>308</v>
      </c>
      <c r="AF12" s="12">
        <v>138</v>
      </c>
    </row>
    <row r="13" spans="1:32" x14ac:dyDescent="0.25">
      <c r="A13" s="19"/>
      <c r="B13" s="13" t="s">
        <v>696</v>
      </c>
      <c r="C13" s="14">
        <v>0.32</v>
      </c>
      <c r="D13" s="14">
        <v>0.31</v>
      </c>
      <c r="E13" s="14">
        <v>0.34</v>
      </c>
      <c r="F13" s="14">
        <v>0.44</v>
      </c>
      <c r="G13" s="14">
        <v>0.26</v>
      </c>
      <c r="H13" s="14">
        <v>0.35</v>
      </c>
      <c r="I13" s="14">
        <v>0.33</v>
      </c>
      <c r="J13" s="14">
        <v>0.23</v>
      </c>
      <c r="K13" s="14">
        <v>0.3</v>
      </c>
      <c r="L13" s="14">
        <v>0.34</v>
      </c>
      <c r="M13" s="14">
        <v>0.3</v>
      </c>
      <c r="N13" s="14">
        <v>0.42</v>
      </c>
      <c r="O13" s="14">
        <v>0.26</v>
      </c>
      <c r="P13" s="14">
        <v>0.44</v>
      </c>
      <c r="Q13" s="14">
        <v>0.12</v>
      </c>
      <c r="R13" s="14">
        <v>0.34</v>
      </c>
      <c r="S13" s="14">
        <v>0.27</v>
      </c>
      <c r="T13" s="14">
        <v>0.36</v>
      </c>
      <c r="U13" s="14">
        <v>0.25</v>
      </c>
      <c r="V13" s="14">
        <v>0.28000000000000003</v>
      </c>
      <c r="W13" s="14">
        <v>0.4</v>
      </c>
      <c r="X13" s="14">
        <v>0.36</v>
      </c>
      <c r="Y13" s="14">
        <v>0.46</v>
      </c>
      <c r="Z13" s="14">
        <v>0.4</v>
      </c>
      <c r="AA13" s="14">
        <v>0.42</v>
      </c>
      <c r="AB13" s="14">
        <v>0.42</v>
      </c>
      <c r="AC13" s="14">
        <v>0.64</v>
      </c>
      <c r="AD13" s="14">
        <v>0.41</v>
      </c>
      <c r="AE13" s="14">
        <v>0.31</v>
      </c>
      <c r="AF13" s="14">
        <v>0.14000000000000001</v>
      </c>
    </row>
    <row r="14" spans="1:32" ht="23.25" x14ac:dyDescent="0.25">
      <c r="A14" s="19"/>
      <c r="B14" s="11" t="s">
        <v>697</v>
      </c>
      <c r="C14" s="12">
        <v>10680</v>
      </c>
      <c r="D14" s="12">
        <v>341</v>
      </c>
      <c r="E14" s="12">
        <v>231</v>
      </c>
      <c r="F14" s="12">
        <v>326</v>
      </c>
      <c r="G14" s="12">
        <v>452</v>
      </c>
      <c r="H14" s="12">
        <v>461</v>
      </c>
      <c r="I14" s="12">
        <v>558</v>
      </c>
      <c r="J14" s="12">
        <v>97</v>
      </c>
      <c r="K14" s="12">
        <v>305</v>
      </c>
      <c r="L14" s="12">
        <v>177</v>
      </c>
      <c r="M14" s="12">
        <v>233</v>
      </c>
      <c r="N14" s="12">
        <v>291</v>
      </c>
      <c r="O14" s="12">
        <v>502</v>
      </c>
      <c r="P14" s="12">
        <v>309</v>
      </c>
      <c r="Q14" s="12">
        <v>715</v>
      </c>
      <c r="R14" s="12">
        <v>161</v>
      </c>
      <c r="S14" s="12">
        <v>384</v>
      </c>
      <c r="T14" s="12">
        <v>279</v>
      </c>
      <c r="U14" s="12">
        <v>260</v>
      </c>
      <c r="V14" s="12">
        <v>368</v>
      </c>
      <c r="W14" s="12">
        <v>179</v>
      </c>
      <c r="X14" s="12">
        <v>409</v>
      </c>
      <c r="Y14" s="12">
        <v>188</v>
      </c>
      <c r="Z14" s="12">
        <v>321</v>
      </c>
      <c r="AA14" s="12">
        <v>300</v>
      </c>
      <c r="AB14" s="12">
        <v>261</v>
      </c>
      <c r="AC14" s="12">
        <v>239</v>
      </c>
      <c r="AD14" s="12">
        <v>389</v>
      </c>
      <c r="AE14" s="12">
        <v>423</v>
      </c>
      <c r="AF14" s="12">
        <v>590</v>
      </c>
    </row>
    <row r="15" spans="1:32" ht="23.25" x14ac:dyDescent="0.25">
      <c r="A15" s="19"/>
      <c r="B15" s="13" t="s">
        <v>698</v>
      </c>
      <c r="C15" s="14">
        <v>0.4</v>
      </c>
      <c r="D15" s="14">
        <v>0.34</v>
      </c>
      <c r="E15" s="14">
        <v>0.22</v>
      </c>
      <c r="F15" s="14">
        <v>0.31</v>
      </c>
      <c r="G15" s="14">
        <v>0.45</v>
      </c>
      <c r="H15" s="14">
        <v>0.38</v>
      </c>
      <c r="I15" s="14">
        <v>0.36</v>
      </c>
      <c r="J15" s="14">
        <v>0.32</v>
      </c>
      <c r="K15" s="14">
        <v>0.3</v>
      </c>
      <c r="L15" s="14">
        <v>0.18</v>
      </c>
      <c r="M15" s="14">
        <v>0.23</v>
      </c>
      <c r="N15" s="14">
        <v>0.28999999999999998</v>
      </c>
      <c r="O15" s="14">
        <v>0.5</v>
      </c>
      <c r="P15" s="14">
        <v>0.31</v>
      </c>
      <c r="Q15" s="14">
        <v>0.69000000000000006</v>
      </c>
      <c r="R15" s="14">
        <v>0.32</v>
      </c>
      <c r="S15" s="14">
        <v>0.38</v>
      </c>
      <c r="T15" s="14">
        <v>0.27</v>
      </c>
      <c r="U15" s="14">
        <v>0.51</v>
      </c>
      <c r="V15" s="14">
        <v>0.36</v>
      </c>
      <c r="W15" s="14">
        <v>0.36</v>
      </c>
      <c r="X15" s="14">
        <v>0.4</v>
      </c>
      <c r="Y15" s="14">
        <v>0.19</v>
      </c>
      <c r="Z15" s="14">
        <v>0.31</v>
      </c>
      <c r="AA15" s="14">
        <v>0.28999999999999998</v>
      </c>
      <c r="AB15" s="14">
        <v>0.25</v>
      </c>
      <c r="AC15" s="14">
        <v>0.24</v>
      </c>
      <c r="AD15" s="14">
        <v>0.39</v>
      </c>
      <c r="AE15" s="14">
        <v>0.42</v>
      </c>
      <c r="AF15" s="14">
        <v>0.57000000000000006</v>
      </c>
    </row>
    <row r="16" spans="1:32" x14ac:dyDescent="0.25">
      <c r="A16" s="19"/>
      <c r="B16" s="11" t="s">
        <v>699</v>
      </c>
      <c r="C16" s="12">
        <v>7447</v>
      </c>
      <c r="D16" s="12">
        <v>362</v>
      </c>
      <c r="E16" s="12">
        <v>464</v>
      </c>
      <c r="F16" s="12">
        <v>272</v>
      </c>
      <c r="G16" s="12">
        <v>295</v>
      </c>
      <c r="H16" s="12">
        <v>336</v>
      </c>
      <c r="I16" s="12">
        <v>469</v>
      </c>
      <c r="J16" s="12">
        <v>133</v>
      </c>
      <c r="K16" s="12">
        <v>397</v>
      </c>
      <c r="L16" s="12">
        <v>485</v>
      </c>
      <c r="M16" s="12">
        <v>469</v>
      </c>
      <c r="N16" s="12">
        <v>292</v>
      </c>
      <c r="O16" s="12">
        <v>237</v>
      </c>
      <c r="P16" s="12">
        <v>254</v>
      </c>
      <c r="Q16" s="12">
        <v>196</v>
      </c>
      <c r="R16" s="12">
        <v>168</v>
      </c>
      <c r="S16" s="12">
        <v>348</v>
      </c>
      <c r="T16" s="12">
        <v>378</v>
      </c>
      <c r="U16" s="12">
        <v>120</v>
      </c>
      <c r="V16" s="12">
        <v>374</v>
      </c>
      <c r="W16" s="12">
        <v>122</v>
      </c>
      <c r="X16" s="12">
        <v>239</v>
      </c>
      <c r="Y16" s="12">
        <v>348</v>
      </c>
      <c r="Z16" s="12">
        <v>291</v>
      </c>
      <c r="AA16" s="12">
        <v>301</v>
      </c>
      <c r="AB16" s="12">
        <v>338</v>
      </c>
      <c r="AC16" s="12">
        <v>124</v>
      </c>
      <c r="AD16" s="12">
        <v>204</v>
      </c>
      <c r="AE16" s="12">
        <v>270</v>
      </c>
      <c r="AF16" s="12">
        <v>303</v>
      </c>
    </row>
    <row r="17" spans="1:32" x14ac:dyDescent="0.25">
      <c r="A17" s="19"/>
      <c r="B17" s="13" t="s">
        <v>700</v>
      </c>
      <c r="C17" s="14">
        <v>0.28000000000000003</v>
      </c>
      <c r="D17" s="14">
        <v>0.35</v>
      </c>
      <c r="E17" s="14">
        <v>0.44</v>
      </c>
      <c r="F17" s="14">
        <v>0.25</v>
      </c>
      <c r="G17" s="14">
        <v>0.28999999999999998</v>
      </c>
      <c r="H17" s="14">
        <v>0.27</v>
      </c>
      <c r="I17" s="14">
        <v>0.31</v>
      </c>
      <c r="J17" s="14">
        <v>0.45</v>
      </c>
      <c r="K17" s="14">
        <v>0.4</v>
      </c>
      <c r="L17" s="14">
        <v>0.48</v>
      </c>
      <c r="M17" s="14">
        <v>0.47</v>
      </c>
      <c r="N17" s="14">
        <v>0.28999999999999998</v>
      </c>
      <c r="O17" s="14">
        <v>0.24</v>
      </c>
      <c r="P17" s="14">
        <v>0.25</v>
      </c>
      <c r="Q17" s="14">
        <v>0.19</v>
      </c>
      <c r="R17" s="14">
        <v>0.34</v>
      </c>
      <c r="S17" s="14">
        <v>0.35</v>
      </c>
      <c r="T17" s="14">
        <v>0.37</v>
      </c>
      <c r="U17" s="14">
        <v>0.24</v>
      </c>
      <c r="V17" s="14">
        <v>0.36</v>
      </c>
      <c r="W17" s="14">
        <v>0.24</v>
      </c>
      <c r="X17" s="14">
        <v>0.24</v>
      </c>
      <c r="Y17" s="14">
        <v>0.35</v>
      </c>
      <c r="Z17" s="14">
        <v>0.28999999999999998</v>
      </c>
      <c r="AA17" s="14">
        <v>0.28999999999999998</v>
      </c>
      <c r="AB17" s="14">
        <v>0.33</v>
      </c>
      <c r="AC17" s="14">
        <v>0.12</v>
      </c>
      <c r="AD17" s="14">
        <v>0.2</v>
      </c>
      <c r="AE17" s="14">
        <v>0.27</v>
      </c>
      <c r="AF17" s="14">
        <v>0.28999999999999998</v>
      </c>
    </row>
    <row r="18" spans="1:32" x14ac:dyDescent="0.25">
      <c r="A18" s="19"/>
      <c r="B18" s="11" t="s">
        <v>224</v>
      </c>
      <c r="C18" s="12">
        <v>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1</v>
      </c>
      <c r="Y18" s="12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</row>
    <row r="19" spans="1:32" x14ac:dyDescent="0.25">
      <c r="A19" s="19"/>
      <c r="B19" s="13" t="s">
        <v>237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127</v>
      </c>
      <c r="C3" s="18"/>
      <c r="D3" s="18"/>
      <c r="E3" s="18"/>
      <c r="F3" s="18"/>
      <c r="H3" s="18" t="s">
        <v>128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701</v>
      </c>
      <c r="C12" s="12">
        <v>1734</v>
      </c>
      <c r="D12" s="12">
        <v>104</v>
      </c>
      <c r="E12" s="12">
        <v>141</v>
      </c>
      <c r="F12" s="12">
        <v>56</v>
      </c>
      <c r="G12" s="12">
        <v>8</v>
      </c>
      <c r="H12" s="12">
        <v>62</v>
      </c>
      <c r="I12" s="12">
        <v>76</v>
      </c>
      <c r="J12" s="12">
        <v>13</v>
      </c>
      <c r="K12" s="12">
        <v>96</v>
      </c>
      <c r="L12" s="12">
        <v>75</v>
      </c>
      <c r="M12" s="12">
        <v>244</v>
      </c>
      <c r="N12" s="12">
        <v>65</v>
      </c>
      <c r="O12" s="12">
        <v>68</v>
      </c>
      <c r="P12" s="12">
        <v>75</v>
      </c>
      <c r="Q12" s="12">
        <v>63</v>
      </c>
      <c r="R12" s="12">
        <v>78</v>
      </c>
      <c r="S12" s="12">
        <v>54</v>
      </c>
      <c r="T12" s="12">
        <v>40</v>
      </c>
      <c r="U12" s="12">
        <v>31</v>
      </c>
      <c r="V12" s="12">
        <v>27</v>
      </c>
      <c r="W12" s="12">
        <v>50</v>
      </c>
      <c r="X12" s="12">
        <v>63</v>
      </c>
      <c r="Y12" s="12">
        <v>58</v>
      </c>
      <c r="Z12" s="12">
        <v>20</v>
      </c>
      <c r="AA12" s="12">
        <v>214</v>
      </c>
      <c r="AB12" s="12">
        <v>108</v>
      </c>
      <c r="AC12" s="12">
        <v>41</v>
      </c>
      <c r="AD12" s="12">
        <v>22</v>
      </c>
      <c r="AE12" s="12">
        <v>43</v>
      </c>
      <c r="AF12" s="12">
        <v>16</v>
      </c>
    </row>
    <row r="13" spans="1:32" x14ac:dyDescent="0.25">
      <c r="A13" s="19"/>
      <c r="B13" s="13" t="s">
        <v>702</v>
      </c>
      <c r="C13" s="14">
        <v>7.0000000000000007E-2</v>
      </c>
      <c r="D13" s="14">
        <v>0.1</v>
      </c>
      <c r="E13" s="14">
        <v>0.13</v>
      </c>
      <c r="F13" s="14">
        <v>0.05</v>
      </c>
      <c r="G13" s="14">
        <v>0.01</v>
      </c>
      <c r="H13" s="14">
        <v>0.05</v>
      </c>
      <c r="I13" s="14">
        <v>0.05</v>
      </c>
      <c r="J13" s="14">
        <v>0.05</v>
      </c>
      <c r="K13" s="14">
        <v>0.09</v>
      </c>
      <c r="L13" s="14">
        <v>0.08</v>
      </c>
      <c r="M13" s="14">
        <v>0.24</v>
      </c>
      <c r="N13" s="14">
        <v>0.06</v>
      </c>
      <c r="O13" s="14">
        <v>7.0000000000000007E-2</v>
      </c>
      <c r="P13" s="14">
        <v>7.0000000000000007E-2</v>
      </c>
      <c r="Q13" s="14">
        <v>0.06</v>
      </c>
      <c r="R13" s="14">
        <v>0.15</v>
      </c>
      <c r="S13" s="14">
        <v>0.05</v>
      </c>
      <c r="T13" s="14">
        <v>0.04</v>
      </c>
      <c r="U13" s="14">
        <v>0.06</v>
      </c>
      <c r="V13" s="14">
        <v>0.03</v>
      </c>
      <c r="W13" s="14">
        <v>0.1</v>
      </c>
      <c r="X13" s="14">
        <v>0.06</v>
      </c>
      <c r="Y13" s="14">
        <v>0.06</v>
      </c>
      <c r="Z13" s="14">
        <v>0.02</v>
      </c>
      <c r="AA13" s="14">
        <v>0.2</v>
      </c>
      <c r="AB13" s="14">
        <v>0.1</v>
      </c>
      <c r="AC13" s="14">
        <v>0.04</v>
      </c>
      <c r="AD13" s="14">
        <v>0.02</v>
      </c>
      <c r="AE13" s="14">
        <v>0.04</v>
      </c>
      <c r="AF13" s="14">
        <v>0.02</v>
      </c>
    </row>
    <row r="14" spans="1:32" x14ac:dyDescent="0.25">
      <c r="A14" s="19"/>
      <c r="B14" s="11" t="s">
        <v>703</v>
      </c>
      <c r="C14" s="12">
        <v>7021</v>
      </c>
      <c r="D14" s="12">
        <v>293</v>
      </c>
      <c r="E14" s="12">
        <v>445</v>
      </c>
      <c r="F14" s="12">
        <v>302</v>
      </c>
      <c r="G14" s="12">
        <v>63</v>
      </c>
      <c r="H14" s="12">
        <v>225</v>
      </c>
      <c r="I14" s="12">
        <v>279</v>
      </c>
      <c r="J14" s="12">
        <v>54</v>
      </c>
      <c r="K14" s="12">
        <v>208</v>
      </c>
      <c r="L14" s="12">
        <v>345</v>
      </c>
      <c r="M14" s="12">
        <v>576</v>
      </c>
      <c r="N14" s="12">
        <v>189</v>
      </c>
      <c r="O14" s="12">
        <v>308</v>
      </c>
      <c r="P14" s="12">
        <v>436</v>
      </c>
      <c r="Q14" s="12">
        <v>421</v>
      </c>
      <c r="R14" s="12">
        <v>174</v>
      </c>
      <c r="S14" s="12">
        <v>205</v>
      </c>
      <c r="T14" s="12">
        <v>185</v>
      </c>
      <c r="U14" s="12">
        <v>60</v>
      </c>
      <c r="V14" s="12">
        <v>134</v>
      </c>
      <c r="W14" s="12">
        <v>126</v>
      </c>
      <c r="X14" s="12">
        <v>139</v>
      </c>
      <c r="Y14" s="12">
        <v>203</v>
      </c>
      <c r="Z14" s="12">
        <v>185</v>
      </c>
      <c r="AA14" s="12">
        <v>382</v>
      </c>
      <c r="AB14" s="12">
        <v>527</v>
      </c>
      <c r="AC14" s="12">
        <v>147</v>
      </c>
      <c r="AD14" s="12">
        <v>176</v>
      </c>
      <c r="AE14" s="12">
        <v>165</v>
      </c>
      <c r="AF14" s="12">
        <v>86</v>
      </c>
    </row>
    <row r="15" spans="1:32" x14ac:dyDescent="0.25">
      <c r="A15" s="19"/>
      <c r="B15" s="13" t="s">
        <v>704</v>
      </c>
      <c r="C15" s="14">
        <v>0.26</v>
      </c>
      <c r="D15" s="14">
        <v>0.28999999999999998</v>
      </c>
      <c r="E15" s="14">
        <v>0.43</v>
      </c>
      <c r="F15" s="14">
        <v>0.28999999999999998</v>
      </c>
      <c r="G15" s="14">
        <v>0.06</v>
      </c>
      <c r="H15" s="14">
        <v>0.18</v>
      </c>
      <c r="I15" s="14">
        <v>0.18</v>
      </c>
      <c r="J15" s="14">
        <v>0.18</v>
      </c>
      <c r="K15" s="14">
        <v>0.21</v>
      </c>
      <c r="L15" s="14">
        <v>0.34</v>
      </c>
      <c r="M15" s="14">
        <v>0.57000000000000006</v>
      </c>
      <c r="N15" s="14">
        <v>0.19</v>
      </c>
      <c r="O15" s="14">
        <v>0.31</v>
      </c>
      <c r="P15" s="14">
        <v>0.44</v>
      </c>
      <c r="Q15" s="14">
        <v>0.41</v>
      </c>
      <c r="R15" s="14">
        <v>0.35</v>
      </c>
      <c r="S15" s="14">
        <v>0.21</v>
      </c>
      <c r="T15" s="14">
        <v>0.18</v>
      </c>
      <c r="U15" s="14">
        <v>0.12</v>
      </c>
      <c r="V15" s="14">
        <v>0.13</v>
      </c>
      <c r="W15" s="14">
        <v>0.25</v>
      </c>
      <c r="X15" s="14">
        <v>0.14000000000000001</v>
      </c>
      <c r="Y15" s="14">
        <v>0.2</v>
      </c>
      <c r="Z15" s="14">
        <v>0.18</v>
      </c>
      <c r="AA15" s="14">
        <v>0.37</v>
      </c>
      <c r="AB15" s="14">
        <v>0.51</v>
      </c>
      <c r="AC15" s="14">
        <v>0.15</v>
      </c>
      <c r="AD15" s="14">
        <v>0.18</v>
      </c>
      <c r="AE15" s="14">
        <v>0.17</v>
      </c>
      <c r="AF15" s="14">
        <v>0.08</v>
      </c>
    </row>
    <row r="16" spans="1:32" ht="23.25" x14ac:dyDescent="0.25">
      <c r="A16" s="19"/>
      <c r="B16" s="11" t="s">
        <v>705</v>
      </c>
      <c r="C16" s="12">
        <v>17539</v>
      </c>
      <c r="D16" s="12">
        <v>621</v>
      </c>
      <c r="E16" s="12">
        <v>435</v>
      </c>
      <c r="F16" s="12">
        <v>703</v>
      </c>
      <c r="G16" s="12">
        <v>941</v>
      </c>
      <c r="H16" s="12">
        <v>939</v>
      </c>
      <c r="I16" s="12">
        <v>1166</v>
      </c>
      <c r="J16" s="12">
        <v>227</v>
      </c>
      <c r="K16" s="12">
        <v>685</v>
      </c>
      <c r="L16" s="12">
        <v>582</v>
      </c>
      <c r="M16" s="12">
        <v>183</v>
      </c>
      <c r="N16" s="12">
        <v>754</v>
      </c>
      <c r="O16" s="12">
        <v>614</v>
      </c>
      <c r="P16" s="12">
        <v>493</v>
      </c>
      <c r="Q16" s="12">
        <v>542</v>
      </c>
      <c r="R16" s="12">
        <v>249</v>
      </c>
      <c r="S16" s="12">
        <v>733</v>
      </c>
      <c r="T16" s="12">
        <v>791</v>
      </c>
      <c r="U16" s="12">
        <v>410</v>
      </c>
      <c r="V16" s="12">
        <v>862</v>
      </c>
      <c r="W16" s="12">
        <v>326</v>
      </c>
      <c r="X16" s="12">
        <v>806</v>
      </c>
      <c r="Y16" s="12">
        <v>719</v>
      </c>
      <c r="Z16" s="12">
        <v>810</v>
      </c>
      <c r="AA16" s="12">
        <v>435</v>
      </c>
      <c r="AB16" s="12">
        <v>405</v>
      </c>
      <c r="AC16" s="12">
        <v>817</v>
      </c>
      <c r="AD16" s="12">
        <v>793</v>
      </c>
      <c r="AE16" s="12">
        <v>791</v>
      </c>
      <c r="AF16" s="12">
        <v>915</v>
      </c>
    </row>
    <row r="17" spans="1:32" x14ac:dyDescent="0.25">
      <c r="A17" s="19"/>
      <c r="B17" s="13" t="s">
        <v>706</v>
      </c>
      <c r="C17" s="14">
        <v>0.66</v>
      </c>
      <c r="D17" s="14">
        <v>0.61</v>
      </c>
      <c r="E17" s="14">
        <v>0.42</v>
      </c>
      <c r="F17" s="14">
        <v>0.66</v>
      </c>
      <c r="G17" s="14">
        <v>0.93</v>
      </c>
      <c r="H17" s="14">
        <v>0.77</v>
      </c>
      <c r="I17" s="14">
        <v>0.76</v>
      </c>
      <c r="J17" s="14">
        <v>0.76</v>
      </c>
      <c r="K17" s="14">
        <v>0.68</v>
      </c>
      <c r="L17" s="14">
        <v>0.57999999999999996</v>
      </c>
      <c r="M17" s="14">
        <v>0.18</v>
      </c>
      <c r="N17" s="14">
        <v>0.75</v>
      </c>
      <c r="O17" s="14">
        <v>0.61</v>
      </c>
      <c r="P17" s="14">
        <v>0.49</v>
      </c>
      <c r="Q17" s="14">
        <v>0.53</v>
      </c>
      <c r="R17" s="14">
        <v>0.5</v>
      </c>
      <c r="S17" s="14">
        <v>0.73</v>
      </c>
      <c r="T17" s="14">
        <v>0.77</v>
      </c>
      <c r="U17" s="14">
        <v>0.81</v>
      </c>
      <c r="V17" s="14">
        <v>0.84</v>
      </c>
      <c r="W17" s="14">
        <v>0.65</v>
      </c>
      <c r="X17" s="14">
        <v>0.8</v>
      </c>
      <c r="Y17" s="14">
        <v>0.72</v>
      </c>
      <c r="Z17" s="14">
        <v>0.8</v>
      </c>
      <c r="AA17" s="14">
        <v>0.42</v>
      </c>
      <c r="AB17" s="14">
        <v>0.39</v>
      </c>
      <c r="AC17" s="14">
        <v>0.81</v>
      </c>
      <c r="AD17" s="14">
        <v>0.79</v>
      </c>
      <c r="AE17" s="14">
        <v>0.79</v>
      </c>
      <c r="AF17" s="14">
        <v>0.89</v>
      </c>
    </row>
    <row r="18" spans="1:32" x14ac:dyDescent="0.25">
      <c r="A18" s="19"/>
      <c r="B18" s="11" t="s">
        <v>555</v>
      </c>
      <c r="C18" s="12">
        <v>159</v>
      </c>
      <c r="D18" s="12">
        <v>4</v>
      </c>
      <c r="E18" s="12">
        <v>24</v>
      </c>
      <c r="F18" s="12">
        <v>4</v>
      </c>
      <c r="G18" s="12">
        <v>4</v>
      </c>
      <c r="H18" s="12">
        <v>4</v>
      </c>
      <c r="I18" s="12">
        <v>7</v>
      </c>
      <c r="J18" s="12">
        <v>3</v>
      </c>
      <c r="K18" s="12">
        <v>17</v>
      </c>
      <c r="L18" s="12">
        <v>4</v>
      </c>
      <c r="M18" s="12">
        <v>4</v>
      </c>
      <c r="N18" s="12">
        <v>3</v>
      </c>
      <c r="O18" s="12">
        <v>14</v>
      </c>
      <c r="P18" s="12">
        <v>0</v>
      </c>
      <c r="Q18" s="12">
        <v>5</v>
      </c>
      <c r="R18" s="12">
        <v>0</v>
      </c>
      <c r="S18" s="12">
        <v>12</v>
      </c>
      <c r="T18" s="12">
        <v>7</v>
      </c>
      <c r="U18" s="12">
        <v>7</v>
      </c>
      <c r="V18" s="12">
        <v>3</v>
      </c>
      <c r="W18" s="12">
        <v>0</v>
      </c>
      <c r="X18" s="12">
        <v>2</v>
      </c>
      <c r="Y18" s="12">
        <v>22</v>
      </c>
      <c r="Z18" s="12">
        <v>2</v>
      </c>
      <c r="AA18" s="12">
        <v>7</v>
      </c>
      <c r="AB18" s="12">
        <v>0</v>
      </c>
      <c r="AC18" s="12">
        <v>0</v>
      </c>
      <c r="AD18" s="12">
        <v>12</v>
      </c>
      <c r="AE18" s="12">
        <v>2</v>
      </c>
      <c r="AF18" s="12">
        <v>13</v>
      </c>
    </row>
    <row r="19" spans="1:32" x14ac:dyDescent="0.25">
      <c r="A19" s="19"/>
      <c r="B19" s="13" t="s">
        <v>556</v>
      </c>
      <c r="C19" s="14">
        <v>0.01</v>
      </c>
      <c r="D19" s="15" t="s">
        <v>213</v>
      </c>
      <c r="E19" s="14">
        <v>0.02</v>
      </c>
      <c r="F19" s="15" t="s">
        <v>213</v>
      </c>
      <c r="G19" s="15" t="s">
        <v>213</v>
      </c>
      <c r="H19" s="15" t="s">
        <v>213</v>
      </c>
      <c r="I19" s="14">
        <v>0.01</v>
      </c>
      <c r="J19" s="14">
        <v>0.01</v>
      </c>
      <c r="K19" s="14">
        <v>0.02</v>
      </c>
      <c r="L19" s="15" t="s">
        <v>213</v>
      </c>
      <c r="M19" s="14">
        <v>0.01</v>
      </c>
      <c r="N19" s="15" t="s">
        <v>213</v>
      </c>
      <c r="O19" s="14">
        <v>0.01</v>
      </c>
      <c r="P19" s="15" t="s">
        <v>213</v>
      </c>
      <c r="Q19" s="15" t="s">
        <v>213</v>
      </c>
      <c r="R19" s="15" t="s">
        <v>213</v>
      </c>
      <c r="S19" s="14">
        <v>0.01</v>
      </c>
      <c r="T19" s="14">
        <v>0.01</v>
      </c>
      <c r="U19" s="14">
        <v>0.01</v>
      </c>
      <c r="V19" s="15" t="s">
        <v>213</v>
      </c>
      <c r="W19" s="15" t="s">
        <v>213</v>
      </c>
      <c r="X19" s="15" t="s">
        <v>213</v>
      </c>
      <c r="Y19" s="14">
        <v>0.02</v>
      </c>
      <c r="Z19" s="15" t="s">
        <v>213</v>
      </c>
      <c r="AA19" s="14">
        <v>0.01</v>
      </c>
      <c r="AB19" s="15" t="s">
        <v>213</v>
      </c>
      <c r="AC19" s="15" t="s">
        <v>213</v>
      </c>
      <c r="AD19" s="14">
        <v>0.01</v>
      </c>
      <c r="AE19" s="15" t="s">
        <v>213</v>
      </c>
      <c r="AF19" s="14">
        <v>0.01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2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129</v>
      </c>
      <c r="C3" s="18"/>
      <c r="D3" s="18"/>
      <c r="E3" s="18"/>
      <c r="F3" s="18"/>
      <c r="H3" s="18" t="s">
        <v>130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707</v>
      </c>
      <c r="C12" s="12">
        <v>5273</v>
      </c>
      <c r="D12" s="12">
        <v>200</v>
      </c>
      <c r="E12" s="12">
        <v>87</v>
      </c>
      <c r="F12" s="12">
        <v>151</v>
      </c>
      <c r="G12" s="12">
        <v>657</v>
      </c>
      <c r="H12" s="12">
        <v>263</v>
      </c>
      <c r="I12" s="12">
        <v>312</v>
      </c>
      <c r="J12" s="12">
        <v>49</v>
      </c>
      <c r="K12" s="12">
        <v>135</v>
      </c>
      <c r="L12" s="12">
        <v>392</v>
      </c>
      <c r="M12" s="12">
        <v>82</v>
      </c>
      <c r="N12" s="12">
        <v>328</v>
      </c>
      <c r="O12" s="12">
        <v>171</v>
      </c>
      <c r="P12" s="12">
        <v>153</v>
      </c>
      <c r="Q12" s="12">
        <v>94</v>
      </c>
      <c r="R12" s="12">
        <v>86</v>
      </c>
      <c r="S12" s="12">
        <v>154</v>
      </c>
      <c r="T12" s="12">
        <v>221</v>
      </c>
      <c r="U12" s="12">
        <v>164</v>
      </c>
      <c r="V12" s="12">
        <v>96</v>
      </c>
      <c r="W12" s="12">
        <v>123</v>
      </c>
      <c r="X12" s="12">
        <v>451</v>
      </c>
      <c r="Y12" s="12">
        <v>341</v>
      </c>
      <c r="Z12" s="12">
        <v>126</v>
      </c>
      <c r="AA12" s="12">
        <v>38</v>
      </c>
      <c r="AB12" s="12">
        <v>72</v>
      </c>
      <c r="AC12" s="12">
        <v>332</v>
      </c>
      <c r="AD12" s="12">
        <v>210</v>
      </c>
      <c r="AE12" s="12">
        <v>353</v>
      </c>
      <c r="AF12" s="12">
        <v>439</v>
      </c>
    </row>
    <row r="13" spans="1:32" x14ac:dyDescent="0.25">
      <c r="A13" s="19"/>
      <c r="B13" s="13" t="s">
        <v>708</v>
      </c>
      <c r="C13" s="14">
        <v>0.2</v>
      </c>
      <c r="D13" s="14">
        <v>0.19</v>
      </c>
      <c r="E13" s="14">
        <v>0.08</v>
      </c>
      <c r="F13" s="14">
        <v>0.14000000000000001</v>
      </c>
      <c r="G13" s="14">
        <v>0.65</v>
      </c>
      <c r="H13" s="14">
        <v>0.21</v>
      </c>
      <c r="I13" s="14">
        <v>0.2</v>
      </c>
      <c r="J13" s="14">
        <v>0.17</v>
      </c>
      <c r="K13" s="14">
        <v>0.14000000000000001</v>
      </c>
      <c r="L13" s="14">
        <v>0.39</v>
      </c>
      <c r="M13" s="14">
        <v>0.08</v>
      </c>
      <c r="N13" s="14">
        <v>0.32</v>
      </c>
      <c r="O13" s="14">
        <v>0.17</v>
      </c>
      <c r="P13" s="14">
        <v>0.15</v>
      </c>
      <c r="Q13" s="14">
        <v>0.09</v>
      </c>
      <c r="R13" s="14">
        <v>0.17</v>
      </c>
      <c r="S13" s="14">
        <v>0.15</v>
      </c>
      <c r="T13" s="14">
        <v>0.22</v>
      </c>
      <c r="U13" s="14">
        <v>0.32</v>
      </c>
      <c r="V13" s="14">
        <v>0.1</v>
      </c>
      <c r="W13" s="14">
        <v>0.25</v>
      </c>
      <c r="X13" s="14">
        <v>0.45</v>
      </c>
      <c r="Y13" s="14">
        <v>0.34</v>
      </c>
      <c r="Z13" s="14">
        <v>0.12</v>
      </c>
      <c r="AA13" s="14">
        <v>0.04</v>
      </c>
      <c r="AB13" s="14">
        <v>7.0000000000000007E-2</v>
      </c>
      <c r="AC13" s="14">
        <v>0.33</v>
      </c>
      <c r="AD13" s="14">
        <v>0.21</v>
      </c>
      <c r="AE13" s="14">
        <v>0.35</v>
      </c>
      <c r="AF13" s="14">
        <v>0.43</v>
      </c>
    </row>
    <row r="14" spans="1:32" x14ac:dyDescent="0.25">
      <c r="A14" s="19"/>
      <c r="B14" s="11" t="s">
        <v>709</v>
      </c>
      <c r="C14" s="12">
        <v>17076</v>
      </c>
      <c r="D14" s="12">
        <v>670</v>
      </c>
      <c r="E14" s="12">
        <v>626</v>
      </c>
      <c r="F14" s="12">
        <v>775</v>
      </c>
      <c r="G14" s="12">
        <v>311</v>
      </c>
      <c r="H14" s="12">
        <v>826</v>
      </c>
      <c r="I14" s="12">
        <v>1018</v>
      </c>
      <c r="J14" s="12">
        <v>191</v>
      </c>
      <c r="K14" s="12">
        <v>687</v>
      </c>
      <c r="L14" s="12">
        <v>567</v>
      </c>
      <c r="M14" s="12">
        <v>575</v>
      </c>
      <c r="N14" s="12">
        <v>557</v>
      </c>
      <c r="O14" s="12">
        <v>652</v>
      </c>
      <c r="P14" s="12">
        <v>587</v>
      </c>
      <c r="Q14" s="12">
        <v>760</v>
      </c>
      <c r="R14" s="12">
        <v>347</v>
      </c>
      <c r="S14" s="12">
        <v>664</v>
      </c>
      <c r="T14" s="12">
        <v>649</v>
      </c>
      <c r="U14" s="12">
        <v>311</v>
      </c>
      <c r="V14" s="12">
        <v>722</v>
      </c>
      <c r="W14" s="12">
        <v>323</v>
      </c>
      <c r="X14" s="12">
        <v>491</v>
      </c>
      <c r="Y14" s="12">
        <v>526</v>
      </c>
      <c r="Z14" s="12">
        <v>800</v>
      </c>
      <c r="AA14" s="12">
        <v>822</v>
      </c>
      <c r="AB14" s="12">
        <v>570</v>
      </c>
      <c r="AC14" s="12">
        <v>619</v>
      </c>
      <c r="AD14" s="12">
        <v>661</v>
      </c>
      <c r="AE14" s="12">
        <v>579</v>
      </c>
      <c r="AF14" s="12">
        <v>527</v>
      </c>
    </row>
    <row r="15" spans="1:32" x14ac:dyDescent="0.25">
      <c r="A15" s="19"/>
      <c r="B15" s="13" t="s">
        <v>710</v>
      </c>
      <c r="C15" s="14">
        <v>0.65</v>
      </c>
      <c r="D15" s="14">
        <v>0.66</v>
      </c>
      <c r="E15" s="14">
        <v>0.6</v>
      </c>
      <c r="F15" s="14">
        <v>0.73</v>
      </c>
      <c r="G15" s="14">
        <v>0.3</v>
      </c>
      <c r="H15" s="14">
        <v>0.67</v>
      </c>
      <c r="I15" s="14">
        <v>0.67</v>
      </c>
      <c r="J15" s="14">
        <v>0.64</v>
      </c>
      <c r="K15" s="14">
        <v>0.68</v>
      </c>
      <c r="L15" s="14">
        <v>0.56000000000000005</v>
      </c>
      <c r="M15" s="14">
        <v>0.57000000000000006</v>
      </c>
      <c r="N15" s="14">
        <v>0.55000000000000004</v>
      </c>
      <c r="O15" s="14">
        <v>0.65</v>
      </c>
      <c r="P15" s="14">
        <v>0.57999999999999996</v>
      </c>
      <c r="Q15" s="14">
        <v>0.74</v>
      </c>
      <c r="R15" s="14">
        <v>0.69000000000000006</v>
      </c>
      <c r="S15" s="14">
        <v>0.66</v>
      </c>
      <c r="T15" s="14">
        <v>0.63</v>
      </c>
      <c r="U15" s="14">
        <v>0.61</v>
      </c>
      <c r="V15" s="14">
        <v>0.70000000000000007</v>
      </c>
      <c r="W15" s="14">
        <v>0.64</v>
      </c>
      <c r="X15" s="14">
        <v>0.49</v>
      </c>
      <c r="Y15" s="14">
        <v>0.53</v>
      </c>
      <c r="Z15" s="14">
        <v>0.79</v>
      </c>
      <c r="AA15" s="14">
        <v>0.79</v>
      </c>
      <c r="AB15" s="14">
        <v>0.55000000000000004</v>
      </c>
      <c r="AC15" s="14">
        <v>0.62</v>
      </c>
      <c r="AD15" s="14">
        <v>0.66</v>
      </c>
      <c r="AE15" s="14">
        <v>0.57999999999999996</v>
      </c>
      <c r="AF15" s="14">
        <v>0.51</v>
      </c>
    </row>
    <row r="16" spans="1:32" x14ac:dyDescent="0.25">
      <c r="A16" s="19"/>
      <c r="B16" s="11" t="s">
        <v>711</v>
      </c>
      <c r="C16" s="12">
        <v>3513</v>
      </c>
      <c r="D16" s="12">
        <v>129</v>
      </c>
      <c r="E16" s="12">
        <v>274</v>
      </c>
      <c r="F16" s="12">
        <v>119</v>
      </c>
      <c r="G16" s="12">
        <v>39</v>
      </c>
      <c r="H16" s="12">
        <v>124</v>
      </c>
      <c r="I16" s="12">
        <v>169</v>
      </c>
      <c r="J16" s="12">
        <v>46</v>
      </c>
      <c r="K16" s="12">
        <v>152</v>
      </c>
      <c r="L16" s="12">
        <v>40</v>
      </c>
      <c r="M16" s="12">
        <v>295</v>
      </c>
      <c r="N16" s="12">
        <v>110</v>
      </c>
      <c r="O16" s="12">
        <v>144</v>
      </c>
      <c r="P16" s="12">
        <v>237</v>
      </c>
      <c r="Q16" s="12">
        <v>165</v>
      </c>
      <c r="R16" s="12">
        <v>60</v>
      </c>
      <c r="S16" s="12">
        <v>168</v>
      </c>
      <c r="T16" s="12">
        <v>130</v>
      </c>
      <c r="U16" s="12">
        <v>28</v>
      </c>
      <c r="V16" s="12">
        <v>181</v>
      </c>
      <c r="W16" s="12">
        <v>48</v>
      </c>
      <c r="X16" s="12">
        <v>62</v>
      </c>
      <c r="Y16" s="12">
        <v>115</v>
      </c>
      <c r="Z16" s="12">
        <v>77</v>
      </c>
      <c r="AA16" s="12">
        <v>155</v>
      </c>
      <c r="AB16" s="12">
        <v>329</v>
      </c>
      <c r="AC16" s="12">
        <v>46</v>
      </c>
      <c r="AD16" s="12">
        <v>126</v>
      </c>
      <c r="AE16" s="12">
        <v>57</v>
      </c>
      <c r="AF16" s="12">
        <v>56</v>
      </c>
    </row>
    <row r="17" spans="1:32" x14ac:dyDescent="0.25">
      <c r="A17" s="19"/>
      <c r="B17" s="13" t="s">
        <v>712</v>
      </c>
      <c r="C17" s="14">
        <v>0.13</v>
      </c>
      <c r="D17" s="14">
        <v>0.13</v>
      </c>
      <c r="E17" s="14">
        <v>0.26</v>
      </c>
      <c r="F17" s="14">
        <v>0.11</v>
      </c>
      <c r="G17" s="14">
        <v>0.04</v>
      </c>
      <c r="H17" s="14">
        <v>0.1</v>
      </c>
      <c r="I17" s="14">
        <v>0.11</v>
      </c>
      <c r="J17" s="14">
        <v>0.15</v>
      </c>
      <c r="K17" s="14">
        <v>0.15</v>
      </c>
      <c r="L17" s="14">
        <v>0.04</v>
      </c>
      <c r="M17" s="14">
        <v>0.28999999999999998</v>
      </c>
      <c r="N17" s="14">
        <v>0.11</v>
      </c>
      <c r="O17" s="14">
        <v>0.15</v>
      </c>
      <c r="P17" s="14">
        <v>0.24</v>
      </c>
      <c r="Q17" s="14">
        <v>0.16</v>
      </c>
      <c r="R17" s="14">
        <v>0.12</v>
      </c>
      <c r="S17" s="14">
        <v>0.17</v>
      </c>
      <c r="T17" s="14">
        <v>0.13</v>
      </c>
      <c r="U17" s="14">
        <v>0.06</v>
      </c>
      <c r="V17" s="14">
        <v>0.18</v>
      </c>
      <c r="W17" s="14">
        <v>0.1</v>
      </c>
      <c r="X17" s="14">
        <v>0.06</v>
      </c>
      <c r="Y17" s="14">
        <v>0.11</v>
      </c>
      <c r="Z17" s="14">
        <v>0.08</v>
      </c>
      <c r="AA17" s="14">
        <v>0.15</v>
      </c>
      <c r="AB17" s="14">
        <v>0.32</v>
      </c>
      <c r="AC17" s="14">
        <v>0.04</v>
      </c>
      <c r="AD17" s="14">
        <v>0.12</v>
      </c>
      <c r="AE17" s="14">
        <v>0.06</v>
      </c>
      <c r="AF17" s="14">
        <v>0.05</v>
      </c>
    </row>
    <row r="18" spans="1:32" x14ac:dyDescent="0.25">
      <c r="A18" s="19"/>
      <c r="B18" s="11" t="s">
        <v>713</v>
      </c>
      <c r="C18" s="12">
        <v>544</v>
      </c>
      <c r="D18" s="12">
        <v>22</v>
      </c>
      <c r="E18" s="12">
        <v>55</v>
      </c>
      <c r="F18" s="12">
        <v>17</v>
      </c>
      <c r="G18" s="12">
        <v>8</v>
      </c>
      <c r="H18" s="12">
        <v>17</v>
      </c>
      <c r="I18" s="12">
        <v>28</v>
      </c>
      <c r="J18" s="12">
        <v>11</v>
      </c>
      <c r="K18" s="12">
        <v>23</v>
      </c>
      <c r="L18" s="12">
        <v>6</v>
      </c>
      <c r="M18" s="12">
        <v>56</v>
      </c>
      <c r="N18" s="12">
        <v>17</v>
      </c>
      <c r="O18" s="12">
        <v>32</v>
      </c>
      <c r="P18" s="12">
        <v>26</v>
      </c>
      <c r="Q18" s="12">
        <v>13</v>
      </c>
      <c r="R18" s="12">
        <v>8</v>
      </c>
      <c r="S18" s="12">
        <v>12</v>
      </c>
      <c r="T18" s="12">
        <v>20</v>
      </c>
      <c r="U18" s="12">
        <v>4</v>
      </c>
      <c r="V18" s="12">
        <v>24</v>
      </c>
      <c r="W18" s="12">
        <v>5</v>
      </c>
      <c r="X18" s="12">
        <v>4</v>
      </c>
      <c r="Y18" s="12">
        <v>20</v>
      </c>
      <c r="Z18" s="12">
        <v>5</v>
      </c>
      <c r="AA18" s="12">
        <v>22</v>
      </c>
      <c r="AB18" s="12">
        <v>68</v>
      </c>
      <c r="AC18" s="12">
        <v>7</v>
      </c>
      <c r="AD18" s="12">
        <v>6</v>
      </c>
      <c r="AE18" s="12">
        <v>8</v>
      </c>
      <c r="AF18" s="12">
        <v>10</v>
      </c>
    </row>
    <row r="19" spans="1:32" x14ac:dyDescent="0.25">
      <c r="A19" s="19"/>
      <c r="B19" s="13" t="s">
        <v>714</v>
      </c>
      <c r="C19" s="14">
        <v>0.02</v>
      </c>
      <c r="D19" s="14">
        <v>0.02</v>
      </c>
      <c r="E19" s="14">
        <v>0.05</v>
      </c>
      <c r="F19" s="14">
        <v>0.02</v>
      </c>
      <c r="G19" s="14">
        <v>0.01</v>
      </c>
      <c r="H19" s="14">
        <v>0.02</v>
      </c>
      <c r="I19" s="14">
        <v>0.02</v>
      </c>
      <c r="J19" s="14">
        <v>0.04</v>
      </c>
      <c r="K19" s="14">
        <v>0.02</v>
      </c>
      <c r="L19" s="14">
        <v>0.01</v>
      </c>
      <c r="M19" s="14">
        <v>0.06</v>
      </c>
      <c r="N19" s="14">
        <v>0.02</v>
      </c>
      <c r="O19" s="14">
        <v>0.03</v>
      </c>
      <c r="P19" s="14">
        <v>0.03</v>
      </c>
      <c r="Q19" s="14">
        <v>0.01</v>
      </c>
      <c r="R19" s="14">
        <v>0.02</v>
      </c>
      <c r="S19" s="14">
        <v>0.01</v>
      </c>
      <c r="T19" s="14">
        <v>0.02</v>
      </c>
      <c r="U19" s="14">
        <v>0.01</v>
      </c>
      <c r="V19" s="14">
        <v>0.02</v>
      </c>
      <c r="W19" s="14">
        <v>0.01</v>
      </c>
      <c r="X19" s="15" t="s">
        <v>213</v>
      </c>
      <c r="Y19" s="14">
        <v>0.02</v>
      </c>
      <c r="Z19" s="15" t="s">
        <v>213</v>
      </c>
      <c r="AA19" s="14">
        <v>0.02</v>
      </c>
      <c r="AB19" s="14">
        <v>0.06</v>
      </c>
      <c r="AC19" s="14">
        <v>0.01</v>
      </c>
      <c r="AD19" s="14">
        <v>0.01</v>
      </c>
      <c r="AE19" s="14">
        <v>0.01</v>
      </c>
      <c r="AF19" s="14">
        <v>0.01</v>
      </c>
    </row>
    <row r="20" spans="1:32" x14ac:dyDescent="0.25">
      <c r="A20" s="19"/>
      <c r="B20" s="11" t="s">
        <v>224</v>
      </c>
      <c r="C20" s="12">
        <v>47</v>
      </c>
      <c r="D20" s="12">
        <v>0</v>
      </c>
      <c r="E20" s="12">
        <v>4</v>
      </c>
      <c r="F20" s="12">
        <v>3</v>
      </c>
      <c r="G20" s="12">
        <v>0</v>
      </c>
      <c r="H20" s="12">
        <v>0</v>
      </c>
      <c r="I20" s="12">
        <v>0</v>
      </c>
      <c r="J20" s="12">
        <v>0</v>
      </c>
      <c r="K20" s="12">
        <v>8</v>
      </c>
      <c r="L20" s="12">
        <v>1</v>
      </c>
      <c r="M20" s="12">
        <v>0</v>
      </c>
      <c r="N20" s="12">
        <v>0</v>
      </c>
      <c r="O20" s="12">
        <v>4</v>
      </c>
      <c r="P20" s="12">
        <v>0</v>
      </c>
      <c r="Q20" s="12">
        <v>1</v>
      </c>
      <c r="R20" s="12">
        <v>1</v>
      </c>
      <c r="S20" s="12">
        <v>6</v>
      </c>
      <c r="T20" s="12">
        <v>3</v>
      </c>
      <c r="U20" s="12">
        <v>1</v>
      </c>
      <c r="V20" s="12">
        <v>3</v>
      </c>
      <c r="W20" s="12">
        <v>2</v>
      </c>
      <c r="X20" s="12">
        <v>2</v>
      </c>
      <c r="Y20" s="12">
        <v>1</v>
      </c>
      <c r="Z20" s="12">
        <v>9</v>
      </c>
      <c r="AA20" s="12">
        <v>0</v>
      </c>
      <c r="AB20" s="12">
        <v>1</v>
      </c>
      <c r="AC20" s="12">
        <v>0</v>
      </c>
      <c r="AD20" s="12">
        <v>0</v>
      </c>
      <c r="AE20" s="12">
        <v>3</v>
      </c>
      <c r="AF20" s="12">
        <v>0</v>
      </c>
    </row>
    <row r="21" spans="1:32" x14ac:dyDescent="0.25">
      <c r="A21" s="19"/>
      <c r="B21" s="13" t="s">
        <v>237</v>
      </c>
      <c r="C21" s="15" t="s">
        <v>213</v>
      </c>
      <c r="D21" s="15" t="s">
        <v>213</v>
      </c>
      <c r="E21" s="14">
        <v>0.01</v>
      </c>
      <c r="F21" s="15" t="s">
        <v>213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4">
        <v>0.01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5" t="s">
        <v>213</v>
      </c>
      <c r="S21" s="14">
        <v>0.01</v>
      </c>
      <c r="T21" s="15" t="s">
        <v>213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4">
        <v>0.01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2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131</v>
      </c>
      <c r="C3" s="18"/>
      <c r="D3" s="18"/>
      <c r="E3" s="18"/>
      <c r="F3" s="18"/>
      <c r="H3" s="18" t="s">
        <v>132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707</v>
      </c>
      <c r="C12" s="12">
        <v>5279</v>
      </c>
      <c r="D12" s="12">
        <v>188</v>
      </c>
      <c r="E12" s="12">
        <v>91</v>
      </c>
      <c r="F12" s="12">
        <v>156</v>
      </c>
      <c r="G12" s="12">
        <v>622</v>
      </c>
      <c r="H12" s="12">
        <v>274</v>
      </c>
      <c r="I12" s="12">
        <v>320</v>
      </c>
      <c r="J12" s="12">
        <v>46</v>
      </c>
      <c r="K12" s="12">
        <v>120</v>
      </c>
      <c r="L12" s="12">
        <v>379</v>
      </c>
      <c r="M12" s="12">
        <v>76</v>
      </c>
      <c r="N12" s="12">
        <v>316</v>
      </c>
      <c r="O12" s="12">
        <v>182</v>
      </c>
      <c r="P12" s="12">
        <v>165</v>
      </c>
      <c r="Q12" s="12">
        <v>99</v>
      </c>
      <c r="R12" s="12">
        <v>84</v>
      </c>
      <c r="S12" s="12">
        <v>119</v>
      </c>
      <c r="T12" s="12">
        <v>230</v>
      </c>
      <c r="U12" s="12">
        <v>163</v>
      </c>
      <c r="V12" s="12">
        <v>104</v>
      </c>
      <c r="W12" s="12">
        <v>107</v>
      </c>
      <c r="X12" s="12">
        <v>420</v>
      </c>
      <c r="Y12" s="12">
        <v>339</v>
      </c>
      <c r="Z12" s="12">
        <v>146</v>
      </c>
      <c r="AA12" s="12">
        <v>47</v>
      </c>
      <c r="AB12" s="12">
        <v>69</v>
      </c>
      <c r="AC12" s="12">
        <v>314</v>
      </c>
      <c r="AD12" s="12">
        <v>221</v>
      </c>
      <c r="AE12" s="12">
        <v>329</v>
      </c>
      <c r="AF12" s="12">
        <v>389</v>
      </c>
    </row>
    <row r="13" spans="1:32" x14ac:dyDescent="0.25">
      <c r="A13" s="19"/>
      <c r="B13" s="13" t="s">
        <v>708</v>
      </c>
      <c r="C13" s="14">
        <v>0.2</v>
      </c>
      <c r="D13" s="14">
        <v>0.18</v>
      </c>
      <c r="E13" s="14">
        <v>0.09</v>
      </c>
      <c r="F13" s="14">
        <v>0.15</v>
      </c>
      <c r="G13" s="14">
        <v>0.61</v>
      </c>
      <c r="H13" s="14">
        <v>0.22</v>
      </c>
      <c r="I13" s="14">
        <v>0.21</v>
      </c>
      <c r="J13" s="14">
        <v>0.15</v>
      </c>
      <c r="K13" s="14">
        <v>0.12</v>
      </c>
      <c r="L13" s="14">
        <v>0.38</v>
      </c>
      <c r="M13" s="14">
        <v>0.08</v>
      </c>
      <c r="N13" s="14">
        <v>0.31</v>
      </c>
      <c r="O13" s="14">
        <v>0.18</v>
      </c>
      <c r="P13" s="14">
        <v>0.17</v>
      </c>
      <c r="Q13" s="14">
        <v>0.1</v>
      </c>
      <c r="R13" s="14">
        <v>0.17</v>
      </c>
      <c r="S13" s="14">
        <v>0.12</v>
      </c>
      <c r="T13" s="14">
        <v>0.23</v>
      </c>
      <c r="U13" s="14">
        <v>0.32</v>
      </c>
      <c r="V13" s="14">
        <v>0.1</v>
      </c>
      <c r="W13" s="14">
        <v>0.21</v>
      </c>
      <c r="X13" s="14">
        <v>0.42</v>
      </c>
      <c r="Y13" s="14">
        <v>0.34</v>
      </c>
      <c r="Z13" s="14">
        <v>0.14000000000000001</v>
      </c>
      <c r="AA13" s="14">
        <v>0.04</v>
      </c>
      <c r="AB13" s="14">
        <v>7.0000000000000007E-2</v>
      </c>
      <c r="AC13" s="14">
        <v>0.31</v>
      </c>
      <c r="AD13" s="14">
        <v>0.22</v>
      </c>
      <c r="AE13" s="14">
        <v>0.33</v>
      </c>
      <c r="AF13" s="14">
        <v>0.38</v>
      </c>
    </row>
    <row r="14" spans="1:32" x14ac:dyDescent="0.25">
      <c r="A14" s="19"/>
      <c r="B14" s="11" t="s">
        <v>709</v>
      </c>
      <c r="C14" s="12">
        <v>16997</v>
      </c>
      <c r="D14" s="12">
        <v>681</v>
      </c>
      <c r="E14" s="12">
        <v>623</v>
      </c>
      <c r="F14" s="12">
        <v>776</v>
      </c>
      <c r="G14" s="12">
        <v>347</v>
      </c>
      <c r="H14" s="12">
        <v>823</v>
      </c>
      <c r="I14" s="12">
        <v>1011</v>
      </c>
      <c r="J14" s="12">
        <v>188</v>
      </c>
      <c r="K14" s="12">
        <v>680</v>
      </c>
      <c r="L14" s="12">
        <v>576</v>
      </c>
      <c r="M14" s="12">
        <v>553</v>
      </c>
      <c r="N14" s="12">
        <v>584</v>
      </c>
      <c r="O14" s="12">
        <v>653</v>
      </c>
      <c r="P14" s="12">
        <v>579</v>
      </c>
      <c r="Q14" s="12">
        <v>743</v>
      </c>
      <c r="R14" s="12">
        <v>341</v>
      </c>
      <c r="S14" s="12">
        <v>717</v>
      </c>
      <c r="T14" s="12">
        <v>645</v>
      </c>
      <c r="U14" s="12">
        <v>310</v>
      </c>
      <c r="V14" s="12">
        <v>704</v>
      </c>
      <c r="W14" s="12">
        <v>323</v>
      </c>
      <c r="X14" s="12">
        <v>517</v>
      </c>
      <c r="Y14" s="12">
        <v>523</v>
      </c>
      <c r="Z14" s="12">
        <v>765</v>
      </c>
      <c r="AA14" s="12">
        <v>765</v>
      </c>
      <c r="AB14" s="12">
        <v>558</v>
      </c>
      <c r="AC14" s="12">
        <v>633</v>
      </c>
      <c r="AD14" s="12">
        <v>648</v>
      </c>
      <c r="AE14" s="12">
        <v>606</v>
      </c>
      <c r="AF14" s="12">
        <v>541</v>
      </c>
    </row>
    <row r="15" spans="1:32" x14ac:dyDescent="0.25">
      <c r="A15" s="19"/>
      <c r="B15" s="13" t="s">
        <v>710</v>
      </c>
      <c r="C15" s="14">
        <v>0.64</v>
      </c>
      <c r="D15" s="14">
        <v>0.67</v>
      </c>
      <c r="E15" s="14">
        <v>0.6</v>
      </c>
      <c r="F15" s="14">
        <v>0.73</v>
      </c>
      <c r="G15" s="14">
        <v>0.34</v>
      </c>
      <c r="H15" s="14">
        <v>0.67</v>
      </c>
      <c r="I15" s="14">
        <v>0.66</v>
      </c>
      <c r="J15" s="14">
        <v>0.63</v>
      </c>
      <c r="K15" s="14">
        <v>0.67</v>
      </c>
      <c r="L15" s="14">
        <v>0.57000000000000006</v>
      </c>
      <c r="M15" s="14">
        <v>0.55000000000000004</v>
      </c>
      <c r="N15" s="14">
        <v>0.57999999999999996</v>
      </c>
      <c r="O15" s="14">
        <v>0.65</v>
      </c>
      <c r="P15" s="14">
        <v>0.57999999999999996</v>
      </c>
      <c r="Q15" s="14">
        <v>0.72</v>
      </c>
      <c r="R15" s="14">
        <v>0.68</v>
      </c>
      <c r="S15" s="14">
        <v>0.71</v>
      </c>
      <c r="T15" s="14">
        <v>0.63</v>
      </c>
      <c r="U15" s="14">
        <v>0.61</v>
      </c>
      <c r="V15" s="14">
        <v>0.69000000000000006</v>
      </c>
      <c r="W15" s="14">
        <v>0.65</v>
      </c>
      <c r="X15" s="14">
        <v>0.51</v>
      </c>
      <c r="Y15" s="14">
        <v>0.52</v>
      </c>
      <c r="Z15" s="14">
        <v>0.75</v>
      </c>
      <c r="AA15" s="14">
        <v>0.74</v>
      </c>
      <c r="AB15" s="14">
        <v>0.54</v>
      </c>
      <c r="AC15" s="14">
        <v>0.63</v>
      </c>
      <c r="AD15" s="14">
        <v>0.65</v>
      </c>
      <c r="AE15" s="14">
        <v>0.6</v>
      </c>
      <c r="AF15" s="14">
        <v>0.52</v>
      </c>
    </row>
    <row r="16" spans="1:32" x14ac:dyDescent="0.25">
      <c r="A16" s="19"/>
      <c r="B16" s="11" t="s">
        <v>715</v>
      </c>
      <c r="C16" s="12">
        <v>3641</v>
      </c>
      <c r="D16" s="12">
        <v>129</v>
      </c>
      <c r="E16" s="12">
        <v>272</v>
      </c>
      <c r="F16" s="12">
        <v>120</v>
      </c>
      <c r="G16" s="12">
        <v>40</v>
      </c>
      <c r="H16" s="12">
        <v>122</v>
      </c>
      <c r="I16" s="12">
        <v>174</v>
      </c>
      <c r="J16" s="12">
        <v>52</v>
      </c>
      <c r="K16" s="12">
        <v>158</v>
      </c>
      <c r="L16" s="12">
        <v>44</v>
      </c>
      <c r="M16" s="12">
        <v>316</v>
      </c>
      <c r="N16" s="12">
        <v>98</v>
      </c>
      <c r="O16" s="12">
        <v>144</v>
      </c>
      <c r="P16" s="12">
        <v>234</v>
      </c>
      <c r="Q16" s="12">
        <v>173</v>
      </c>
      <c r="R16" s="12">
        <v>67</v>
      </c>
      <c r="S16" s="12">
        <v>149</v>
      </c>
      <c r="T16" s="12">
        <v>125</v>
      </c>
      <c r="U16" s="12">
        <v>27</v>
      </c>
      <c r="V16" s="12">
        <v>191</v>
      </c>
      <c r="W16" s="12">
        <v>60</v>
      </c>
      <c r="X16" s="12">
        <v>67</v>
      </c>
      <c r="Y16" s="12">
        <v>118</v>
      </c>
      <c r="Z16" s="12">
        <v>91</v>
      </c>
      <c r="AA16" s="12">
        <v>205</v>
      </c>
      <c r="AB16" s="12">
        <v>336</v>
      </c>
      <c r="AC16" s="12">
        <v>53</v>
      </c>
      <c r="AD16" s="12">
        <v>128</v>
      </c>
      <c r="AE16" s="12">
        <v>58</v>
      </c>
      <c r="AF16" s="12">
        <v>91</v>
      </c>
    </row>
    <row r="17" spans="1:32" x14ac:dyDescent="0.25">
      <c r="A17" s="19"/>
      <c r="B17" s="13" t="s">
        <v>712</v>
      </c>
      <c r="C17" s="14">
        <v>0.14000000000000001</v>
      </c>
      <c r="D17" s="14">
        <v>0.13</v>
      </c>
      <c r="E17" s="14">
        <v>0.26</v>
      </c>
      <c r="F17" s="14">
        <v>0.11</v>
      </c>
      <c r="G17" s="14">
        <v>0.04</v>
      </c>
      <c r="H17" s="14">
        <v>0.1</v>
      </c>
      <c r="I17" s="14">
        <v>0.11</v>
      </c>
      <c r="J17" s="14">
        <v>0.18</v>
      </c>
      <c r="K17" s="14">
        <v>0.16</v>
      </c>
      <c r="L17" s="14">
        <v>0.04</v>
      </c>
      <c r="M17" s="14">
        <v>0.31</v>
      </c>
      <c r="N17" s="14">
        <v>0.1</v>
      </c>
      <c r="O17" s="14">
        <v>0.15</v>
      </c>
      <c r="P17" s="14">
        <v>0.23</v>
      </c>
      <c r="Q17" s="14">
        <v>0.17</v>
      </c>
      <c r="R17" s="14">
        <v>0.13</v>
      </c>
      <c r="S17" s="14">
        <v>0.15</v>
      </c>
      <c r="T17" s="14">
        <v>0.12</v>
      </c>
      <c r="U17" s="14">
        <v>0.06</v>
      </c>
      <c r="V17" s="14">
        <v>0.19</v>
      </c>
      <c r="W17" s="14">
        <v>0.12</v>
      </c>
      <c r="X17" s="14">
        <v>7.0000000000000007E-2</v>
      </c>
      <c r="Y17" s="14">
        <v>0.12</v>
      </c>
      <c r="Z17" s="14">
        <v>0.09</v>
      </c>
      <c r="AA17" s="14">
        <v>0.2</v>
      </c>
      <c r="AB17" s="14">
        <v>0.32</v>
      </c>
      <c r="AC17" s="14">
        <v>0.05</v>
      </c>
      <c r="AD17" s="14">
        <v>0.13</v>
      </c>
      <c r="AE17" s="14">
        <v>0.06</v>
      </c>
      <c r="AF17" s="14">
        <v>0.09</v>
      </c>
    </row>
    <row r="18" spans="1:32" x14ac:dyDescent="0.25">
      <c r="A18" s="19"/>
      <c r="B18" s="11" t="s">
        <v>713</v>
      </c>
      <c r="C18" s="12">
        <v>487</v>
      </c>
      <c r="D18" s="12">
        <v>23</v>
      </c>
      <c r="E18" s="12">
        <v>58</v>
      </c>
      <c r="F18" s="12">
        <v>9</v>
      </c>
      <c r="G18" s="12">
        <v>6</v>
      </c>
      <c r="H18" s="12">
        <v>10</v>
      </c>
      <c r="I18" s="12">
        <v>22</v>
      </c>
      <c r="J18" s="12">
        <v>11</v>
      </c>
      <c r="K18" s="12">
        <v>29</v>
      </c>
      <c r="L18" s="12">
        <v>6</v>
      </c>
      <c r="M18" s="12">
        <v>62</v>
      </c>
      <c r="N18" s="12">
        <v>13</v>
      </c>
      <c r="O18" s="12">
        <v>23</v>
      </c>
      <c r="P18" s="12">
        <v>24</v>
      </c>
      <c r="Q18" s="12">
        <v>14</v>
      </c>
      <c r="R18" s="12">
        <v>6</v>
      </c>
      <c r="S18" s="12">
        <v>13</v>
      </c>
      <c r="T18" s="12">
        <v>20</v>
      </c>
      <c r="U18" s="12">
        <v>6</v>
      </c>
      <c r="V18" s="12">
        <v>25</v>
      </c>
      <c r="W18" s="12">
        <v>11</v>
      </c>
      <c r="X18" s="12">
        <v>3</v>
      </c>
      <c r="Y18" s="12">
        <v>23</v>
      </c>
      <c r="Z18" s="12">
        <v>5</v>
      </c>
      <c r="AA18" s="12">
        <v>20</v>
      </c>
      <c r="AB18" s="12">
        <v>76</v>
      </c>
      <c r="AC18" s="12">
        <v>5</v>
      </c>
      <c r="AD18" s="12">
        <v>5</v>
      </c>
      <c r="AE18" s="12">
        <v>7</v>
      </c>
      <c r="AF18" s="12">
        <v>9</v>
      </c>
    </row>
    <row r="19" spans="1:32" x14ac:dyDescent="0.25">
      <c r="A19" s="19"/>
      <c r="B19" s="13" t="s">
        <v>714</v>
      </c>
      <c r="C19" s="14">
        <v>0.02</v>
      </c>
      <c r="D19" s="14">
        <v>0.02</v>
      </c>
      <c r="E19" s="14">
        <v>0.05</v>
      </c>
      <c r="F19" s="14">
        <v>0.01</v>
      </c>
      <c r="G19" s="14">
        <v>0.01</v>
      </c>
      <c r="H19" s="14">
        <v>0.01</v>
      </c>
      <c r="I19" s="14">
        <v>0.02</v>
      </c>
      <c r="J19" s="14">
        <v>0.04</v>
      </c>
      <c r="K19" s="14">
        <v>0.03</v>
      </c>
      <c r="L19" s="14">
        <v>0.01</v>
      </c>
      <c r="M19" s="14">
        <v>0.06</v>
      </c>
      <c r="N19" s="14">
        <v>0.01</v>
      </c>
      <c r="O19" s="14">
        <v>0.02</v>
      </c>
      <c r="P19" s="14">
        <v>0.02</v>
      </c>
      <c r="Q19" s="14">
        <v>0.01</v>
      </c>
      <c r="R19" s="14">
        <v>0.01</v>
      </c>
      <c r="S19" s="14">
        <v>0.01</v>
      </c>
      <c r="T19" s="14">
        <v>0.02</v>
      </c>
      <c r="U19" s="14">
        <v>0.01</v>
      </c>
      <c r="V19" s="14">
        <v>0.02</v>
      </c>
      <c r="W19" s="14">
        <v>0.02</v>
      </c>
      <c r="X19" s="15" t="s">
        <v>213</v>
      </c>
      <c r="Y19" s="14">
        <v>0.02</v>
      </c>
      <c r="Z19" s="14">
        <v>0.01</v>
      </c>
      <c r="AA19" s="14">
        <v>0.02</v>
      </c>
      <c r="AB19" s="14">
        <v>7.0000000000000007E-2</v>
      </c>
      <c r="AC19" s="14">
        <v>0.01</v>
      </c>
      <c r="AD19" s="15" t="s">
        <v>213</v>
      </c>
      <c r="AE19" s="14">
        <v>0.01</v>
      </c>
      <c r="AF19" s="14">
        <v>0.01</v>
      </c>
    </row>
    <row r="20" spans="1:32" x14ac:dyDescent="0.25">
      <c r="A20" s="19"/>
      <c r="B20" s="11" t="s">
        <v>224</v>
      </c>
      <c r="C20" s="12">
        <v>50</v>
      </c>
      <c r="D20" s="12">
        <v>0</v>
      </c>
      <c r="E20" s="12">
        <v>3</v>
      </c>
      <c r="F20" s="12">
        <v>3</v>
      </c>
      <c r="G20" s="12">
        <v>0</v>
      </c>
      <c r="H20" s="12">
        <v>0</v>
      </c>
      <c r="I20" s="12">
        <v>1</v>
      </c>
      <c r="J20" s="12">
        <v>1</v>
      </c>
      <c r="K20" s="12">
        <v>19</v>
      </c>
      <c r="L20" s="12">
        <v>1</v>
      </c>
      <c r="M20" s="12">
        <v>0</v>
      </c>
      <c r="N20" s="12">
        <v>0</v>
      </c>
      <c r="O20" s="12">
        <v>2</v>
      </c>
      <c r="P20" s="12">
        <v>1</v>
      </c>
      <c r="Q20" s="12">
        <v>3</v>
      </c>
      <c r="R20" s="12">
        <v>2</v>
      </c>
      <c r="S20" s="12">
        <v>6</v>
      </c>
      <c r="T20" s="12">
        <v>3</v>
      </c>
      <c r="U20" s="12">
        <v>1</v>
      </c>
      <c r="V20" s="12">
        <v>3</v>
      </c>
      <c r="W20" s="12">
        <v>0</v>
      </c>
      <c r="X20" s="12">
        <v>3</v>
      </c>
      <c r="Y20" s="12">
        <v>0</v>
      </c>
      <c r="Z20" s="12">
        <v>10</v>
      </c>
      <c r="AA20" s="12">
        <v>0</v>
      </c>
      <c r="AB20" s="12">
        <v>1</v>
      </c>
      <c r="AC20" s="12">
        <v>0</v>
      </c>
      <c r="AD20" s="12">
        <v>0</v>
      </c>
      <c r="AE20" s="12">
        <v>1</v>
      </c>
      <c r="AF20" s="12">
        <v>0</v>
      </c>
    </row>
    <row r="21" spans="1:32" x14ac:dyDescent="0.25">
      <c r="A21" s="19"/>
      <c r="B21" s="13" t="s">
        <v>237</v>
      </c>
      <c r="C21" s="15" t="s">
        <v>213</v>
      </c>
      <c r="D21" s="15" t="s">
        <v>213</v>
      </c>
      <c r="E21" s="15" t="s">
        <v>213</v>
      </c>
      <c r="F21" s="15" t="s">
        <v>213</v>
      </c>
      <c r="G21" s="15" t="s">
        <v>213</v>
      </c>
      <c r="H21" s="15" t="s">
        <v>213</v>
      </c>
      <c r="I21" s="15" t="s">
        <v>213</v>
      </c>
      <c r="J21" s="15" t="s">
        <v>213</v>
      </c>
      <c r="K21" s="14">
        <v>0.02</v>
      </c>
      <c r="L21" s="15" t="s">
        <v>213</v>
      </c>
      <c r="M21" s="15" t="s">
        <v>213</v>
      </c>
      <c r="N21" s="15" t="s">
        <v>213</v>
      </c>
      <c r="O21" s="15" t="s">
        <v>213</v>
      </c>
      <c r="P21" s="15" t="s">
        <v>213</v>
      </c>
      <c r="Q21" s="15" t="s">
        <v>213</v>
      </c>
      <c r="R21" s="14">
        <v>0.01</v>
      </c>
      <c r="S21" s="14">
        <v>0.01</v>
      </c>
      <c r="T21" s="15" t="s">
        <v>213</v>
      </c>
      <c r="U21" s="15" t="s">
        <v>213</v>
      </c>
      <c r="V21" s="15" t="s">
        <v>213</v>
      </c>
      <c r="W21" s="15" t="s">
        <v>213</v>
      </c>
      <c r="X21" s="15" t="s">
        <v>213</v>
      </c>
      <c r="Y21" s="15" t="s">
        <v>213</v>
      </c>
      <c r="Z21" s="14">
        <v>0.01</v>
      </c>
      <c r="AA21" s="15" t="s">
        <v>213</v>
      </c>
      <c r="AB21" s="15" t="s">
        <v>213</v>
      </c>
      <c r="AC21" s="15" t="s">
        <v>213</v>
      </c>
      <c r="AD21" s="15" t="s">
        <v>213</v>
      </c>
      <c r="AE21" s="15" t="s">
        <v>213</v>
      </c>
      <c r="AF21" s="15" t="s">
        <v>213</v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716</v>
      </c>
      <c r="C3" s="18"/>
      <c r="D3" s="18"/>
      <c r="E3" s="18"/>
      <c r="F3" s="18"/>
      <c r="H3" s="18" t="s">
        <v>717</v>
      </c>
      <c r="I3" s="18"/>
      <c r="J3" s="18"/>
      <c r="K3" s="18"/>
      <c r="L3" s="18"/>
    </row>
    <row r="4" spans="1:32" ht="27" customHeight="1" x14ac:dyDescent="0.25">
      <c r="B4" s="18" t="s">
        <v>718</v>
      </c>
      <c r="C4" s="18"/>
      <c r="D4" s="18"/>
      <c r="E4" s="18"/>
      <c r="F4" s="18"/>
      <c r="H4" s="18" t="s">
        <v>719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720</v>
      </c>
      <c r="C12" s="12">
        <v>20687</v>
      </c>
      <c r="D12" s="12">
        <v>860</v>
      </c>
      <c r="E12" s="12">
        <v>743</v>
      </c>
      <c r="F12" s="12">
        <v>767</v>
      </c>
      <c r="G12" s="12">
        <v>961</v>
      </c>
      <c r="H12" s="12">
        <v>922</v>
      </c>
      <c r="I12" s="12">
        <v>1143</v>
      </c>
      <c r="J12" s="12">
        <v>221</v>
      </c>
      <c r="K12" s="12">
        <v>804</v>
      </c>
      <c r="L12" s="12">
        <v>871</v>
      </c>
      <c r="M12" s="12">
        <v>769</v>
      </c>
      <c r="N12" s="12">
        <v>865</v>
      </c>
      <c r="O12" s="12">
        <v>804</v>
      </c>
      <c r="P12" s="12">
        <v>704</v>
      </c>
      <c r="Q12" s="12">
        <v>726</v>
      </c>
      <c r="R12" s="12">
        <v>425</v>
      </c>
      <c r="S12" s="12">
        <v>849</v>
      </c>
      <c r="T12" s="12">
        <v>775</v>
      </c>
      <c r="U12" s="12">
        <v>459</v>
      </c>
      <c r="V12" s="12">
        <v>716</v>
      </c>
      <c r="W12" s="12">
        <v>414</v>
      </c>
      <c r="X12" s="12">
        <v>977</v>
      </c>
      <c r="Y12" s="12">
        <v>694</v>
      </c>
      <c r="Z12" s="12">
        <v>758</v>
      </c>
      <c r="AA12" s="12">
        <v>777</v>
      </c>
      <c r="AB12" s="12">
        <v>784</v>
      </c>
      <c r="AC12" s="12">
        <v>753</v>
      </c>
      <c r="AD12" s="12">
        <v>809</v>
      </c>
      <c r="AE12" s="12">
        <v>904</v>
      </c>
      <c r="AF12" s="12">
        <v>986</v>
      </c>
    </row>
    <row r="13" spans="1:32" ht="23.25" x14ac:dyDescent="0.25">
      <c r="A13" s="19"/>
      <c r="B13" s="13" t="s">
        <v>721</v>
      </c>
      <c r="C13" s="14">
        <v>0.78</v>
      </c>
      <c r="D13" s="14">
        <v>0.84</v>
      </c>
      <c r="E13" s="14">
        <v>0.71</v>
      </c>
      <c r="F13" s="14">
        <v>0.72</v>
      </c>
      <c r="G13" s="14">
        <v>0.95000000000000007</v>
      </c>
      <c r="H13" s="14">
        <v>0.75</v>
      </c>
      <c r="I13" s="14">
        <v>0.75</v>
      </c>
      <c r="J13" s="14">
        <v>0.74</v>
      </c>
      <c r="K13" s="14">
        <v>0.8</v>
      </c>
      <c r="L13" s="14">
        <v>0.87</v>
      </c>
      <c r="M13" s="14">
        <v>0.76</v>
      </c>
      <c r="N13" s="14">
        <v>0.85</v>
      </c>
      <c r="O13" s="14">
        <v>0.8</v>
      </c>
      <c r="P13" s="14">
        <v>0.70000000000000007</v>
      </c>
      <c r="Q13" s="14">
        <v>0.70000000000000007</v>
      </c>
      <c r="R13" s="14">
        <v>0.85</v>
      </c>
      <c r="S13" s="14">
        <v>0.85</v>
      </c>
      <c r="T13" s="14">
        <v>0.76</v>
      </c>
      <c r="U13" s="14">
        <v>0.91</v>
      </c>
      <c r="V13" s="14">
        <v>0.70000000000000007</v>
      </c>
      <c r="W13" s="14">
        <v>0.83000000000000007</v>
      </c>
      <c r="X13" s="14">
        <v>0.97</v>
      </c>
      <c r="Y13" s="14">
        <v>0.69000000000000006</v>
      </c>
      <c r="Z13" s="14">
        <v>0.75</v>
      </c>
      <c r="AA13" s="14">
        <v>0.75</v>
      </c>
      <c r="AB13" s="14">
        <v>0.75</v>
      </c>
      <c r="AC13" s="14">
        <v>0.75</v>
      </c>
      <c r="AD13" s="14">
        <v>0.81</v>
      </c>
      <c r="AE13" s="14">
        <v>0.9</v>
      </c>
      <c r="AF13" s="14">
        <v>0.96</v>
      </c>
    </row>
    <row r="14" spans="1:32" ht="23.25" x14ac:dyDescent="0.25">
      <c r="A14" s="19"/>
      <c r="B14" s="11" t="s">
        <v>722</v>
      </c>
      <c r="C14" s="12">
        <v>1901</v>
      </c>
      <c r="D14" s="12">
        <v>85</v>
      </c>
      <c r="E14" s="12">
        <v>87</v>
      </c>
      <c r="F14" s="12">
        <v>113</v>
      </c>
      <c r="G14" s="12">
        <v>27</v>
      </c>
      <c r="H14" s="12">
        <v>137</v>
      </c>
      <c r="I14" s="12">
        <v>165</v>
      </c>
      <c r="J14" s="12">
        <v>28</v>
      </c>
      <c r="K14" s="12">
        <v>65</v>
      </c>
      <c r="L14" s="12">
        <v>54</v>
      </c>
      <c r="M14" s="12">
        <v>53</v>
      </c>
      <c r="N14" s="12">
        <v>41</v>
      </c>
      <c r="O14" s="12">
        <v>64</v>
      </c>
      <c r="P14" s="12">
        <v>73</v>
      </c>
      <c r="Q14" s="12">
        <v>80</v>
      </c>
      <c r="R14" s="12">
        <v>15</v>
      </c>
      <c r="S14" s="12">
        <v>20</v>
      </c>
      <c r="T14" s="12">
        <v>50</v>
      </c>
      <c r="U14" s="12">
        <v>22</v>
      </c>
      <c r="V14" s="12">
        <v>124</v>
      </c>
      <c r="W14" s="12">
        <v>25</v>
      </c>
      <c r="X14" s="12">
        <v>14</v>
      </c>
      <c r="Y14" s="12">
        <v>131</v>
      </c>
      <c r="Z14" s="12">
        <v>75</v>
      </c>
      <c r="AA14" s="12">
        <v>55</v>
      </c>
      <c r="AB14" s="12">
        <v>65</v>
      </c>
      <c r="AC14" s="12">
        <v>62</v>
      </c>
      <c r="AD14" s="12">
        <v>69</v>
      </c>
      <c r="AE14" s="12">
        <v>38</v>
      </c>
      <c r="AF14" s="12">
        <v>28</v>
      </c>
    </row>
    <row r="15" spans="1:32" ht="23.25" x14ac:dyDescent="0.25">
      <c r="A15" s="19"/>
      <c r="B15" s="13" t="s">
        <v>723</v>
      </c>
      <c r="C15" s="14">
        <v>7.0000000000000007E-2</v>
      </c>
      <c r="D15" s="14">
        <v>0.08</v>
      </c>
      <c r="E15" s="14">
        <v>0.08</v>
      </c>
      <c r="F15" s="14">
        <v>0.11</v>
      </c>
      <c r="G15" s="14">
        <v>0.03</v>
      </c>
      <c r="H15" s="14">
        <v>0.11</v>
      </c>
      <c r="I15" s="14">
        <v>0.11</v>
      </c>
      <c r="J15" s="14">
        <v>0.1</v>
      </c>
      <c r="K15" s="14">
        <v>0.06</v>
      </c>
      <c r="L15" s="14">
        <v>0.05</v>
      </c>
      <c r="M15" s="14">
        <v>0.05</v>
      </c>
      <c r="N15" s="14">
        <v>0.04</v>
      </c>
      <c r="O15" s="14">
        <v>0.06</v>
      </c>
      <c r="P15" s="14">
        <v>7.0000000000000007E-2</v>
      </c>
      <c r="Q15" s="14">
        <v>0.08</v>
      </c>
      <c r="R15" s="14">
        <v>0.03</v>
      </c>
      <c r="S15" s="14">
        <v>0.02</v>
      </c>
      <c r="T15" s="14">
        <v>0.05</v>
      </c>
      <c r="U15" s="14">
        <v>0.04</v>
      </c>
      <c r="V15" s="14">
        <v>0.12</v>
      </c>
      <c r="W15" s="14">
        <v>0.05</v>
      </c>
      <c r="X15" s="14">
        <v>0.01</v>
      </c>
      <c r="Y15" s="14">
        <v>0.13</v>
      </c>
      <c r="Z15" s="14">
        <v>7.0000000000000007E-2</v>
      </c>
      <c r="AA15" s="14">
        <v>0.05</v>
      </c>
      <c r="AB15" s="14">
        <v>0.06</v>
      </c>
      <c r="AC15" s="14">
        <v>0.06</v>
      </c>
      <c r="AD15" s="14">
        <v>7.0000000000000007E-2</v>
      </c>
      <c r="AE15" s="14">
        <v>0.04</v>
      </c>
      <c r="AF15" s="14">
        <v>0.03</v>
      </c>
    </row>
    <row r="16" spans="1:32" ht="23.25" x14ac:dyDescent="0.25">
      <c r="A16" s="19"/>
      <c r="B16" s="11" t="s">
        <v>724</v>
      </c>
      <c r="C16" s="12">
        <v>493</v>
      </c>
      <c r="D16" s="12">
        <v>18</v>
      </c>
      <c r="E16" s="12">
        <v>22</v>
      </c>
      <c r="F16" s="12">
        <v>33</v>
      </c>
      <c r="G16" s="12">
        <v>3</v>
      </c>
      <c r="H16" s="12">
        <v>28</v>
      </c>
      <c r="I16" s="12">
        <v>37</v>
      </c>
      <c r="J16" s="12">
        <v>8</v>
      </c>
      <c r="K16" s="12">
        <v>25</v>
      </c>
      <c r="L16" s="12">
        <v>10</v>
      </c>
      <c r="M16" s="12">
        <v>12</v>
      </c>
      <c r="N16" s="12">
        <v>6</v>
      </c>
      <c r="O16" s="12">
        <v>17</v>
      </c>
      <c r="P16" s="12">
        <v>27</v>
      </c>
      <c r="Q16" s="12">
        <v>30</v>
      </c>
      <c r="R16" s="12">
        <v>3</v>
      </c>
      <c r="S16" s="12">
        <v>4</v>
      </c>
      <c r="T16" s="12">
        <v>7</v>
      </c>
      <c r="U16" s="12">
        <v>7</v>
      </c>
      <c r="V16" s="12">
        <v>39</v>
      </c>
      <c r="W16" s="12">
        <v>10</v>
      </c>
      <c r="X16" s="12">
        <v>7</v>
      </c>
      <c r="Y16" s="12">
        <v>39</v>
      </c>
      <c r="Z16" s="12">
        <v>16</v>
      </c>
      <c r="AA16" s="12">
        <v>12</v>
      </c>
      <c r="AB16" s="12">
        <v>17</v>
      </c>
      <c r="AC16" s="12">
        <v>22</v>
      </c>
      <c r="AD16" s="12">
        <v>14</v>
      </c>
      <c r="AE16" s="12">
        <v>19</v>
      </c>
      <c r="AF16" s="12">
        <v>3</v>
      </c>
    </row>
    <row r="17" spans="1:32" x14ac:dyDescent="0.25">
      <c r="A17" s="19"/>
      <c r="B17" s="13" t="s">
        <v>725</v>
      </c>
      <c r="C17" s="14">
        <v>0.02</v>
      </c>
      <c r="D17" s="14">
        <v>0.02</v>
      </c>
      <c r="E17" s="14">
        <v>0.02</v>
      </c>
      <c r="F17" s="14">
        <v>0.03</v>
      </c>
      <c r="G17" s="15" t="s">
        <v>213</v>
      </c>
      <c r="H17" s="14">
        <v>0.03</v>
      </c>
      <c r="I17" s="14">
        <v>0.02</v>
      </c>
      <c r="J17" s="14">
        <v>0.03</v>
      </c>
      <c r="K17" s="14">
        <v>0.03</v>
      </c>
      <c r="L17" s="14">
        <v>0.01</v>
      </c>
      <c r="M17" s="14">
        <v>0.01</v>
      </c>
      <c r="N17" s="14">
        <v>0.01</v>
      </c>
      <c r="O17" s="14">
        <v>0.02</v>
      </c>
      <c r="P17" s="14">
        <v>0.03</v>
      </c>
      <c r="Q17" s="14">
        <v>0.03</v>
      </c>
      <c r="R17" s="14">
        <v>0.01</v>
      </c>
      <c r="S17" s="15" t="s">
        <v>213</v>
      </c>
      <c r="T17" s="14">
        <v>0.01</v>
      </c>
      <c r="U17" s="14">
        <v>0.01</v>
      </c>
      <c r="V17" s="14">
        <v>0.04</v>
      </c>
      <c r="W17" s="14">
        <v>0.02</v>
      </c>
      <c r="X17" s="14">
        <v>0.01</v>
      </c>
      <c r="Y17" s="14">
        <v>0.04</v>
      </c>
      <c r="Z17" s="14">
        <v>0.02</v>
      </c>
      <c r="AA17" s="14">
        <v>0.01</v>
      </c>
      <c r="AB17" s="14">
        <v>0.02</v>
      </c>
      <c r="AC17" s="14">
        <v>0.02</v>
      </c>
      <c r="AD17" s="14">
        <v>0.01</v>
      </c>
      <c r="AE17" s="14">
        <v>0.02</v>
      </c>
      <c r="AF17" s="15" t="s">
        <v>213</v>
      </c>
    </row>
    <row r="18" spans="1:32" ht="23.25" x14ac:dyDescent="0.25">
      <c r="A18" s="19"/>
      <c r="B18" s="11" t="s">
        <v>726</v>
      </c>
      <c r="C18" s="12">
        <v>199</v>
      </c>
      <c r="D18" s="12">
        <v>2</v>
      </c>
      <c r="E18" s="12">
        <v>7</v>
      </c>
      <c r="F18" s="12">
        <v>15</v>
      </c>
      <c r="G18" s="12">
        <v>2</v>
      </c>
      <c r="H18" s="12">
        <v>3</v>
      </c>
      <c r="I18" s="12">
        <v>7</v>
      </c>
      <c r="J18" s="12">
        <v>4</v>
      </c>
      <c r="K18" s="12">
        <v>1</v>
      </c>
      <c r="L18" s="12">
        <v>1</v>
      </c>
      <c r="M18" s="12">
        <v>2</v>
      </c>
      <c r="N18" s="12">
        <v>3</v>
      </c>
      <c r="O18" s="12">
        <v>9</v>
      </c>
      <c r="P18" s="12">
        <v>8</v>
      </c>
      <c r="Q18" s="12">
        <v>22</v>
      </c>
      <c r="R18" s="12">
        <v>1</v>
      </c>
      <c r="S18" s="12">
        <v>5</v>
      </c>
      <c r="T18" s="12">
        <v>3</v>
      </c>
      <c r="U18" s="12">
        <v>1</v>
      </c>
      <c r="V18" s="12">
        <v>5</v>
      </c>
      <c r="W18" s="12">
        <v>1</v>
      </c>
      <c r="X18" s="12">
        <v>9</v>
      </c>
      <c r="Y18" s="12">
        <v>9</v>
      </c>
      <c r="Z18" s="12">
        <v>6</v>
      </c>
      <c r="AA18" s="12">
        <v>2</v>
      </c>
      <c r="AB18" s="12">
        <v>3</v>
      </c>
      <c r="AC18" s="12">
        <v>7</v>
      </c>
      <c r="AD18" s="12">
        <v>5</v>
      </c>
      <c r="AE18" s="12">
        <v>4</v>
      </c>
      <c r="AF18" s="12">
        <v>1</v>
      </c>
    </row>
    <row r="19" spans="1:32" ht="23.25" x14ac:dyDescent="0.25">
      <c r="A19" s="19"/>
      <c r="B19" s="13" t="s">
        <v>727</v>
      </c>
      <c r="C19" s="14">
        <v>0.01</v>
      </c>
      <c r="D19" s="15" t="s">
        <v>213</v>
      </c>
      <c r="E19" s="14">
        <v>0.01</v>
      </c>
      <c r="F19" s="14">
        <v>0.01</v>
      </c>
      <c r="G19" s="15" t="s">
        <v>213</v>
      </c>
      <c r="H19" s="15" t="s">
        <v>213</v>
      </c>
      <c r="I19" s="15" t="s">
        <v>213</v>
      </c>
      <c r="J19" s="14">
        <v>0.01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4">
        <v>0.01</v>
      </c>
      <c r="P19" s="14">
        <v>0.01</v>
      </c>
      <c r="Q19" s="14">
        <v>0.02</v>
      </c>
      <c r="R19" s="15" t="s">
        <v>213</v>
      </c>
      <c r="S19" s="14">
        <v>0.01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4">
        <v>0.01</v>
      </c>
      <c r="Y19" s="14">
        <v>0.01</v>
      </c>
      <c r="Z19" s="14">
        <v>0.01</v>
      </c>
      <c r="AA19" s="15" t="s">
        <v>213</v>
      </c>
      <c r="AB19" s="15" t="s">
        <v>213</v>
      </c>
      <c r="AC19" s="14">
        <v>0.01</v>
      </c>
      <c r="AD19" s="15" t="s">
        <v>213</v>
      </c>
      <c r="AE19" s="15" t="s">
        <v>213</v>
      </c>
      <c r="AF19" s="15" t="s">
        <v>213</v>
      </c>
    </row>
    <row r="20" spans="1:32" x14ac:dyDescent="0.25">
      <c r="A20" s="19"/>
      <c r="B20" s="11" t="s">
        <v>728</v>
      </c>
      <c r="C20" s="12">
        <v>347</v>
      </c>
      <c r="D20" s="12">
        <v>19</v>
      </c>
      <c r="E20" s="12">
        <v>15</v>
      </c>
      <c r="F20" s="12">
        <v>15</v>
      </c>
      <c r="G20" s="12">
        <v>2</v>
      </c>
      <c r="H20" s="12">
        <v>15</v>
      </c>
      <c r="I20" s="12">
        <v>24</v>
      </c>
      <c r="J20" s="12">
        <v>9</v>
      </c>
      <c r="K20" s="12">
        <v>17</v>
      </c>
      <c r="L20" s="12">
        <v>7</v>
      </c>
      <c r="M20" s="12">
        <v>6</v>
      </c>
      <c r="N20" s="12">
        <v>6</v>
      </c>
      <c r="O20" s="12">
        <v>15</v>
      </c>
      <c r="P20" s="12">
        <v>43</v>
      </c>
      <c r="Q20" s="12">
        <v>29</v>
      </c>
      <c r="R20" s="12">
        <v>3</v>
      </c>
      <c r="S20" s="12">
        <v>7</v>
      </c>
      <c r="T20" s="12">
        <v>7</v>
      </c>
      <c r="U20" s="12">
        <v>4</v>
      </c>
      <c r="V20" s="12">
        <v>9</v>
      </c>
      <c r="W20" s="12">
        <v>2</v>
      </c>
      <c r="X20" s="12">
        <v>0</v>
      </c>
      <c r="Y20" s="12">
        <v>11</v>
      </c>
      <c r="Z20" s="12">
        <v>5</v>
      </c>
      <c r="AA20" s="12">
        <v>7</v>
      </c>
      <c r="AB20" s="12">
        <v>8</v>
      </c>
      <c r="AC20" s="12">
        <v>34</v>
      </c>
      <c r="AD20" s="12">
        <v>17</v>
      </c>
      <c r="AE20" s="12">
        <v>2</v>
      </c>
      <c r="AF20" s="12">
        <v>3</v>
      </c>
    </row>
    <row r="21" spans="1:32" x14ac:dyDescent="0.25">
      <c r="A21" s="19"/>
      <c r="B21" s="13" t="s">
        <v>729</v>
      </c>
      <c r="C21" s="14">
        <v>0.01</v>
      </c>
      <c r="D21" s="14">
        <v>0.02</v>
      </c>
      <c r="E21" s="14">
        <v>0.02</v>
      </c>
      <c r="F21" s="14">
        <v>0.01</v>
      </c>
      <c r="G21" s="15" t="s">
        <v>213</v>
      </c>
      <c r="H21" s="14">
        <v>0.01</v>
      </c>
      <c r="I21" s="14">
        <v>0.02</v>
      </c>
      <c r="J21" s="14">
        <v>0.03</v>
      </c>
      <c r="K21" s="14">
        <v>0.02</v>
      </c>
      <c r="L21" s="14">
        <v>0.01</v>
      </c>
      <c r="M21" s="14">
        <v>0.01</v>
      </c>
      <c r="N21" s="14">
        <v>0.01</v>
      </c>
      <c r="O21" s="14">
        <v>0.02</v>
      </c>
      <c r="P21" s="14">
        <v>0.04</v>
      </c>
      <c r="Q21" s="14">
        <v>0.03</v>
      </c>
      <c r="R21" s="14">
        <v>0.01</v>
      </c>
      <c r="S21" s="14">
        <v>0.01</v>
      </c>
      <c r="T21" s="14">
        <v>0.01</v>
      </c>
      <c r="U21" s="14">
        <v>0.01</v>
      </c>
      <c r="V21" s="14">
        <v>0.01</v>
      </c>
      <c r="W21" s="15" t="s">
        <v>213</v>
      </c>
      <c r="X21" s="15" t="s">
        <v>213</v>
      </c>
      <c r="Y21" s="14">
        <v>0.01</v>
      </c>
      <c r="Z21" s="15" t="s">
        <v>213</v>
      </c>
      <c r="AA21" s="14">
        <v>0.01</v>
      </c>
      <c r="AB21" s="14">
        <v>0.01</v>
      </c>
      <c r="AC21" s="14">
        <v>0.03</v>
      </c>
      <c r="AD21" s="14">
        <v>0.02</v>
      </c>
      <c r="AE21" s="15" t="s">
        <v>213</v>
      </c>
      <c r="AF21" s="15" t="s">
        <v>213</v>
      </c>
    </row>
    <row r="22" spans="1:32" x14ac:dyDescent="0.25">
      <c r="A22" s="19"/>
      <c r="B22" s="11" t="s">
        <v>730</v>
      </c>
      <c r="C22" s="12">
        <v>2609</v>
      </c>
      <c r="D22" s="12">
        <v>32</v>
      </c>
      <c r="E22" s="12">
        <v>138</v>
      </c>
      <c r="F22" s="12">
        <v>111</v>
      </c>
      <c r="G22" s="12">
        <v>19</v>
      </c>
      <c r="H22" s="12">
        <v>109</v>
      </c>
      <c r="I22" s="12">
        <v>136</v>
      </c>
      <c r="J22" s="12">
        <v>26</v>
      </c>
      <c r="K22" s="12">
        <v>75</v>
      </c>
      <c r="L22" s="12">
        <v>63</v>
      </c>
      <c r="M22" s="12">
        <v>129</v>
      </c>
      <c r="N22" s="12">
        <v>77</v>
      </c>
      <c r="O22" s="12">
        <v>94</v>
      </c>
      <c r="P22" s="12">
        <v>122</v>
      </c>
      <c r="Q22" s="12">
        <v>141</v>
      </c>
      <c r="R22" s="12">
        <v>53</v>
      </c>
      <c r="S22" s="12">
        <v>115</v>
      </c>
      <c r="T22" s="12">
        <v>167</v>
      </c>
      <c r="U22" s="12">
        <v>15</v>
      </c>
      <c r="V22" s="12">
        <v>133</v>
      </c>
      <c r="W22" s="12">
        <v>37</v>
      </c>
      <c r="X22" s="12">
        <v>3</v>
      </c>
      <c r="Y22" s="12">
        <v>75</v>
      </c>
      <c r="Z22" s="12">
        <v>155</v>
      </c>
      <c r="AA22" s="12">
        <v>156</v>
      </c>
      <c r="AB22" s="12">
        <v>159</v>
      </c>
      <c r="AC22" s="12">
        <v>119</v>
      </c>
      <c r="AD22" s="12">
        <v>80</v>
      </c>
      <c r="AE22" s="12">
        <v>30</v>
      </c>
      <c r="AF22" s="12">
        <v>9</v>
      </c>
    </row>
    <row r="23" spans="1:32" x14ac:dyDescent="0.25">
      <c r="A23" s="19"/>
      <c r="B23" s="13" t="s">
        <v>731</v>
      </c>
      <c r="C23" s="14">
        <v>0.1</v>
      </c>
      <c r="D23" s="14">
        <v>0.03</v>
      </c>
      <c r="E23" s="14">
        <v>0.13</v>
      </c>
      <c r="F23" s="14">
        <v>0.11</v>
      </c>
      <c r="G23" s="14">
        <v>0.02</v>
      </c>
      <c r="H23" s="14">
        <v>0.09</v>
      </c>
      <c r="I23" s="14">
        <v>0.09</v>
      </c>
      <c r="J23" s="14">
        <v>0.09</v>
      </c>
      <c r="K23" s="14">
        <v>7.0000000000000007E-2</v>
      </c>
      <c r="L23" s="14">
        <v>0.06</v>
      </c>
      <c r="M23" s="14">
        <v>0.13</v>
      </c>
      <c r="N23" s="14">
        <v>0.08</v>
      </c>
      <c r="O23" s="14">
        <v>0.09</v>
      </c>
      <c r="P23" s="14">
        <v>0.12</v>
      </c>
      <c r="Q23" s="14">
        <v>0.14000000000000001</v>
      </c>
      <c r="R23" s="14">
        <v>0.1</v>
      </c>
      <c r="S23" s="14">
        <v>0.11</v>
      </c>
      <c r="T23" s="14">
        <v>0.16</v>
      </c>
      <c r="U23" s="14">
        <v>0.03</v>
      </c>
      <c r="V23" s="14">
        <v>0.13</v>
      </c>
      <c r="W23" s="14">
        <v>7.0000000000000007E-2</v>
      </c>
      <c r="X23" s="15" t="s">
        <v>213</v>
      </c>
      <c r="Y23" s="14">
        <v>0.08</v>
      </c>
      <c r="Z23" s="14">
        <v>0.15</v>
      </c>
      <c r="AA23" s="14">
        <v>0.15</v>
      </c>
      <c r="AB23" s="14">
        <v>0.15</v>
      </c>
      <c r="AC23" s="14">
        <v>0.12</v>
      </c>
      <c r="AD23" s="14">
        <v>0.08</v>
      </c>
      <c r="AE23" s="14">
        <v>0.03</v>
      </c>
      <c r="AF23" s="14">
        <v>0.01</v>
      </c>
    </row>
    <row r="24" spans="1:32" ht="23.25" x14ac:dyDescent="0.25">
      <c r="A24" s="19"/>
      <c r="B24" s="11" t="s">
        <v>732</v>
      </c>
      <c r="C24" s="12">
        <v>217</v>
      </c>
      <c r="D24" s="12">
        <v>5</v>
      </c>
      <c r="E24" s="12">
        <v>34</v>
      </c>
      <c r="F24" s="12">
        <v>11</v>
      </c>
      <c r="G24" s="12">
        <v>2</v>
      </c>
      <c r="H24" s="12">
        <v>15</v>
      </c>
      <c r="I24" s="12">
        <v>16</v>
      </c>
      <c r="J24" s="12">
        <v>1</v>
      </c>
      <c r="K24" s="12">
        <v>19</v>
      </c>
      <c r="L24" s="12">
        <v>0</v>
      </c>
      <c r="M24" s="12">
        <v>37</v>
      </c>
      <c r="N24" s="12">
        <v>14</v>
      </c>
      <c r="O24" s="12">
        <v>1</v>
      </c>
      <c r="P24" s="12">
        <v>26</v>
      </c>
      <c r="Q24" s="12">
        <v>4</v>
      </c>
      <c r="R24" s="12">
        <v>1</v>
      </c>
      <c r="S24" s="12">
        <v>4</v>
      </c>
      <c r="T24" s="12">
        <v>13</v>
      </c>
      <c r="U24" s="12">
        <v>0</v>
      </c>
      <c r="V24" s="12">
        <v>0</v>
      </c>
      <c r="W24" s="12">
        <v>15</v>
      </c>
      <c r="X24" s="12">
        <v>0</v>
      </c>
      <c r="Y24" s="12">
        <v>43</v>
      </c>
      <c r="Z24" s="12">
        <v>0</v>
      </c>
      <c r="AA24" s="12">
        <v>29</v>
      </c>
      <c r="AB24" s="12">
        <v>5</v>
      </c>
      <c r="AC24" s="12">
        <v>8</v>
      </c>
      <c r="AD24" s="12">
        <v>10</v>
      </c>
      <c r="AE24" s="12">
        <v>5</v>
      </c>
      <c r="AF24" s="12">
        <v>0</v>
      </c>
    </row>
    <row r="25" spans="1:32" ht="23.25" x14ac:dyDescent="0.25">
      <c r="A25" s="19"/>
      <c r="B25" s="13" t="s">
        <v>733</v>
      </c>
      <c r="C25" s="14">
        <v>0.01</v>
      </c>
      <c r="D25" s="14">
        <v>0.01</v>
      </c>
      <c r="E25" s="14">
        <v>0.03</v>
      </c>
      <c r="F25" s="14">
        <v>0.01</v>
      </c>
      <c r="G25" s="15" t="s">
        <v>213</v>
      </c>
      <c r="H25" s="14">
        <v>0.01</v>
      </c>
      <c r="I25" s="14">
        <v>0.01</v>
      </c>
      <c r="J25" s="15" t="s">
        <v>213</v>
      </c>
      <c r="K25" s="14">
        <v>0.02</v>
      </c>
      <c r="L25" s="15" t="s">
        <v>213</v>
      </c>
      <c r="M25" s="14">
        <v>0.04</v>
      </c>
      <c r="N25" s="14">
        <v>0.01</v>
      </c>
      <c r="O25" s="15" t="s">
        <v>213</v>
      </c>
      <c r="P25" s="14">
        <v>0.03</v>
      </c>
      <c r="Q25" s="15" t="s">
        <v>213</v>
      </c>
      <c r="R25" s="15" t="s">
        <v>213</v>
      </c>
      <c r="S25" s="15" t="s">
        <v>213</v>
      </c>
      <c r="T25" s="14">
        <v>0.01</v>
      </c>
      <c r="U25" s="15" t="s">
        <v>213</v>
      </c>
      <c r="V25" s="15" t="s">
        <v>213</v>
      </c>
      <c r="W25" s="14">
        <v>0.03</v>
      </c>
      <c r="X25" s="15" t="s">
        <v>213</v>
      </c>
      <c r="Y25" s="14">
        <v>0.04</v>
      </c>
      <c r="Z25" s="15" t="s">
        <v>213</v>
      </c>
      <c r="AA25" s="14">
        <v>0.03</v>
      </c>
      <c r="AB25" s="14">
        <v>0.01</v>
      </c>
      <c r="AC25" s="14">
        <v>0.01</v>
      </c>
      <c r="AD25" s="14">
        <v>0.01</v>
      </c>
      <c r="AE25" s="14">
        <v>0.01</v>
      </c>
      <c r="AF25" s="15" t="s">
        <v>213</v>
      </c>
    </row>
  </sheetData>
  <mergeCells count="9">
    <mergeCell ref="H3:L3"/>
    <mergeCell ref="C8:AF8"/>
    <mergeCell ref="B3:F3"/>
    <mergeCell ref="B5:F5"/>
    <mergeCell ref="A10:A25"/>
    <mergeCell ref="H5:L5"/>
    <mergeCell ref="B10:B11"/>
    <mergeCell ref="H4:L4"/>
    <mergeCell ref="B4:F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734</v>
      </c>
      <c r="C3" s="18"/>
      <c r="D3" s="18"/>
      <c r="E3" s="18"/>
      <c r="F3" s="18"/>
      <c r="H3" s="18" t="s">
        <v>735</v>
      </c>
      <c r="I3" s="18"/>
      <c r="J3" s="18"/>
      <c r="K3" s="18"/>
      <c r="L3" s="18"/>
    </row>
    <row r="4" spans="1:32" ht="27" customHeight="1" x14ac:dyDescent="0.25">
      <c r="B4" s="18" t="s">
        <v>736</v>
      </c>
      <c r="C4" s="18"/>
      <c r="D4" s="18"/>
      <c r="E4" s="18"/>
      <c r="F4" s="18"/>
      <c r="H4" s="18" t="s">
        <v>737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HYPERLINK("#Content!A69","&lt;&lt;Back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720</v>
      </c>
      <c r="C12" s="12">
        <v>12299</v>
      </c>
      <c r="D12" s="12">
        <v>529</v>
      </c>
      <c r="E12" s="12">
        <v>469</v>
      </c>
      <c r="F12" s="12">
        <v>510</v>
      </c>
      <c r="G12" s="12">
        <v>617</v>
      </c>
      <c r="H12" s="12">
        <v>548</v>
      </c>
      <c r="I12" s="12">
        <v>675</v>
      </c>
      <c r="J12" s="12">
        <v>127</v>
      </c>
      <c r="K12" s="12">
        <v>516</v>
      </c>
      <c r="L12" s="12">
        <v>560</v>
      </c>
      <c r="M12" s="12">
        <v>445</v>
      </c>
      <c r="N12" s="12">
        <v>429</v>
      </c>
      <c r="O12" s="12">
        <v>433</v>
      </c>
      <c r="P12" s="12">
        <v>539</v>
      </c>
      <c r="Q12" s="12">
        <v>460</v>
      </c>
      <c r="R12" s="12">
        <v>318</v>
      </c>
      <c r="S12" s="12">
        <v>498</v>
      </c>
      <c r="T12" s="12">
        <v>469</v>
      </c>
      <c r="U12" s="12">
        <v>314</v>
      </c>
      <c r="V12" s="12">
        <v>466</v>
      </c>
      <c r="W12" s="12">
        <v>343</v>
      </c>
      <c r="X12" s="12">
        <v>657</v>
      </c>
      <c r="Y12" s="12">
        <v>470</v>
      </c>
      <c r="Z12" s="12">
        <v>454</v>
      </c>
      <c r="AA12" s="12">
        <v>459</v>
      </c>
      <c r="AB12" s="12">
        <v>486</v>
      </c>
      <c r="AC12" s="12">
        <v>488</v>
      </c>
      <c r="AD12" s="12">
        <v>455</v>
      </c>
      <c r="AE12" s="12">
        <v>569</v>
      </c>
      <c r="AF12" s="12">
        <v>667</v>
      </c>
    </row>
    <row r="13" spans="1:32" ht="23.25" x14ac:dyDescent="0.25">
      <c r="A13" s="19"/>
      <c r="B13" s="13" t="s">
        <v>721</v>
      </c>
      <c r="C13" s="14">
        <v>0.46</v>
      </c>
      <c r="D13" s="14">
        <v>0.52</v>
      </c>
      <c r="E13" s="14">
        <v>0.45</v>
      </c>
      <c r="F13" s="14">
        <v>0.48</v>
      </c>
      <c r="G13" s="14">
        <v>0.61</v>
      </c>
      <c r="H13" s="14">
        <v>0.45</v>
      </c>
      <c r="I13" s="14">
        <v>0.44</v>
      </c>
      <c r="J13" s="14">
        <v>0.43</v>
      </c>
      <c r="K13" s="14">
        <v>0.51</v>
      </c>
      <c r="L13" s="14">
        <v>0.56000000000000005</v>
      </c>
      <c r="M13" s="14">
        <v>0.44</v>
      </c>
      <c r="N13" s="14">
        <v>0.42</v>
      </c>
      <c r="O13" s="14">
        <v>0.43</v>
      </c>
      <c r="P13" s="14">
        <v>0.54</v>
      </c>
      <c r="Q13" s="14">
        <v>0.45</v>
      </c>
      <c r="R13" s="14">
        <v>0.64</v>
      </c>
      <c r="S13" s="14">
        <v>0.5</v>
      </c>
      <c r="T13" s="14">
        <v>0.46</v>
      </c>
      <c r="U13" s="14">
        <v>0.62</v>
      </c>
      <c r="V13" s="14">
        <v>0.45</v>
      </c>
      <c r="W13" s="14">
        <v>0.69000000000000006</v>
      </c>
      <c r="X13" s="14">
        <v>0.65</v>
      </c>
      <c r="Y13" s="14">
        <v>0.47</v>
      </c>
      <c r="Z13" s="14">
        <v>0.45</v>
      </c>
      <c r="AA13" s="14">
        <v>0.44</v>
      </c>
      <c r="AB13" s="14">
        <v>0.47</v>
      </c>
      <c r="AC13" s="14">
        <v>0.49</v>
      </c>
      <c r="AD13" s="14">
        <v>0.45</v>
      </c>
      <c r="AE13" s="14">
        <v>0.57000000000000006</v>
      </c>
      <c r="AF13" s="14">
        <v>0.65</v>
      </c>
    </row>
    <row r="14" spans="1:32" ht="23.25" x14ac:dyDescent="0.25">
      <c r="A14" s="19"/>
      <c r="B14" s="11" t="s">
        <v>722</v>
      </c>
      <c r="C14" s="12">
        <v>1220</v>
      </c>
      <c r="D14" s="12">
        <v>59</v>
      </c>
      <c r="E14" s="12">
        <v>69</v>
      </c>
      <c r="F14" s="12">
        <v>63</v>
      </c>
      <c r="G14" s="12">
        <v>40</v>
      </c>
      <c r="H14" s="12">
        <v>75</v>
      </c>
      <c r="I14" s="12">
        <v>95</v>
      </c>
      <c r="J14" s="12">
        <v>20</v>
      </c>
      <c r="K14" s="12">
        <v>62</v>
      </c>
      <c r="L14" s="12">
        <v>67</v>
      </c>
      <c r="M14" s="12">
        <v>38</v>
      </c>
      <c r="N14" s="12">
        <v>22</v>
      </c>
      <c r="O14" s="12">
        <v>25</v>
      </c>
      <c r="P14" s="12">
        <v>42</v>
      </c>
      <c r="Q14" s="12">
        <v>34</v>
      </c>
      <c r="R14" s="12">
        <v>16</v>
      </c>
      <c r="S14" s="12">
        <v>23</v>
      </c>
      <c r="T14" s="12">
        <v>27</v>
      </c>
      <c r="U14" s="12">
        <v>6</v>
      </c>
      <c r="V14" s="12">
        <v>128</v>
      </c>
      <c r="W14" s="12">
        <v>9</v>
      </c>
      <c r="X14" s="12">
        <v>51</v>
      </c>
      <c r="Y14" s="12">
        <v>88</v>
      </c>
      <c r="Z14" s="12">
        <v>76</v>
      </c>
      <c r="AA14" s="12">
        <v>18</v>
      </c>
      <c r="AB14" s="12">
        <v>52</v>
      </c>
      <c r="AC14" s="12">
        <v>27</v>
      </c>
      <c r="AD14" s="12">
        <v>58</v>
      </c>
      <c r="AE14" s="12">
        <v>25</v>
      </c>
      <c r="AF14" s="12">
        <v>30</v>
      </c>
    </row>
    <row r="15" spans="1:32" ht="23.25" x14ac:dyDescent="0.25">
      <c r="A15" s="19"/>
      <c r="B15" s="13" t="s">
        <v>723</v>
      </c>
      <c r="C15" s="14">
        <v>0.05</v>
      </c>
      <c r="D15" s="14">
        <v>0.06</v>
      </c>
      <c r="E15" s="14">
        <v>0.06</v>
      </c>
      <c r="F15" s="14">
        <v>0.06</v>
      </c>
      <c r="G15" s="14">
        <v>0.04</v>
      </c>
      <c r="H15" s="14">
        <v>0.06</v>
      </c>
      <c r="I15" s="14">
        <v>0.06</v>
      </c>
      <c r="J15" s="14">
        <v>7.0000000000000007E-2</v>
      </c>
      <c r="K15" s="14">
        <v>0.06</v>
      </c>
      <c r="L15" s="14">
        <v>7.0000000000000007E-2</v>
      </c>
      <c r="M15" s="14">
        <v>0.04</v>
      </c>
      <c r="N15" s="14">
        <v>0.02</v>
      </c>
      <c r="O15" s="14">
        <v>0.03</v>
      </c>
      <c r="P15" s="14">
        <v>0.04</v>
      </c>
      <c r="Q15" s="14">
        <v>0.03</v>
      </c>
      <c r="R15" s="14">
        <v>0.03</v>
      </c>
      <c r="S15" s="14">
        <v>0.02</v>
      </c>
      <c r="T15" s="14">
        <v>0.03</v>
      </c>
      <c r="U15" s="14">
        <v>0.01</v>
      </c>
      <c r="V15" s="14">
        <v>0.12</v>
      </c>
      <c r="W15" s="14">
        <v>0.02</v>
      </c>
      <c r="X15" s="14">
        <v>0.05</v>
      </c>
      <c r="Y15" s="14">
        <v>0.09</v>
      </c>
      <c r="Z15" s="14">
        <v>7.0000000000000007E-2</v>
      </c>
      <c r="AA15" s="14">
        <v>0.02</v>
      </c>
      <c r="AB15" s="14">
        <v>0.05</v>
      </c>
      <c r="AC15" s="14">
        <v>0.03</v>
      </c>
      <c r="AD15" s="14">
        <v>0.06</v>
      </c>
      <c r="AE15" s="14">
        <v>0.03</v>
      </c>
      <c r="AF15" s="14">
        <v>0.03</v>
      </c>
    </row>
    <row r="16" spans="1:32" ht="23.25" x14ac:dyDescent="0.25">
      <c r="A16" s="19"/>
      <c r="B16" s="11" t="s">
        <v>724</v>
      </c>
      <c r="C16" s="12">
        <v>379</v>
      </c>
      <c r="D16" s="12">
        <v>18</v>
      </c>
      <c r="E16" s="12">
        <v>19</v>
      </c>
      <c r="F16" s="12">
        <v>18</v>
      </c>
      <c r="G16" s="12">
        <v>14</v>
      </c>
      <c r="H16" s="12">
        <v>12</v>
      </c>
      <c r="I16" s="12">
        <v>16</v>
      </c>
      <c r="J16" s="12">
        <v>4</v>
      </c>
      <c r="K16" s="12">
        <v>18</v>
      </c>
      <c r="L16" s="12">
        <v>12</v>
      </c>
      <c r="M16" s="12">
        <v>13</v>
      </c>
      <c r="N16" s="12">
        <v>2</v>
      </c>
      <c r="O16" s="12">
        <v>11</v>
      </c>
      <c r="P16" s="12">
        <v>15</v>
      </c>
      <c r="Q16" s="12">
        <v>24</v>
      </c>
      <c r="R16" s="12">
        <v>6</v>
      </c>
      <c r="S16" s="12">
        <v>5</v>
      </c>
      <c r="T16" s="12">
        <v>10</v>
      </c>
      <c r="U16" s="12">
        <v>3</v>
      </c>
      <c r="V16" s="12">
        <v>39</v>
      </c>
      <c r="W16" s="12">
        <v>1</v>
      </c>
      <c r="X16" s="12">
        <v>17</v>
      </c>
      <c r="Y16" s="12">
        <v>34</v>
      </c>
      <c r="Z16" s="12">
        <v>24</v>
      </c>
      <c r="AA16" s="12">
        <v>3</v>
      </c>
      <c r="AB16" s="12">
        <v>14</v>
      </c>
      <c r="AC16" s="12">
        <v>9</v>
      </c>
      <c r="AD16" s="12">
        <v>24</v>
      </c>
      <c r="AE16" s="12">
        <v>10</v>
      </c>
      <c r="AF16" s="12">
        <v>11</v>
      </c>
    </row>
    <row r="17" spans="1:32" x14ac:dyDescent="0.25">
      <c r="A17" s="19"/>
      <c r="B17" s="13" t="s">
        <v>725</v>
      </c>
      <c r="C17" s="14">
        <v>0.01</v>
      </c>
      <c r="D17" s="14">
        <v>0.02</v>
      </c>
      <c r="E17" s="14">
        <v>0.02</v>
      </c>
      <c r="F17" s="14">
        <v>0.02</v>
      </c>
      <c r="G17" s="14">
        <v>0.01</v>
      </c>
      <c r="H17" s="14">
        <v>0.01</v>
      </c>
      <c r="I17" s="14">
        <v>0.01</v>
      </c>
      <c r="J17" s="14">
        <v>0.01</v>
      </c>
      <c r="K17" s="14">
        <v>0.02</v>
      </c>
      <c r="L17" s="14">
        <v>0.01</v>
      </c>
      <c r="M17" s="14">
        <v>0.01</v>
      </c>
      <c r="N17" s="15" t="s">
        <v>213</v>
      </c>
      <c r="O17" s="14">
        <v>0.01</v>
      </c>
      <c r="P17" s="14">
        <v>0.02</v>
      </c>
      <c r="Q17" s="14">
        <v>0.02</v>
      </c>
      <c r="R17" s="14">
        <v>0.01</v>
      </c>
      <c r="S17" s="15" t="s">
        <v>213</v>
      </c>
      <c r="T17" s="14">
        <v>0.01</v>
      </c>
      <c r="U17" s="14">
        <v>0.01</v>
      </c>
      <c r="V17" s="14">
        <v>0.04</v>
      </c>
      <c r="W17" s="15" t="s">
        <v>213</v>
      </c>
      <c r="X17" s="14">
        <v>0.02</v>
      </c>
      <c r="Y17" s="14">
        <v>0.03</v>
      </c>
      <c r="Z17" s="14">
        <v>0.02</v>
      </c>
      <c r="AA17" s="15" t="s">
        <v>213</v>
      </c>
      <c r="AB17" s="14">
        <v>0.01</v>
      </c>
      <c r="AC17" s="14">
        <v>0.01</v>
      </c>
      <c r="AD17" s="14">
        <v>0.02</v>
      </c>
      <c r="AE17" s="14">
        <v>0.01</v>
      </c>
      <c r="AF17" s="14">
        <v>0.01</v>
      </c>
    </row>
    <row r="18" spans="1:32" ht="23.25" x14ac:dyDescent="0.25">
      <c r="A18" s="19"/>
      <c r="B18" s="11" t="s">
        <v>726</v>
      </c>
      <c r="C18" s="12">
        <v>154</v>
      </c>
      <c r="D18" s="12">
        <v>4</v>
      </c>
      <c r="E18" s="12">
        <v>6</v>
      </c>
      <c r="F18" s="12">
        <v>13</v>
      </c>
      <c r="G18" s="12">
        <v>1</v>
      </c>
      <c r="H18" s="12">
        <v>8</v>
      </c>
      <c r="I18" s="12">
        <v>9</v>
      </c>
      <c r="J18" s="12">
        <v>1</v>
      </c>
      <c r="K18" s="12">
        <v>4</v>
      </c>
      <c r="L18" s="12">
        <v>2</v>
      </c>
      <c r="M18" s="12">
        <v>7</v>
      </c>
      <c r="N18" s="12">
        <v>5</v>
      </c>
      <c r="O18" s="12">
        <v>3</v>
      </c>
      <c r="P18" s="12">
        <v>8</v>
      </c>
      <c r="Q18" s="12">
        <v>9</v>
      </c>
      <c r="R18" s="12">
        <v>0</v>
      </c>
      <c r="S18" s="12">
        <v>2</v>
      </c>
      <c r="T18" s="12">
        <v>3</v>
      </c>
      <c r="U18" s="12">
        <v>4</v>
      </c>
      <c r="V18" s="12">
        <v>6</v>
      </c>
      <c r="W18" s="12">
        <v>0</v>
      </c>
      <c r="X18" s="12">
        <v>7</v>
      </c>
      <c r="Y18" s="12">
        <v>4</v>
      </c>
      <c r="Z18" s="12">
        <v>7</v>
      </c>
      <c r="AA18" s="12">
        <v>1</v>
      </c>
      <c r="AB18" s="12">
        <v>6</v>
      </c>
      <c r="AC18" s="12">
        <v>1</v>
      </c>
      <c r="AD18" s="12">
        <v>17</v>
      </c>
      <c r="AE18" s="12">
        <v>4</v>
      </c>
      <c r="AF18" s="12">
        <v>4</v>
      </c>
    </row>
    <row r="19" spans="1:32" ht="23.25" x14ac:dyDescent="0.25">
      <c r="A19" s="19"/>
      <c r="B19" s="13" t="s">
        <v>727</v>
      </c>
      <c r="C19" s="14">
        <v>0.01</v>
      </c>
      <c r="D19" s="15" t="s">
        <v>213</v>
      </c>
      <c r="E19" s="14">
        <v>0.01</v>
      </c>
      <c r="F19" s="14">
        <v>0.01</v>
      </c>
      <c r="G19" s="15" t="s">
        <v>213</v>
      </c>
      <c r="H19" s="14">
        <v>0.01</v>
      </c>
      <c r="I19" s="14">
        <v>0.01</v>
      </c>
      <c r="J19" s="15" t="s">
        <v>213</v>
      </c>
      <c r="K19" s="14">
        <v>0.01</v>
      </c>
      <c r="L19" s="15" t="s">
        <v>213</v>
      </c>
      <c r="M19" s="14">
        <v>0.01</v>
      </c>
      <c r="N19" s="14">
        <v>0.01</v>
      </c>
      <c r="O19" s="15" t="s">
        <v>213</v>
      </c>
      <c r="P19" s="14">
        <v>0.01</v>
      </c>
      <c r="Q19" s="14">
        <v>0.01</v>
      </c>
      <c r="R19" s="15" t="s">
        <v>213</v>
      </c>
      <c r="S19" s="15" t="s">
        <v>213</v>
      </c>
      <c r="T19" s="15" t="s">
        <v>213</v>
      </c>
      <c r="U19" s="14">
        <v>0.01</v>
      </c>
      <c r="V19" s="14">
        <v>0.01</v>
      </c>
      <c r="W19" s="15" t="s">
        <v>213</v>
      </c>
      <c r="X19" s="14">
        <v>0.01</v>
      </c>
      <c r="Y19" s="15" t="s">
        <v>213</v>
      </c>
      <c r="Z19" s="14">
        <v>0.01</v>
      </c>
      <c r="AA19" s="15" t="s">
        <v>213</v>
      </c>
      <c r="AB19" s="14">
        <v>0.01</v>
      </c>
      <c r="AC19" s="15" t="s">
        <v>213</v>
      </c>
      <c r="AD19" s="14">
        <v>0.02</v>
      </c>
      <c r="AE19" s="15" t="s">
        <v>213</v>
      </c>
      <c r="AF19" s="15" t="s">
        <v>213</v>
      </c>
    </row>
    <row r="20" spans="1:32" x14ac:dyDescent="0.25">
      <c r="A20" s="19"/>
      <c r="B20" s="11" t="s">
        <v>728</v>
      </c>
      <c r="C20" s="12">
        <v>808</v>
      </c>
      <c r="D20" s="12">
        <v>44</v>
      </c>
      <c r="E20" s="12">
        <v>42</v>
      </c>
      <c r="F20" s="12">
        <v>60</v>
      </c>
      <c r="G20" s="12">
        <v>14</v>
      </c>
      <c r="H20" s="12">
        <v>81</v>
      </c>
      <c r="I20" s="12">
        <v>96</v>
      </c>
      <c r="J20" s="12">
        <v>15</v>
      </c>
      <c r="K20" s="12">
        <v>58</v>
      </c>
      <c r="L20" s="12">
        <v>34</v>
      </c>
      <c r="M20" s="12">
        <v>19</v>
      </c>
      <c r="N20" s="12">
        <v>18</v>
      </c>
      <c r="O20" s="12">
        <v>23</v>
      </c>
      <c r="P20" s="12">
        <v>42</v>
      </c>
      <c r="Q20" s="12">
        <v>21</v>
      </c>
      <c r="R20" s="12">
        <v>10</v>
      </c>
      <c r="S20" s="12">
        <v>21</v>
      </c>
      <c r="T20" s="12">
        <v>16</v>
      </c>
      <c r="U20" s="12">
        <v>20</v>
      </c>
      <c r="V20" s="12">
        <v>29</v>
      </c>
      <c r="W20" s="12">
        <v>1</v>
      </c>
      <c r="X20" s="12">
        <v>15</v>
      </c>
      <c r="Y20" s="12">
        <v>25</v>
      </c>
      <c r="Z20" s="12">
        <v>22</v>
      </c>
      <c r="AA20" s="12">
        <v>32</v>
      </c>
      <c r="AB20" s="12">
        <v>20</v>
      </c>
      <c r="AC20" s="12">
        <v>21</v>
      </c>
      <c r="AD20" s="12">
        <v>35</v>
      </c>
      <c r="AE20" s="12">
        <v>7</v>
      </c>
      <c r="AF20" s="12">
        <v>9</v>
      </c>
    </row>
    <row r="21" spans="1:32" x14ac:dyDescent="0.25">
      <c r="A21" s="19"/>
      <c r="B21" s="13" t="s">
        <v>729</v>
      </c>
      <c r="C21" s="14">
        <v>0.03</v>
      </c>
      <c r="D21" s="14">
        <v>0.04</v>
      </c>
      <c r="E21" s="14">
        <v>0.04</v>
      </c>
      <c r="F21" s="14">
        <v>0.06</v>
      </c>
      <c r="G21" s="14">
        <v>0.01</v>
      </c>
      <c r="H21" s="14">
        <v>0.06</v>
      </c>
      <c r="I21" s="14">
        <v>0.06</v>
      </c>
      <c r="J21" s="14">
        <v>0.05</v>
      </c>
      <c r="K21" s="14">
        <v>0.06</v>
      </c>
      <c r="L21" s="14">
        <v>0.03</v>
      </c>
      <c r="M21" s="14">
        <v>0.02</v>
      </c>
      <c r="N21" s="14">
        <v>0.02</v>
      </c>
      <c r="O21" s="14">
        <v>0.02</v>
      </c>
      <c r="P21" s="14">
        <v>0.04</v>
      </c>
      <c r="Q21" s="14">
        <v>0.02</v>
      </c>
      <c r="R21" s="14">
        <v>0.02</v>
      </c>
      <c r="S21" s="14">
        <v>0.02</v>
      </c>
      <c r="T21" s="14">
        <v>0.02</v>
      </c>
      <c r="U21" s="14">
        <v>0.04</v>
      </c>
      <c r="V21" s="14">
        <v>0.03</v>
      </c>
      <c r="W21" s="15" t="s">
        <v>213</v>
      </c>
      <c r="X21" s="14">
        <v>0.01</v>
      </c>
      <c r="Y21" s="14">
        <v>0.03</v>
      </c>
      <c r="Z21" s="14">
        <v>0.02</v>
      </c>
      <c r="AA21" s="14">
        <v>0.03</v>
      </c>
      <c r="AB21" s="14">
        <v>0.02</v>
      </c>
      <c r="AC21" s="14">
        <v>0.02</v>
      </c>
      <c r="AD21" s="14">
        <v>0.04</v>
      </c>
      <c r="AE21" s="14">
        <v>0.01</v>
      </c>
      <c r="AF21" s="14">
        <v>0.01</v>
      </c>
    </row>
    <row r="22" spans="1:32" x14ac:dyDescent="0.25">
      <c r="A22" s="19"/>
      <c r="B22" s="11" t="s">
        <v>730</v>
      </c>
      <c r="C22" s="12">
        <v>11245</v>
      </c>
      <c r="D22" s="12">
        <v>354</v>
      </c>
      <c r="E22" s="12">
        <v>403</v>
      </c>
      <c r="F22" s="12">
        <v>387</v>
      </c>
      <c r="G22" s="12">
        <v>313</v>
      </c>
      <c r="H22" s="12">
        <v>481</v>
      </c>
      <c r="I22" s="12">
        <v>610</v>
      </c>
      <c r="J22" s="12">
        <v>129</v>
      </c>
      <c r="K22" s="12">
        <v>324</v>
      </c>
      <c r="L22" s="12">
        <v>329</v>
      </c>
      <c r="M22" s="12">
        <v>415</v>
      </c>
      <c r="N22" s="12">
        <v>512</v>
      </c>
      <c r="O22" s="12">
        <v>507</v>
      </c>
      <c r="P22" s="12">
        <v>323</v>
      </c>
      <c r="Q22" s="12">
        <v>479</v>
      </c>
      <c r="R22" s="12">
        <v>149</v>
      </c>
      <c r="S22" s="12">
        <v>439</v>
      </c>
      <c r="T22" s="12">
        <v>486</v>
      </c>
      <c r="U22" s="12">
        <v>145</v>
      </c>
      <c r="V22" s="12">
        <v>355</v>
      </c>
      <c r="W22" s="12">
        <v>146</v>
      </c>
      <c r="X22" s="12">
        <v>255</v>
      </c>
      <c r="Y22" s="12">
        <v>339</v>
      </c>
      <c r="Z22" s="12">
        <v>432</v>
      </c>
      <c r="AA22" s="12">
        <v>471</v>
      </c>
      <c r="AB22" s="12">
        <v>452</v>
      </c>
      <c r="AC22" s="12">
        <v>454</v>
      </c>
      <c r="AD22" s="12">
        <v>403</v>
      </c>
      <c r="AE22" s="12">
        <v>385</v>
      </c>
      <c r="AF22" s="12">
        <v>306</v>
      </c>
    </row>
    <row r="23" spans="1:32" x14ac:dyDescent="0.25">
      <c r="A23" s="19"/>
      <c r="B23" s="13" t="s">
        <v>731</v>
      </c>
      <c r="C23" s="14">
        <v>0.43</v>
      </c>
      <c r="D23" s="14">
        <v>0.35</v>
      </c>
      <c r="E23" s="14">
        <v>0.38</v>
      </c>
      <c r="F23" s="14">
        <v>0.36</v>
      </c>
      <c r="G23" s="14">
        <v>0.31</v>
      </c>
      <c r="H23" s="14">
        <v>0.39</v>
      </c>
      <c r="I23" s="14">
        <v>0.4</v>
      </c>
      <c r="J23" s="14">
        <v>0.44</v>
      </c>
      <c r="K23" s="14">
        <v>0.32</v>
      </c>
      <c r="L23" s="14">
        <v>0.33</v>
      </c>
      <c r="M23" s="14">
        <v>0.41</v>
      </c>
      <c r="N23" s="14">
        <v>0.51</v>
      </c>
      <c r="O23" s="14">
        <v>0.51</v>
      </c>
      <c r="P23" s="14">
        <v>0.32</v>
      </c>
      <c r="Q23" s="14">
        <v>0.47</v>
      </c>
      <c r="R23" s="14">
        <v>0.3</v>
      </c>
      <c r="S23" s="14">
        <v>0.44</v>
      </c>
      <c r="T23" s="14">
        <v>0.47</v>
      </c>
      <c r="U23" s="14">
        <v>0.28000000000000003</v>
      </c>
      <c r="V23" s="14">
        <v>0.35</v>
      </c>
      <c r="W23" s="14">
        <v>0.28999999999999998</v>
      </c>
      <c r="X23" s="14">
        <v>0.25</v>
      </c>
      <c r="Y23" s="14">
        <v>0.34</v>
      </c>
      <c r="Z23" s="14">
        <v>0.43</v>
      </c>
      <c r="AA23" s="14">
        <v>0.46</v>
      </c>
      <c r="AB23" s="14">
        <v>0.43</v>
      </c>
      <c r="AC23" s="14">
        <v>0.45</v>
      </c>
      <c r="AD23" s="14">
        <v>0.4</v>
      </c>
      <c r="AE23" s="14">
        <v>0.38</v>
      </c>
      <c r="AF23" s="14">
        <v>0.3</v>
      </c>
    </row>
    <row r="24" spans="1:32" ht="23.25" x14ac:dyDescent="0.25">
      <c r="A24" s="19"/>
      <c r="B24" s="11" t="s">
        <v>732</v>
      </c>
      <c r="C24" s="12">
        <v>349</v>
      </c>
      <c r="D24" s="12">
        <v>13</v>
      </c>
      <c r="E24" s="12">
        <v>38</v>
      </c>
      <c r="F24" s="12">
        <v>12</v>
      </c>
      <c r="G24" s="12">
        <v>17</v>
      </c>
      <c r="H24" s="12">
        <v>26</v>
      </c>
      <c r="I24" s="12">
        <v>27</v>
      </c>
      <c r="J24" s="12">
        <v>1</v>
      </c>
      <c r="K24" s="12">
        <v>24</v>
      </c>
      <c r="L24" s="12">
        <v>1</v>
      </c>
      <c r="M24" s="12">
        <v>69</v>
      </c>
      <c r="N24" s="12">
        <v>22</v>
      </c>
      <c r="O24" s="12">
        <v>2</v>
      </c>
      <c r="P24" s="12">
        <v>34</v>
      </c>
      <c r="Q24" s="12">
        <v>4</v>
      </c>
      <c r="R24" s="12">
        <v>1</v>
      </c>
      <c r="S24" s="12">
        <v>16</v>
      </c>
      <c r="T24" s="12">
        <v>11</v>
      </c>
      <c r="U24" s="12">
        <v>17</v>
      </c>
      <c r="V24" s="12">
        <v>3</v>
      </c>
      <c r="W24" s="12">
        <v>2</v>
      </c>
      <c r="X24" s="12">
        <v>7</v>
      </c>
      <c r="Y24" s="12">
        <v>43</v>
      </c>
      <c r="Z24" s="12">
        <v>1</v>
      </c>
      <c r="AA24" s="12">
        <v>52</v>
      </c>
      <c r="AB24" s="12">
        <v>11</v>
      </c>
      <c r="AC24" s="12">
        <v>5</v>
      </c>
      <c r="AD24" s="12">
        <v>10</v>
      </c>
      <c r="AE24" s="12">
        <v>1</v>
      </c>
      <c r="AF24" s="12">
        <v>3</v>
      </c>
    </row>
    <row r="25" spans="1:32" ht="23.25" x14ac:dyDescent="0.25">
      <c r="A25" s="19"/>
      <c r="B25" s="13" t="s">
        <v>733</v>
      </c>
      <c r="C25" s="14">
        <v>0.01</v>
      </c>
      <c r="D25" s="14">
        <v>0.01</v>
      </c>
      <c r="E25" s="14">
        <v>0.04</v>
      </c>
      <c r="F25" s="14">
        <v>0.01</v>
      </c>
      <c r="G25" s="14">
        <v>0.02</v>
      </c>
      <c r="H25" s="14">
        <v>0.02</v>
      </c>
      <c r="I25" s="14">
        <v>0.02</v>
      </c>
      <c r="J25" s="15" t="s">
        <v>213</v>
      </c>
      <c r="K25" s="14">
        <v>0.02</v>
      </c>
      <c r="L25" s="15" t="s">
        <v>213</v>
      </c>
      <c r="M25" s="14">
        <v>7.0000000000000007E-2</v>
      </c>
      <c r="N25" s="14">
        <v>0.02</v>
      </c>
      <c r="O25" s="15" t="s">
        <v>213</v>
      </c>
      <c r="P25" s="14">
        <v>0.03</v>
      </c>
      <c r="Q25" s="15" t="s">
        <v>213</v>
      </c>
      <c r="R25" s="15" t="s">
        <v>213</v>
      </c>
      <c r="S25" s="14">
        <v>0.02</v>
      </c>
      <c r="T25" s="14">
        <v>0.01</v>
      </c>
      <c r="U25" s="14">
        <v>0.03</v>
      </c>
      <c r="V25" s="15" t="s">
        <v>213</v>
      </c>
      <c r="W25" s="15" t="s">
        <v>213</v>
      </c>
      <c r="X25" s="14">
        <v>0.01</v>
      </c>
      <c r="Y25" s="14">
        <v>0.04</v>
      </c>
      <c r="Z25" s="15" t="s">
        <v>213</v>
      </c>
      <c r="AA25" s="14">
        <v>0.05</v>
      </c>
      <c r="AB25" s="14">
        <v>0.01</v>
      </c>
      <c r="AC25" s="15" t="s">
        <v>213</v>
      </c>
      <c r="AD25" s="14">
        <v>0.01</v>
      </c>
      <c r="AE25" s="15" t="s">
        <v>213</v>
      </c>
      <c r="AF25" s="15" t="s">
        <v>213</v>
      </c>
    </row>
  </sheetData>
  <mergeCells count="9">
    <mergeCell ref="H3:L3"/>
    <mergeCell ref="C8:AF8"/>
    <mergeCell ref="B3:F3"/>
    <mergeCell ref="B5:F5"/>
    <mergeCell ref="A10:A25"/>
    <mergeCell ref="H5:L5"/>
    <mergeCell ref="B10:B11"/>
    <mergeCell ref="H4:L4"/>
    <mergeCell ref="B4:F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738</v>
      </c>
      <c r="C3" s="18"/>
      <c r="D3" s="18"/>
      <c r="E3" s="18"/>
      <c r="F3" s="18"/>
      <c r="H3" s="18" t="s">
        <v>739</v>
      </c>
      <c r="I3" s="18"/>
      <c r="J3" s="18"/>
      <c r="K3" s="18"/>
      <c r="L3" s="18"/>
    </row>
    <row r="4" spans="1:32" ht="27" customHeight="1" x14ac:dyDescent="0.25">
      <c r="B4" s="18" t="s">
        <v>740</v>
      </c>
      <c r="C4" s="18"/>
      <c r="D4" s="18"/>
      <c r="E4" s="18"/>
      <c r="F4" s="18"/>
      <c r="H4" s="18" t="s">
        <v>741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720</v>
      </c>
      <c r="C12" s="12">
        <v>21001</v>
      </c>
      <c r="D12" s="12">
        <v>852</v>
      </c>
      <c r="E12" s="12">
        <v>785</v>
      </c>
      <c r="F12" s="12">
        <v>741</v>
      </c>
      <c r="G12" s="12">
        <v>946</v>
      </c>
      <c r="H12" s="12">
        <v>944</v>
      </c>
      <c r="I12" s="12">
        <v>1156</v>
      </c>
      <c r="J12" s="12">
        <v>211</v>
      </c>
      <c r="K12" s="12">
        <v>815</v>
      </c>
      <c r="L12" s="12">
        <v>796</v>
      </c>
      <c r="M12" s="12">
        <v>748</v>
      </c>
      <c r="N12" s="12">
        <v>895</v>
      </c>
      <c r="O12" s="12">
        <v>810</v>
      </c>
      <c r="P12" s="12">
        <v>737</v>
      </c>
      <c r="Q12" s="12">
        <v>829</v>
      </c>
      <c r="R12" s="12">
        <v>397</v>
      </c>
      <c r="S12" s="12">
        <v>847</v>
      </c>
      <c r="T12" s="12">
        <v>817</v>
      </c>
      <c r="U12" s="12">
        <v>459</v>
      </c>
      <c r="V12" s="12">
        <v>700</v>
      </c>
      <c r="W12" s="12">
        <v>428</v>
      </c>
      <c r="X12" s="12">
        <v>957</v>
      </c>
      <c r="Y12" s="12">
        <v>775</v>
      </c>
      <c r="Z12" s="12">
        <v>695</v>
      </c>
      <c r="AA12" s="12">
        <v>764</v>
      </c>
      <c r="AB12" s="12">
        <v>761</v>
      </c>
      <c r="AC12" s="12">
        <v>802</v>
      </c>
      <c r="AD12" s="12">
        <v>755</v>
      </c>
      <c r="AE12" s="12">
        <v>907</v>
      </c>
      <c r="AF12" s="12">
        <v>987</v>
      </c>
    </row>
    <row r="13" spans="1:32" ht="23.25" x14ac:dyDescent="0.25">
      <c r="A13" s="19"/>
      <c r="B13" s="13" t="s">
        <v>721</v>
      </c>
      <c r="C13" s="14">
        <v>0.79</v>
      </c>
      <c r="D13" s="14">
        <v>0.84</v>
      </c>
      <c r="E13" s="14">
        <v>0.75</v>
      </c>
      <c r="F13" s="14">
        <v>0.70000000000000007</v>
      </c>
      <c r="G13" s="14">
        <v>0.93</v>
      </c>
      <c r="H13" s="14">
        <v>0.77</v>
      </c>
      <c r="I13" s="14">
        <v>0.76</v>
      </c>
      <c r="J13" s="14">
        <v>0.71</v>
      </c>
      <c r="K13" s="14">
        <v>0.81</v>
      </c>
      <c r="L13" s="14">
        <v>0.79</v>
      </c>
      <c r="M13" s="14">
        <v>0.74</v>
      </c>
      <c r="N13" s="14">
        <v>0.89</v>
      </c>
      <c r="O13" s="14">
        <v>0.81</v>
      </c>
      <c r="P13" s="14">
        <v>0.73</v>
      </c>
      <c r="Q13" s="14">
        <v>0.8</v>
      </c>
      <c r="R13" s="14">
        <v>0.79</v>
      </c>
      <c r="S13" s="14">
        <v>0.84</v>
      </c>
      <c r="T13" s="14">
        <v>0.8</v>
      </c>
      <c r="U13" s="14">
        <v>0.9</v>
      </c>
      <c r="V13" s="14">
        <v>0.68</v>
      </c>
      <c r="W13" s="14">
        <v>0.85</v>
      </c>
      <c r="X13" s="14">
        <v>0.95000000000000007</v>
      </c>
      <c r="Y13" s="14">
        <v>0.77</v>
      </c>
      <c r="Z13" s="14">
        <v>0.68</v>
      </c>
      <c r="AA13" s="14">
        <v>0.74</v>
      </c>
      <c r="AB13" s="14">
        <v>0.73</v>
      </c>
      <c r="AC13" s="14">
        <v>0.8</v>
      </c>
      <c r="AD13" s="14">
        <v>0.75</v>
      </c>
      <c r="AE13" s="14">
        <v>0.91</v>
      </c>
      <c r="AF13" s="14">
        <v>0.96</v>
      </c>
    </row>
    <row r="14" spans="1:32" ht="23.25" x14ac:dyDescent="0.25">
      <c r="A14" s="19"/>
      <c r="B14" s="11" t="s">
        <v>722</v>
      </c>
      <c r="C14" s="12">
        <v>1556</v>
      </c>
      <c r="D14" s="12">
        <v>73</v>
      </c>
      <c r="E14" s="12">
        <v>58</v>
      </c>
      <c r="F14" s="12">
        <v>95</v>
      </c>
      <c r="G14" s="12">
        <v>17</v>
      </c>
      <c r="H14" s="12">
        <v>93</v>
      </c>
      <c r="I14" s="12">
        <v>120</v>
      </c>
      <c r="J14" s="12">
        <v>27</v>
      </c>
      <c r="K14" s="12">
        <v>45</v>
      </c>
      <c r="L14" s="12">
        <v>79</v>
      </c>
      <c r="M14" s="12">
        <v>58</v>
      </c>
      <c r="N14" s="12">
        <v>34</v>
      </c>
      <c r="O14" s="12">
        <v>55</v>
      </c>
      <c r="P14" s="12">
        <v>61</v>
      </c>
      <c r="Q14" s="12">
        <v>61</v>
      </c>
      <c r="R14" s="12">
        <v>22</v>
      </c>
      <c r="S14" s="12">
        <v>26</v>
      </c>
      <c r="T14" s="12">
        <v>34</v>
      </c>
      <c r="U14" s="12">
        <v>17</v>
      </c>
      <c r="V14" s="12">
        <v>108</v>
      </c>
      <c r="W14" s="12">
        <v>13</v>
      </c>
      <c r="X14" s="12">
        <v>13</v>
      </c>
      <c r="Y14" s="12">
        <v>87</v>
      </c>
      <c r="Z14" s="12">
        <v>76</v>
      </c>
      <c r="AA14" s="12">
        <v>53</v>
      </c>
      <c r="AB14" s="12">
        <v>52</v>
      </c>
      <c r="AC14" s="12">
        <v>50</v>
      </c>
      <c r="AD14" s="12">
        <v>73</v>
      </c>
      <c r="AE14" s="12">
        <v>28</v>
      </c>
      <c r="AF14" s="12">
        <v>22</v>
      </c>
    </row>
    <row r="15" spans="1:32" ht="23.25" x14ac:dyDescent="0.25">
      <c r="A15" s="19"/>
      <c r="B15" s="13" t="s">
        <v>723</v>
      </c>
      <c r="C15" s="14">
        <v>0.06</v>
      </c>
      <c r="D15" s="14">
        <v>7.0000000000000007E-2</v>
      </c>
      <c r="E15" s="14">
        <v>0.05</v>
      </c>
      <c r="F15" s="14">
        <v>0.09</v>
      </c>
      <c r="G15" s="14">
        <v>0.02</v>
      </c>
      <c r="H15" s="14">
        <v>0.08</v>
      </c>
      <c r="I15" s="14">
        <v>0.08</v>
      </c>
      <c r="J15" s="14">
        <v>0.09</v>
      </c>
      <c r="K15" s="14">
        <v>0.04</v>
      </c>
      <c r="L15" s="14">
        <v>0.08</v>
      </c>
      <c r="M15" s="14">
        <v>0.06</v>
      </c>
      <c r="N15" s="14">
        <v>0.03</v>
      </c>
      <c r="O15" s="14">
        <v>0.05</v>
      </c>
      <c r="P15" s="14">
        <v>0.06</v>
      </c>
      <c r="Q15" s="14">
        <v>0.06</v>
      </c>
      <c r="R15" s="14">
        <v>0.04</v>
      </c>
      <c r="S15" s="14">
        <v>0.03</v>
      </c>
      <c r="T15" s="14">
        <v>0.03</v>
      </c>
      <c r="U15" s="14">
        <v>0.04</v>
      </c>
      <c r="V15" s="14">
        <v>0.1</v>
      </c>
      <c r="W15" s="14">
        <v>0.03</v>
      </c>
      <c r="X15" s="14">
        <v>0.01</v>
      </c>
      <c r="Y15" s="14">
        <v>0.09</v>
      </c>
      <c r="Z15" s="14">
        <v>0.08</v>
      </c>
      <c r="AA15" s="14">
        <v>0.05</v>
      </c>
      <c r="AB15" s="14">
        <v>0.05</v>
      </c>
      <c r="AC15" s="14">
        <v>0.05</v>
      </c>
      <c r="AD15" s="14">
        <v>7.0000000000000007E-2</v>
      </c>
      <c r="AE15" s="14">
        <v>0.03</v>
      </c>
      <c r="AF15" s="14">
        <v>0.02</v>
      </c>
    </row>
    <row r="16" spans="1:32" ht="23.25" x14ac:dyDescent="0.25">
      <c r="A16" s="19"/>
      <c r="B16" s="11" t="s">
        <v>724</v>
      </c>
      <c r="C16" s="12">
        <v>454</v>
      </c>
      <c r="D16" s="12">
        <v>19</v>
      </c>
      <c r="E16" s="12">
        <v>18</v>
      </c>
      <c r="F16" s="12">
        <v>29</v>
      </c>
      <c r="G16" s="12">
        <v>4</v>
      </c>
      <c r="H16" s="12">
        <v>14</v>
      </c>
      <c r="I16" s="12">
        <v>29</v>
      </c>
      <c r="J16" s="12">
        <v>15</v>
      </c>
      <c r="K16" s="12">
        <v>8</v>
      </c>
      <c r="L16" s="12">
        <v>21</v>
      </c>
      <c r="M16" s="12">
        <v>16</v>
      </c>
      <c r="N16" s="12">
        <v>5</v>
      </c>
      <c r="O16" s="12">
        <v>16</v>
      </c>
      <c r="P16" s="12">
        <v>17</v>
      </c>
      <c r="Q16" s="12">
        <v>29</v>
      </c>
      <c r="R16" s="12">
        <v>8</v>
      </c>
      <c r="S16" s="12">
        <v>4</v>
      </c>
      <c r="T16" s="12">
        <v>1</v>
      </c>
      <c r="U16" s="12">
        <v>4</v>
      </c>
      <c r="V16" s="12">
        <v>23</v>
      </c>
      <c r="W16" s="12">
        <v>6</v>
      </c>
      <c r="X16" s="12">
        <v>9</v>
      </c>
      <c r="Y16" s="12">
        <v>30</v>
      </c>
      <c r="Z16" s="12">
        <v>21</v>
      </c>
      <c r="AA16" s="12">
        <v>13</v>
      </c>
      <c r="AB16" s="12">
        <v>13</v>
      </c>
      <c r="AC16" s="12">
        <v>7</v>
      </c>
      <c r="AD16" s="12">
        <v>32</v>
      </c>
      <c r="AE16" s="12">
        <v>16</v>
      </c>
      <c r="AF16" s="12">
        <v>5</v>
      </c>
    </row>
    <row r="17" spans="1:32" x14ac:dyDescent="0.25">
      <c r="A17" s="19"/>
      <c r="B17" s="13" t="s">
        <v>725</v>
      </c>
      <c r="C17" s="14">
        <v>0.02</v>
      </c>
      <c r="D17" s="14">
        <v>0.02</v>
      </c>
      <c r="E17" s="14">
        <v>0.02</v>
      </c>
      <c r="F17" s="14">
        <v>0.03</v>
      </c>
      <c r="G17" s="15" t="s">
        <v>213</v>
      </c>
      <c r="H17" s="14">
        <v>0.01</v>
      </c>
      <c r="I17" s="14">
        <v>0.02</v>
      </c>
      <c r="J17" s="14">
        <v>0.05</v>
      </c>
      <c r="K17" s="14">
        <v>0.01</v>
      </c>
      <c r="L17" s="14">
        <v>0.02</v>
      </c>
      <c r="M17" s="14">
        <v>0.02</v>
      </c>
      <c r="N17" s="15" t="s">
        <v>213</v>
      </c>
      <c r="O17" s="14">
        <v>0.02</v>
      </c>
      <c r="P17" s="14">
        <v>0.02</v>
      </c>
      <c r="Q17" s="14">
        <v>0.03</v>
      </c>
      <c r="R17" s="14">
        <v>0.02</v>
      </c>
      <c r="S17" s="15" t="s">
        <v>213</v>
      </c>
      <c r="T17" s="15" t="s">
        <v>213</v>
      </c>
      <c r="U17" s="14">
        <v>0.01</v>
      </c>
      <c r="V17" s="14">
        <v>0.02</v>
      </c>
      <c r="W17" s="14">
        <v>0.01</v>
      </c>
      <c r="X17" s="14">
        <v>0.01</v>
      </c>
      <c r="Y17" s="14">
        <v>0.03</v>
      </c>
      <c r="Z17" s="14">
        <v>0.02</v>
      </c>
      <c r="AA17" s="14">
        <v>0.01</v>
      </c>
      <c r="AB17" s="14">
        <v>0.01</v>
      </c>
      <c r="AC17" s="14">
        <v>0.01</v>
      </c>
      <c r="AD17" s="14">
        <v>0.03</v>
      </c>
      <c r="AE17" s="14">
        <v>0.02</v>
      </c>
      <c r="AF17" s="14">
        <v>0.01</v>
      </c>
    </row>
    <row r="18" spans="1:32" ht="23.25" x14ac:dyDescent="0.25">
      <c r="A18" s="19"/>
      <c r="B18" s="11" t="s">
        <v>726</v>
      </c>
      <c r="C18" s="12">
        <v>206</v>
      </c>
      <c r="D18" s="12">
        <v>4</v>
      </c>
      <c r="E18" s="12">
        <v>9</v>
      </c>
      <c r="F18" s="12">
        <v>13</v>
      </c>
      <c r="G18" s="12">
        <v>1</v>
      </c>
      <c r="H18" s="12">
        <v>12</v>
      </c>
      <c r="I18" s="12">
        <v>15</v>
      </c>
      <c r="J18" s="12">
        <v>3</v>
      </c>
      <c r="K18" s="12">
        <v>6</v>
      </c>
      <c r="L18" s="12">
        <v>12</v>
      </c>
      <c r="M18" s="12">
        <v>4</v>
      </c>
      <c r="N18" s="12">
        <v>2</v>
      </c>
      <c r="O18" s="12">
        <v>8</v>
      </c>
      <c r="P18" s="12">
        <v>9</v>
      </c>
      <c r="Q18" s="12">
        <v>6</v>
      </c>
      <c r="R18" s="12">
        <v>1</v>
      </c>
      <c r="S18" s="12">
        <v>5</v>
      </c>
      <c r="T18" s="12">
        <v>2</v>
      </c>
      <c r="U18" s="12">
        <v>2</v>
      </c>
      <c r="V18" s="12">
        <v>8</v>
      </c>
      <c r="W18" s="12">
        <v>1</v>
      </c>
      <c r="X18" s="12">
        <v>9</v>
      </c>
      <c r="Y18" s="12">
        <v>7</v>
      </c>
      <c r="Z18" s="12">
        <v>23</v>
      </c>
      <c r="AA18" s="12">
        <v>2</v>
      </c>
      <c r="AB18" s="12">
        <v>3</v>
      </c>
      <c r="AC18" s="12">
        <v>6</v>
      </c>
      <c r="AD18" s="12">
        <v>9</v>
      </c>
      <c r="AE18" s="12">
        <v>1</v>
      </c>
      <c r="AF18" s="12">
        <v>1</v>
      </c>
    </row>
    <row r="19" spans="1:32" ht="23.25" x14ac:dyDescent="0.25">
      <c r="A19" s="19"/>
      <c r="B19" s="13" t="s">
        <v>727</v>
      </c>
      <c r="C19" s="14">
        <v>0.01</v>
      </c>
      <c r="D19" s="15" t="s">
        <v>213</v>
      </c>
      <c r="E19" s="14">
        <v>0.01</v>
      </c>
      <c r="F19" s="14">
        <v>0.01</v>
      </c>
      <c r="G19" s="15" t="s">
        <v>213</v>
      </c>
      <c r="H19" s="14">
        <v>0.01</v>
      </c>
      <c r="I19" s="14">
        <v>0.01</v>
      </c>
      <c r="J19" s="14">
        <v>0.01</v>
      </c>
      <c r="K19" s="14">
        <v>0.01</v>
      </c>
      <c r="L19" s="14">
        <v>0.01</v>
      </c>
      <c r="M19" s="15" t="s">
        <v>213</v>
      </c>
      <c r="N19" s="15" t="s">
        <v>213</v>
      </c>
      <c r="O19" s="14">
        <v>0.01</v>
      </c>
      <c r="P19" s="14">
        <v>0.01</v>
      </c>
      <c r="Q19" s="14">
        <v>0.01</v>
      </c>
      <c r="R19" s="15" t="s">
        <v>213</v>
      </c>
      <c r="S19" s="14">
        <v>0.01</v>
      </c>
      <c r="T19" s="15" t="s">
        <v>213</v>
      </c>
      <c r="U19" s="15" t="s">
        <v>213</v>
      </c>
      <c r="V19" s="14">
        <v>0.01</v>
      </c>
      <c r="W19" s="15" t="s">
        <v>213</v>
      </c>
      <c r="X19" s="14">
        <v>0.01</v>
      </c>
      <c r="Y19" s="14">
        <v>0.01</v>
      </c>
      <c r="Z19" s="14">
        <v>0.02</v>
      </c>
      <c r="AA19" s="15" t="s">
        <v>213</v>
      </c>
      <c r="AB19" s="15" t="s">
        <v>213</v>
      </c>
      <c r="AC19" s="15" t="s">
        <v>213</v>
      </c>
      <c r="AD19" s="14">
        <v>0.01</v>
      </c>
      <c r="AE19" s="15" t="s">
        <v>213</v>
      </c>
      <c r="AF19" s="15" t="s">
        <v>213</v>
      </c>
    </row>
    <row r="20" spans="1:32" x14ac:dyDescent="0.25">
      <c r="A20" s="19"/>
      <c r="B20" s="11" t="s">
        <v>728</v>
      </c>
      <c r="C20" s="12">
        <v>383</v>
      </c>
      <c r="D20" s="12">
        <v>12</v>
      </c>
      <c r="E20" s="12">
        <v>9</v>
      </c>
      <c r="F20" s="12">
        <v>37</v>
      </c>
      <c r="G20" s="12">
        <v>5</v>
      </c>
      <c r="H20" s="12">
        <v>29</v>
      </c>
      <c r="I20" s="12">
        <v>38</v>
      </c>
      <c r="J20" s="12">
        <v>8</v>
      </c>
      <c r="K20" s="12">
        <v>17</v>
      </c>
      <c r="L20" s="12">
        <v>16</v>
      </c>
      <c r="M20" s="12">
        <v>10</v>
      </c>
      <c r="N20" s="12">
        <v>6</v>
      </c>
      <c r="O20" s="12">
        <v>13</v>
      </c>
      <c r="P20" s="12">
        <v>42</v>
      </c>
      <c r="Q20" s="12">
        <v>15</v>
      </c>
      <c r="R20" s="12">
        <v>7</v>
      </c>
      <c r="S20" s="12">
        <v>4</v>
      </c>
      <c r="T20" s="12">
        <v>8</v>
      </c>
      <c r="U20" s="12">
        <v>7</v>
      </c>
      <c r="V20" s="12">
        <v>16</v>
      </c>
      <c r="W20" s="12">
        <v>0</v>
      </c>
      <c r="X20" s="12">
        <v>10</v>
      </c>
      <c r="Y20" s="12">
        <v>5</v>
      </c>
      <c r="Z20" s="12">
        <v>15</v>
      </c>
      <c r="AA20" s="12">
        <v>10</v>
      </c>
      <c r="AB20" s="12">
        <v>13</v>
      </c>
      <c r="AC20" s="12">
        <v>16</v>
      </c>
      <c r="AD20" s="12">
        <v>18</v>
      </c>
      <c r="AE20" s="12">
        <v>4</v>
      </c>
      <c r="AF20" s="12">
        <v>2</v>
      </c>
    </row>
    <row r="21" spans="1:32" x14ac:dyDescent="0.25">
      <c r="A21" s="19"/>
      <c r="B21" s="13" t="s">
        <v>729</v>
      </c>
      <c r="C21" s="14">
        <v>0.01</v>
      </c>
      <c r="D21" s="14">
        <v>0.01</v>
      </c>
      <c r="E21" s="14">
        <v>0.01</v>
      </c>
      <c r="F21" s="14">
        <v>0.03</v>
      </c>
      <c r="G21" s="15" t="s">
        <v>213</v>
      </c>
      <c r="H21" s="14">
        <v>0.02</v>
      </c>
      <c r="I21" s="14">
        <v>0.02</v>
      </c>
      <c r="J21" s="14">
        <v>0.03</v>
      </c>
      <c r="K21" s="14">
        <v>0.02</v>
      </c>
      <c r="L21" s="14">
        <v>0.02</v>
      </c>
      <c r="M21" s="14">
        <v>0.01</v>
      </c>
      <c r="N21" s="14">
        <v>0.01</v>
      </c>
      <c r="O21" s="14">
        <v>0.01</v>
      </c>
      <c r="P21" s="14">
        <v>0.04</v>
      </c>
      <c r="Q21" s="14">
        <v>0.01</v>
      </c>
      <c r="R21" s="14">
        <v>0.02</v>
      </c>
      <c r="S21" s="15" t="s">
        <v>213</v>
      </c>
      <c r="T21" s="14">
        <v>0.01</v>
      </c>
      <c r="U21" s="14">
        <v>0.01</v>
      </c>
      <c r="V21" s="14">
        <v>0.02</v>
      </c>
      <c r="W21" s="15" t="s">
        <v>213</v>
      </c>
      <c r="X21" s="14">
        <v>0.01</v>
      </c>
      <c r="Y21" s="15" t="s">
        <v>213</v>
      </c>
      <c r="Z21" s="14">
        <v>0.02</v>
      </c>
      <c r="AA21" s="14">
        <v>0.01</v>
      </c>
      <c r="AB21" s="14">
        <v>0.01</v>
      </c>
      <c r="AC21" s="14">
        <v>0.01</v>
      </c>
      <c r="AD21" s="14">
        <v>0.02</v>
      </c>
      <c r="AE21" s="15" t="s">
        <v>213</v>
      </c>
      <c r="AF21" s="15" t="s">
        <v>213</v>
      </c>
    </row>
    <row r="22" spans="1:32" x14ac:dyDescent="0.25">
      <c r="A22" s="19"/>
      <c r="B22" s="11" t="s">
        <v>730</v>
      </c>
      <c r="C22" s="12">
        <v>2607</v>
      </c>
      <c r="D22" s="12">
        <v>56</v>
      </c>
      <c r="E22" s="12">
        <v>125</v>
      </c>
      <c r="F22" s="12">
        <v>136</v>
      </c>
      <c r="G22" s="12">
        <v>37</v>
      </c>
      <c r="H22" s="12">
        <v>120</v>
      </c>
      <c r="I22" s="12">
        <v>151</v>
      </c>
      <c r="J22" s="12">
        <v>31</v>
      </c>
      <c r="K22" s="12">
        <v>94</v>
      </c>
      <c r="L22" s="12">
        <v>82</v>
      </c>
      <c r="M22" s="12">
        <v>125</v>
      </c>
      <c r="N22" s="12">
        <v>55</v>
      </c>
      <c r="O22" s="12">
        <v>101</v>
      </c>
      <c r="P22" s="12">
        <v>107</v>
      </c>
      <c r="Q22" s="12">
        <v>87</v>
      </c>
      <c r="R22" s="12">
        <v>65</v>
      </c>
      <c r="S22" s="12">
        <v>112</v>
      </c>
      <c r="T22" s="12">
        <v>153</v>
      </c>
      <c r="U22" s="12">
        <v>19</v>
      </c>
      <c r="V22" s="12">
        <v>171</v>
      </c>
      <c r="W22" s="12">
        <v>37</v>
      </c>
      <c r="X22" s="12">
        <v>13</v>
      </c>
      <c r="Y22" s="12">
        <v>57</v>
      </c>
      <c r="Z22" s="12">
        <v>187</v>
      </c>
      <c r="AA22" s="12">
        <v>158</v>
      </c>
      <c r="AB22" s="12">
        <v>192</v>
      </c>
      <c r="AC22" s="12">
        <v>117</v>
      </c>
      <c r="AD22" s="12">
        <v>103</v>
      </c>
      <c r="AE22" s="12">
        <v>40</v>
      </c>
      <c r="AF22" s="12">
        <v>14</v>
      </c>
    </row>
    <row r="23" spans="1:32" x14ac:dyDescent="0.25">
      <c r="A23" s="19"/>
      <c r="B23" s="13" t="s">
        <v>731</v>
      </c>
      <c r="C23" s="14">
        <v>0.1</v>
      </c>
      <c r="D23" s="14">
        <v>0.05</v>
      </c>
      <c r="E23" s="14">
        <v>0.12</v>
      </c>
      <c r="F23" s="14">
        <v>0.13</v>
      </c>
      <c r="G23" s="14">
        <v>0.04</v>
      </c>
      <c r="H23" s="14">
        <v>0.1</v>
      </c>
      <c r="I23" s="14">
        <v>0.1</v>
      </c>
      <c r="J23" s="14">
        <v>0.11</v>
      </c>
      <c r="K23" s="14">
        <v>0.09</v>
      </c>
      <c r="L23" s="14">
        <v>0.08</v>
      </c>
      <c r="M23" s="14">
        <v>0.12</v>
      </c>
      <c r="N23" s="14">
        <v>0.06</v>
      </c>
      <c r="O23" s="14">
        <v>0.1</v>
      </c>
      <c r="P23" s="14">
        <v>0.11</v>
      </c>
      <c r="Q23" s="14">
        <v>0.09</v>
      </c>
      <c r="R23" s="14">
        <v>0.13</v>
      </c>
      <c r="S23" s="14">
        <v>0.11</v>
      </c>
      <c r="T23" s="14">
        <v>0.15</v>
      </c>
      <c r="U23" s="14">
        <v>0.04</v>
      </c>
      <c r="V23" s="14">
        <v>0.17</v>
      </c>
      <c r="W23" s="14">
        <v>0.08</v>
      </c>
      <c r="X23" s="14">
        <v>0.01</v>
      </c>
      <c r="Y23" s="14">
        <v>0.06</v>
      </c>
      <c r="Z23" s="14">
        <v>0.18</v>
      </c>
      <c r="AA23" s="14">
        <v>0.15</v>
      </c>
      <c r="AB23" s="14">
        <v>0.19</v>
      </c>
      <c r="AC23" s="14">
        <v>0.12</v>
      </c>
      <c r="AD23" s="14">
        <v>0.1</v>
      </c>
      <c r="AE23" s="14">
        <v>0.04</v>
      </c>
      <c r="AF23" s="14">
        <v>0.01</v>
      </c>
    </row>
    <row r="24" spans="1:32" ht="23.25" x14ac:dyDescent="0.25">
      <c r="A24" s="19"/>
      <c r="B24" s="11" t="s">
        <v>732</v>
      </c>
      <c r="C24" s="12">
        <v>245</v>
      </c>
      <c r="D24" s="12">
        <v>6</v>
      </c>
      <c r="E24" s="12">
        <v>42</v>
      </c>
      <c r="F24" s="12">
        <v>12</v>
      </c>
      <c r="G24" s="12">
        <v>6</v>
      </c>
      <c r="H24" s="12">
        <v>17</v>
      </c>
      <c r="I24" s="12">
        <v>18</v>
      </c>
      <c r="J24" s="12">
        <v>1</v>
      </c>
      <c r="K24" s="12">
        <v>22</v>
      </c>
      <c r="L24" s="12">
        <v>0</v>
      </c>
      <c r="M24" s="12">
        <v>46</v>
      </c>
      <c r="N24" s="12">
        <v>14</v>
      </c>
      <c r="O24" s="12">
        <v>1</v>
      </c>
      <c r="P24" s="12">
        <v>30</v>
      </c>
      <c r="Q24" s="12">
        <v>4</v>
      </c>
      <c r="R24" s="12">
        <v>1</v>
      </c>
      <c r="S24" s="12">
        <v>6</v>
      </c>
      <c r="T24" s="12">
        <v>8</v>
      </c>
      <c r="U24" s="12">
        <v>0</v>
      </c>
      <c r="V24" s="12">
        <v>1</v>
      </c>
      <c r="W24" s="12">
        <v>17</v>
      </c>
      <c r="X24" s="12">
        <v>0</v>
      </c>
      <c r="Y24" s="12">
        <v>42</v>
      </c>
      <c r="Z24" s="12">
        <v>0</v>
      </c>
      <c r="AA24" s="12">
        <v>36</v>
      </c>
      <c r="AB24" s="12">
        <v>7</v>
      </c>
      <c r="AC24" s="12">
        <v>7</v>
      </c>
      <c r="AD24" s="12">
        <v>13</v>
      </c>
      <c r="AE24" s="12">
        <v>5</v>
      </c>
      <c r="AF24" s="12">
        <v>0</v>
      </c>
    </row>
    <row r="25" spans="1:32" ht="23.25" x14ac:dyDescent="0.25">
      <c r="A25" s="19"/>
      <c r="B25" s="13" t="s">
        <v>733</v>
      </c>
      <c r="C25" s="14">
        <v>0.01</v>
      </c>
      <c r="D25" s="14">
        <v>0.01</v>
      </c>
      <c r="E25" s="14">
        <v>0.04</v>
      </c>
      <c r="F25" s="14">
        <v>0.01</v>
      </c>
      <c r="G25" s="14">
        <v>0.01</v>
      </c>
      <c r="H25" s="14">
        <v>0.01</v>
      </c>
      <c r="I25" s="14">
        <v>0.01</v>
      </c>
      <c r="J25" s="15" t="s">
        <v>213</v>
      </c>
      <c r="K25" s="14">
        <v>0.02</v>
      </c>
      <c r="L25" s="15" t="s">
        <v>213</v>
      </c>
      <c r="M25" s="14">
        <v>0.05</v>
      </c>
      <c r="N25" s="14">
        <v>0.01</v>
      </c>
      <c r="O25" s="15" t="s">
        <v>213</v>
      </c>
      <c r="P25" s="14">
        <v>0.03</v>
      </c>
      <c r="Q25" s="15" t="s">
        <v>213</v>
      </c>
      <c r="R25" s="15" t="s">
        <v>213</v>
      </c>
      <c r="S25" s="14">
        <v>0.01</v>
      </c>
      <c r="T25" s="14">
        <v>0.01</v>
      </c>
      <c r="U25" s="15" t="s">
        <v>213</v>
      </c>
      <c r="V25" s="15" t="s">
        <v>213</v>
      </c>
      <c r="W25" s="14">
        <v>0.03</v>
      </c>
      <c r="X25" s="15" t="s">
        <v>213</v>
      </c>
      <c r="Y25" s="14">
        <v>0.04</v>
      </c>
      <c r="Z25" s="15" t="s">
        <v>213</v>
      </c>
      <c r="AA25" s="14">
        <v>0.04</v>
      </c>
      <c r="AB25" s="14">
        <v>0.01</v>
      </c>
      <c r="AC25" s="14">
        <v>0.01</v>
      </c>
      <c r="AD25" s="14">
        <v>0.02</v>
      </c>
      <c r="AE25" s="15" t="s">
        <v>213</v>
      </c>
      <c r="AF25" s="15" t="s">
        <v>213</v>
      </c>
    </row>
  </sheetData>
  <mergeCells count="9">
    <mergeCell ref="H3:L3"/>
    <mergeCell ref="C8:AF8"/>
    <mergeCell ref="B3:F3"/>
    <mergeCell ref="B5:F5"/>
    <mergeCell ref="A10:A25"/>
    <mergeCell ref="H5:L5"/>
    <mergeCell ref="B10:B11"/>
    <mergeCell ref="H4:L4"/>
    <mergeCell ref="B4:F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742</v>
      </c>
      <c r="C3" s="18"/>
      <c r="D3" s="18"/>
      <c r="E3" s="18"/>
      <c r="F3" s="18"/>
      <c r="H3" s="18" t="s">
        <v>743</v>
      </c>
      <c r="I3" s="18"/>
      <c r="J3" s="18"/>
      <c r="K3" s="18"/>
      <c r="L3" s="18"/>
    </row>
    <row r="4" spans="1:32" ht="27" customHeight="1" x14ac:dyDescent="0.25">
      <c r="B4" s="18" t="s">
        <v>744</v>
      </c>
      <c r="C4" s="18"/>
      <c r="D4" s="18"/>
      <c r="E4" s="18"/>
      <c r="F4" s="18"/>
      <c r="H4" s="18" t="s">
        <v>745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720</v>
      </c>
      <c r="C12" s="12">
        <v>5775</v>
      </c>
      <c r="D12" s="12">
        <v>308</v>
      </c>
      <c r="E12" s="12">
        <v>191</v>
      </c>
      <c r="F12" s="12">
        <v>197</v>
      </c>
      <c r="G12" s="12">
        <v>174</v>
      </c>
      <c r="H12" s="12">
        <v>256</v>
      </c>
      <c r="I12" s="12">
        <v>288</v>
      </c>
      <c r="J12" s="12">
        <v>33</v>
      </c>
      <c r="K12" s="12">
        <v>261</v>
      </c>
      <c r="L12" s="12">
        <v>256</v>
      </c>
      <c r="M12" s="12">
        <v>153</v>
      </c>
      <c r="N12" s="12">
        <v>207</v>
      </c>
      <c r="O12" s="12">
        <v>201</v>
      </c>
      <c r="P12" s="12">
        <v>284</v>
      </c>
      <c r="Q12" s="12">
        <v>228</v>
      </c>
      <c r="R12" s="12">
        <v>169</v>
      </c>
      <c r="S12" s="12">
        <v>292</v>
      </c>
      <c r="T12" s="12">
        <v>230</v>
      </c>
      <c r="U12" s="12">
        <v>175</v>
      </c>
      <c r="V12" s="12">
        <v>284</v>
      </c>
      <c r="W12" s="12">
        <v>159</v>
      </c>
      <c r="X12" s="12">
        <v>379</v>
      </c>
      <c r="Y12" s="12">
        <v>192</v>
      </c>
      <c r="Z12" s="12">
        <v>176</v>
      </c>
      <c r="AA12" s="12">
        <v>356</v>
      </c>
      <c r="AB12" s="12">
        <v>338</v>
      </c>
      <c r="AC12" s="12">
        <v>214</v>
      </c>
      <c r="AD12" s="12">
        <v>159</v>
      </c>
      <c r="AE12" s="12">
        <v>154</v>
      </c>
      <c r="AF12" s="12">
        <v>202</v>
      </c>
    </row>
    <row r="13" spans="1:32" ht="23.25" x14ac:dyDescent="0.25">
      <c r="A13" s="19"/>
      <c r="B13" s="13" t="s">
        <v>721</v>
      </c>
      <c r="C13" s="14">
        <v>0.22</v>
      </c>
      <c r="D13" s="14">
        <v>0.3</v>
      </c>
      <c r="E13" s="14">
        <v>0.18</v>
      </c>
      <c r="F13" s="14">
        <v>0.18</v>
      </c>
      <c r="G13" s="14">
        <v>0.17</v>
      </c>
      <c r="H13" s="14">
        <v>0.21</v>
      </c>
      <c r="I13" s="14">
        <v>0.19</v>
      </c>
      <c r="J13" s="14">
        <v>0.11</v>
      </c>
      <c r="K13" s="14">
        <v>0.26</v>
      </c>
      <c r="L13" s="14">
        <v>0.25</v>
      </c>
      <c r="M13" s="14">
        <v>0.15</v>
      </c>
      <c r="N13" s="14">
        <v>0.2</v>
      </c>
      <c r="O13" s="14">
        <v>0.2</v>
      </c>
      <c r="P13" s="14">
        <v>0.28000000000000003</v>
      </c>
      <c r="Q13" s="14">
        <v>0.22</v>
      </c>
      <c r="R13" s="14">
        <v>0.34</v>
      </c>
      <c r="S13" s="14">
        <v>0.28999999999999998</v>
      </c>
      <c r="T13" s="14">
        <v>0.23</v>
      </c>
      <c r="U13" s="14">
        <v>0.34</v>
      </c>
      <c r="V13" s="14">
        <v>0.28000000000000003</v>
      </c>
      <c r="W13" s="14">
        <v>0.32</v>
      </c>
      <c r="X13" s="14">
        <v>0.38</v>
      </c>
      <c r="Y13" s="14">
        <v>0.19</v>
      </c>
      <c r="Z13" s="14">
        <v>0.18</v>
      </c>
      <c r="AA13" s="14">
        <v>0.34</v>
      </c>
      <c r="AB13" s="14">
        <v>0.32</v>
      </c>
      <c r="AC13" s="14">
        <v>0.21</v>
      </c>
      <c r="AD13" s="14">
        <v>0.16</v>
      </c>
      <c r="AE13" s="14">
        <v>0.15</v>
      </c>
      <c r="AF13" s="14">
        <v>0.19</v>
      </c>
    </row>
    <row r="14" spans="1:32" ht="23.25" x14ac:dyDescent="0.25">
      <c r="A14" s="19"/>
      <c r="B14" s="11" t="s">
        <v>722</v>
      </c>
      <c r="C14" s="12">
        <v>1420</v>
      </c>
      <c r="D14" s="12">
        <v>74</v>
      </c>
      <c r="E14" s="12">
        <v>42</v>
      </c>
      <c r="F14" s="12">
        <v>92</v>
      </c>
      <c r="G14" s="12">
        <v>32</v>
      </c>
      <c r="H14" s="12">
        <v>85</v>
      </c>
      <c r="I14" s="12">
        <v>103</v>
      </c>
      <c r="J14" s="12">
        <v>18</v>
      </c>
      <c r="K14" s="12">
        <v>79</v>
      </c>
      <c r="L14" s="12">
        <v>87</v>
      </c>
      <c r="M14" s="12">
        <v>81</v>
      </c>
      <c r="N14" s="12">
        <v>49</v>
      </c>
      <c r="O14" s="12">
        <v>20</v>
      </c>
      <c r="P14" s="12">
        <v>80</v>
      </c>
      <c r="Q14" s="12">
        <v>58</v>
      </c>
      <c r="R14" s="12">
        <v>45</v>
      </c>
      <c r="S14" s="12">
        <v>26</v>
      </c>
      <c r="T14" s="12">
        <v>69</v>
      </c>
      <c r="U14" s="12">
        <v>16</v>
      </c>
      <c r="V14" s="12">
        <v>63</v>
      </c>
      <c r="W14" s="12">
        <v>45</v>
      </c>
      <c r="X14" s="12">
        <v>64</v>
      </c>
      <c r="Y14" s="12">
        <v>74</v>
      </c>
      <c r="Z14" s="12">
        <v>54</v>
      </c>
      <c r="AA14" s="12">
        <v>48</v>
      </c>
      <c r="AB14" s="12">
        <v>45</v>
      </c>
      <c r="AC14" s="12">
        <v>46</v>
      </c>
      <c r="AD14" s="12">
        <v>98</v>
      </c>
      <c r="AE14" s="12">
        <v>37</v>
      </c>
      <c r="AF14" s="12">
        <v>49</v>
      </c>
    </row>
    <row r="15" spans="1:32" ht="23.25" x14ac:dyDescent="0.25">
      <c r="A15" s="19"/>
      <c r="B15" s="13" t="s">
        <v>723</v>
      </c>
      <c r="C15" s="14">
        <v>0.05</v>
      </c>
      <c r="D15" s="14">
        <v>7.0000000000000007E-2</v>
      </c>
      <c r="E15" s="14">
        <v>0.04</v>
      </c>
      <c r="F15" s="14">
        <v>0.09</v>
      </c>
      <c r="G15" s="14">
        <v>0.03</v>
      </c>
      <c r="H15" s="14">
        <v>7.0000000000000007E-2</v>
      </c>
      <c r="I15" s="14">
        <v>7.0000000000000007E-2</v>
      </c>
      <c r="J15" s="14">
        <v>0.06</v>
      </c>
      <c r="K15" s="14">
        <v>0.08</v>
      </c>
      <c r="L15" s="14">
        <v>0.09</v>
      </c>
      <c r="M15" s="14">
        <v>0.08</v>
      </c>
      <c r="N15" s="14">
        <v>0.05</v>
      </c>
      <c r="O15" s="14">
        <v>0.02</v>
      </c>
      <c r="P15" s="14">
        <v>0.08</v>
      </c>
      <c r="Q15" s="14">
        <v>0.06</v>
      </c>
      <c r="R15" s="14">
        <v>0.09</v>
      </c>
      <c r="S15" s="14">
        <v>0.03</v>
      </c>
      <c r="T15" s="14">
        <v>7.0000000000000007E-2</v>
      </c>
      <c r="U15" s="14">
        <v>0.03</v>
      </c>
      <c r="V15" s="14">
        <v>0.06</v>
      </c>
      <c r="W15" s="14">
        <v>0.09</v>
      </c>
      <c r="X15" s="14">
        <v>0.06</v>
      </c>
      <c r="Y15" s="14">
        <v>7.0000000000000007E-2</v>
      </c>
      <c r="Z15" s="14">
        <v>0.05</v>
      </c>
      <c r="AA15" s="14">
        <v>0.05</v>
      </c>
      <c r="AB15" s="14">
        <v>0.04</v>
      </c>
      <c r="AC15" s="14">
        <v>0.05</v>
      </c>
      <c r="AD15" s="14">
        <v>0.1</v>
      </c>
      <c r="AE15" s="14">
        <v>0.04</v>
      </c>
      <c r="AF15" s="14">
        <v>0.05</v>
      </c>
    </row>
    <row r="16" spans="1:32" ht="23.25" x14ac:dyDescent="0.25">
      <c r="A16" s="19"/>
      <c r="B16" s="11" t="s">
        <v>724</v>
      </c>
      <c r="C16" s="12">
        <v>921</v>
      </c>
      <c r="D16" s="12">
        <v>28</v>
      </c>
      <c r="E16" s="12">
        <v>33</v>
      </c>
      <c r="F16" s="12">
        <v>41</v>
      </c>
      <c r="G16" s="12">
        <v>37</v>
      </c>
      <c r="H16" s="12">
        <v>30</v>
      </c>
      <c r="I16" s="12">
        <v>50</v>
      </c>
      <c r="J16" s="12">
        <v>20</v>
      </c>
      <c r="K16" s="12">
        <v>73</v>
      </c>
      <c r="L16" s="12">
        <v>87</v>
      </c>
      <c r="M16" s="12">
        <v>72</v>
      </c>
      <c r="N16" s="12">
        <v>15</v>
      </c>
      <c r="O16" s="12">
        <v>17</v>
      </c>
      <c r="P16" s="12">
        <v>53</v>
      </c>
      <c r="Q16" s="12">
        <v>44</v>
      </c>
      <c r="R16" s="12">
        <v>29</v>
      </c>
      <c r="S16" s="12">
        <v>33</v>
      </c>
      <c r="T16" s="12">
        <v>37</v>
      </c>
      <c r="U16" s="12">
        <v>4</v>
      </c>
      <c r="V16" s="12">
        <v>71</v>
      </c>
      <c r="W16" s="12">
        <v>57</v>
      </c>
      <c r="X16" s="12">
        <v>29</v>
      </c>
      <c r="Y16" s="12">
        <v>68</v>
      </c>
      <c r="Z16" s="12">
        <v>50</v>
      </c>
      <c r="AA16" s="12">
        <v>26</v>
      </c>
      <c r="AB16" s="12">
        <v>29</v>
      </c>
      <c r="AC16" s="12">
        <v>25</v>
      </c>
      <c r="AD16" s="12">
        <v>103</v>
      </c>
      <c r="AE16" s="12">
        <v>23</v>
      </c>
      <c r="AF16" s="12">
        <v>42</v>
      </c>
    </row>
    <row r="17" spans="1:32" x14ac:dyDescent="0.25">
      <c r="A17" s="19"/>
      <c r="B17" s="13" t="s">
        <v>725</v>
      </c>
      <c r="C17" s="14">
        <v>0.03</v>
      </c>
      <c r="D17" s="14">
        <v>0.03</v>
      </c>
      <c r="E17" s="14">
        <v>0.03</v>
      </c>
      <c r="F17" s="14">
        <v>0.04</v>
      </c>
      <c r="G17" s="14">
        <v>0.04</v>
      </c>
      <c r="H17" s="14">
        <v>0.02</v>
      </c>
      <c r="I17" s="14">
        <v>0.03</v>
      </c>
      <c r="J17" s="14">
        <v>7.0000000000000007E-2</v>
      </c>
      <c r="K17" s="14">
        <v>7.0000000000000007E-2</v>
      </c>
      <c r="L17" s="14">
        <v>0.09</v>
      </c>
      <c r="M17" s="14">
        <v>7.0000000000000007E-2</v>
      </c>
      <c r="N17" s="14">
        <v>0.02</v>
      </c>
      <c r="O17" s="14">
        <v>0.02</v>
      </c>
      <c r="P17" s="14">
        <v>0.05</v>
      </c>
      <c r="Q17" s="14">
        <v>0.04</v>
      </c>
      <c r="R17" s="14">
        <v>0.06</v>
      </c>
      <c r="S17" s="14">
        <v>0.03</v>
      </c>
      <c r="T17" s="14">
        <v>0.04</v>
      </c>
      <c r="U17" s="14">
        <v>0.01</v>
      </c>
      <c r="V17" s="14">
        <v>7.0000000000000007E-2</v>
      </c>
      <c r="W17" s="14">
        <v>0.11</v>
      </c>
      <c r="X17" s="14">
        <v>0.03</v>
      </c>
      <c r="Y17" s="14">
        <v>7.0000000000000007E-2</v>
      </c>
      <c r="Z17" s="14">
        <v>0.05</v>
      </c>
      <c r="AA17" s="14">
        <v>0.02</v>
      </c>
      <c r="AB17" s="14">
        <v>0.03</v>
      </c>
      <c r="AC17" s="14">
        <v>0.03</v>
      </c>
      <c r="AD17" s="14">
        <v>0.1</v>
      </c>
      <c r="AE17" s="14">
        <v>0.02</v>
      </c>
      <c r="AF17" s="14">
        <v>0.04</v>
      </c>
    </row>
    <row r="18" spans="1:32" ht="23.25" x14ac:dyDescent="0.25">
      <c r="A18" s="19"/>
      <c r="B18" s="11" t="s">
        <v>726</v>
      </c>
      <c r="C18" s="12">
        <v>965</v>
      </c>
      <c r="D18" s="12">
        <v>18</v>
      </c>
      <c r="E18" s="12">
        <v>49</v>
      </c>
      <c r="F18" s="12">
        <v>42</v>
      </c>
      <c r="G18" s="12">
        <v>48</v>
      </c>
      <c r="H18" s="12">
        <v>35</v>
      </c>
      <c r="I18" s="12">
        <v>48</v>
      </c>
      <c r="J18" s="12">
        <v>13</v>
      </c>
      <c r="K18" s="12">
        <v>66</v>
      </c>
      <c r="L18" s="12">
        <v>41</v>
      </c>
      <c r="M18" s="12">
        <v>59</v>
      </c>
      <c r="N18" s="12">
        <v>23</v>
      </c>
      <c r="O18" s="12">
        <v>17</v>
      </c>
      <c r="P18" s="12">
        <v>27</v>
      </c>
      <c r="Q18" s="12">
        <v>46</v>
      </c>
      <c r="R18" s="12">
        <v>19</v>
      </c>
      <c r="S18" s="12">
        <v>28</v>
      </c>
      <c r="T18" s="12">
        <v>34</v>
      </c>
      <c r="U18" s="12">
        <v>4</v>
      </c>
      <c r="V18" s="12">
        <v>57</v>
      </c>
      <c r="W18" s="12">
        <v>16</v>
      </c>
      <c r="X18" s="12">
        <v>28</v>
      </c>
      <c r="Y18" s="12">
        <v>89</v>
      </c>
      <c r="Z18" s="12">
        <v>48</v>
      </c>
      <c r="AA18" s="12">
        <v>21</v>
      </c>
      <c r="AB18" s="12">
        <v>73</v>
      </c>
      <c r="AC18" s="12">
        <v>22</v>
      </c>
      <c r="AD18" s="12">
        <v>94</v>
      </c>
      <c r="AE18" s="12">
        <v>47</v>
      </c>
      <c r="AF18" s="12">
        <v>44</v>
      </c>
    </row>
    <row r="19" spans="1:32" ht="23.25" x14ac:dyDescent="0.25">
      <c r="A19" s="19"/>
      <c r="B19" s="13" t="s">
        <v>727</v>
      </c>
      <c r="C19" s="14">
        <v>0.04</v>
      </c>
      <c r="D19" s="14">
        <v>0.02</v>
      </c>
      <c r="E19" s="14">
        <v>0.05</v>
      </c>
      <c r="F19" s="14">
        <v>0.04</v>
      </c>
      <c r="G19" s="14">
        <v>0.05</v>
      </c>
      <c r="H19" s="14">
        <v>0.03</v>
      </c>
      <c r="I19" s="14">
        <v>0.03</v>
      </c>
      <c r="J19" s="14">
        <v>0.04</v>
      </c>
      <c r="K19" s="14">
        <v>0.06</v>
      </c>
      <c r="L19" s="14">
        <v>0.04</v>
      </c>
      <c r="M19" s="14">
        <v>0.06</v>
      </c>
      <c r="N19" s="14">
        <v>0.02</v>
      </c>
      <c r="O19" s="14">
        <v>0.02</v>
      </c>
      <c r="P19" s="14">
        <v>0.03</v>
      </c>
      <c r="Q19" s="14">
        <v>0.04</v>
      </c>
      <c r="R19" s="14">
        <v>0.04</v>
      </c>
      <c r="S19" s="14">
        <v>0.03</v>
      </c>
      <c r="T19" s="14">
        <v>0.03</v>
      </c>
      <c r="U19" s="14">
        <v>0.01</v>
      </c>
      <c r="V19" s="14">
        <v>0.06</v>
      </c>
      <c r="W19" s="14">
        <v>0.03</v>
      </c>
      <c r="X19" s="14">
        <v>0.03</v>
      </c>
      <c r="Y19" s="14">
        <v>0.09</v>
      </c>
      <c r="Z19" s="14">
        <v>0.05</v>
      </c>
      <c r="AA19" s="14">
        <v>0.02</v>
      </c>
      <c r="AB19" s="14">
        <v>7.0000000000000007E-2</v>
      </c>
      <c r="AC19" s="14">
        <v>0.02</v>
      </c>
      <c r="AD19" s="14">
        <v>0.09</v>
      </c>
      <c r="AE19" s="14">
        <v>0.05</v>
      </c>
      <c r="AF19" s="14">
        <v>0.04</v>
      </c>
    </row>
    <row r="20" spans="1:32" x14ac:dyDescent="0.25">
      <c r="A20" s="19"/>
      <c r="B20" s="11" t="s">
        <v>728</v>
      </c>
      <c r="C20" s="12">
        <v>3374</v>
      </c>
      <c r="D20" s="12">
        <v>133</v>
      </c>
      <c r="E20" s="12">
        <v>161</v>
      </c>
      <c r="F20" s="12">
        <v>240</v>
      </c>
      <c r="G20" s="12">
        <v>154</v>
      </c>
      <c r="H20" s="12">
        <v>212</v>
      </c>
      <c r="I20" s="12">
        <v>271</v>
      </c>
      <c r="J20" s="12">
        <v>59</v>
      </c>
      <c r="K20" s="12">
        <v>189</v>
      </c>
      <c r="L20" s="12">
        <v>170</v>
      </c>
      <c r="M20" s="12">
        <v>161</v>
      </c>
      <c r="N20" s="12">
        <v>125</v>
      </c>
      <c r="O20" s="12">
        <v>64</v>
      </c>
      <c r="P20" s="12">
        <v>160</v>
      </c>
      <c r="Q20" s="12">
        <v>130</v>
      </c>
      <c r="R20" s="12">
        <v>54</v>
      </c>
      <c r="S20" s="12">
        <v>82</v>
      </c>
      <c r="T20" s="12">
        <v>138</v>
      </c>
      <c r="U20" s="12">
        <v>38</v>
      </c>
      <c r="V20" s="12">
        <v>118</v>
      </c>
      <c r="W20" s="12">
        <v>41</v>
      </c>
      <c r="X20" s="12">
        <v>111</v>
      </c>
      <c r="Y20" s="12">
        <v>156</v>
      </c>
      <c r="Z20" s="12">
        <v>74</v>
      </c>
      <c r="AA20" s="12">
        <v>68</v>
      </c>
      <c r="AB20" s="12">
        <v>136</v>
      </c>
      <c r="AC20" s="12">
        <v>145</v>
      </c>
      <c r="AD20" s="12">
        <v>170</v>
      </c>
      <c r="AE20" s="12">
        <v>181</v>
      </c>
      <c r="AF20" s="12">
        <v>181</v>
      </c>
    </row>
    <row r="21" spans="1:32" x14ac:dyDescent="0.25">
      <c r="A21" s="19"/>
      <c r="B21" s="13" t="s">
        <v>729</v>
      </c>
      <c r="C21" s="14">
        <v>0.13</v>
      </c>
      <c r="D21" s="14">
        <v>0.13</v>
      </c>
      <c r="E21" s="14">
        <v>0.15</v>
      </c>
      <c r="F21" s="14">
        <v>0.23</v>
      </c>
      <c r="G21" s="14">
        <v>0.15</v>
      </c>
      <c r="H21" s="14">
        <v>0.17</v>
      </c>
      <c r="I21" s="14">
        <v>0.18</v>
      </c>
      <c r="J21" s="14">
        <v>0.2</v>
      </c>
      <c r="K21" s="14">
        <v>0.19</v>
      </c>
      <c r="L21" s="14">
        <v>0.17</v>
      </c>
      <c r="M21" s="14">
        <v>0.16</v>
      </c>
      <c r="N21" s="14">
        <v>0.12</v>
      </c>
      <c r="O21" s="14">
        <v>0.06</v>
      </c>
      <c r="P21" s="14">
        <v>0.16</v>
      </c>
      <c r="Q21" s="14">
        <v>0.13</v>
      </c>
      <c r="R21" s="14">
        <v>0.11</v>
      </c>
      <c r="S21" s="14">
        <v>0.08</v>
      </c>
      <c r="T21" s="14">
        <v>0.13</v>
      </c>
      <c r="U21" s="14">
        <v>7.0000000000000007E-2</v>
      </c>
      <c r="V21" s="14">
        <v>0.11</v>
      </c>
      <c r="W21" s="14">
        <v>0.08</v>
      </c>
      <c r="X21" s="14">
        <v>0.11</v>
      </c>
      <c r="Y21" s="14">
        <v>0.15</v>
      </c>
      <c r="Z21" s="14">
        <v>7.0000000000000007E-2</v>
      </c>
      <c r="AA21" s="14">
        <v>7.0000000000000007E-2</v>
      </c>
      <c r="AB21" s="14">
        <v>0.13</v>
      </c>
      <c r="AC21" s="14">
        <v>0.14000000000000001</v>
      </c>
      <c r="AD21" s="14">
        <v>0.17</v>
      </c>
      <c r="AE21" s="14">
        <v>0.18</v>
      </c>
      <c r="AF21" s="14">
        <v>0.18</v>
      </c>
    </row>
    <row r="22" spans="1:32" x14ac:dyDescent="0.25">
      <c r="A22" s="19"/>
      <c r="B22" s="11" t="s">
        <v>730</v>
      </c>
      <c r="C22" s="12">
        <v>13740</v>
      </c>
      <c r="D22" s="12">
        <v>446</v>
      </c>
      <c r="E22" s="12">
        <v>539</v>
      </c>
      <c r="F22" s="12">
        <v>440</v>
      </c>
      <c r="G22" s="12">
        <v>566</v>
      </c>
      <c r="H22" s="12">
        <v>592</v>
      </c>
      <c r="I22" s="12">
        <v>745</v>
      </c>
      <c r="J22" s="12">
        <v>153</v>
      </c>
      <c r="K22" s="12">
        <v>332</v>
      </c>
      <c r="L22" s="12">
        <v>365</v>
      </c>
      <c r="M22" s="12">
        <v>431</v>
      </c>
      <c r="N22" s="12">
        <v>581</v>
      </c>
      <c r="O22" s="12">
        <v>681</v>
      </c>
      <c r="P22" s="12">
        <v>369</v>
      </c>
      <c r="Q22" s="12">
        <v>520</v>
      </c>
      <c r="R22" s="12">
        <v>184</v>
      </c>
      <c r="S22" s="12">
        <v>540</v>
      </c>
      <c r="T22" s="12">
        <v>512</v>
      </c>
      <c r="U22" s="12">
        <v>272</v>
      </c>
      <c r="V22" s="12">
        <v>431</v>
      </c>
      <c r="W22" s="12">
        <v>168</v>
      </c>
      <c r="X22" s="12">
        <v>396</v>
      </c>
      <c r="Y22" s="12">
        <v>397</v>
      </c>
      <c r="Z22" s="12">
        <v>612</v>
      </c>
      <c r="AA22" s="12">
        <v>485</v>
      </c>
      <c r="AB22" s="12">
        <v>412</v>
      </c>
      <c r="AC22" s="12">
        <v>549</v>
      </c>
      <c r="AD22" s="12">
        <v>368</v>
      </c>
      <c r="AE22" s="12">
        <v>559</v>
      </c>
      <c r="AF22" s="12">
        <v>513</v>
      </c>
    </row>
    <row r="23" spans="1:32" x14ac:dyDescent="0.25">
      <c r="A23" s="19"/>
      <c r="B23" s="13" t="s">
        <v>731</v>
      </c>
      <c r="C23" s="14">
        <v>0.52</v>
      </c>
      <c r="D23" s="14">
        <v>0.44</v>
      </c>
      <c r="E23" s="14">
        <v>0.52</v>
      </c>
      <c r="F23" s="14">
        <v>0.41</v>
      </c>
      <c r="G23" s="14">
        <v>0.56000000000000005</v>
      </c>
      <c r="H23" s="14">
        <v>0.48</v>
      </c>
      <c r="I23" s="14">
        <v>0.49</v>
      </c>
      <c r="J23" s="14">
        <v>0.52</v>
      </c>
      <c r="K23" s="14">
        <v>0.33</v>
      </c>
      <c r="L23" s="14">
        <v>0.36</v>
      </c>
      <c r="M23" s="14">
        <v>0.43</v>
      </c>
      <c r="N23" s="14">
        <v>0.57999999999999996</v>
      </c>
      <c r="O23" s="14">
        <v>0.68</v>
      </c>
      <c r="P23" s="14">
        <v>0.37</v>
      </c>
      <c r="Q23" s="14">
        <v>0.51</v>
      </c>
      <c r="R23" s="14">
        <v>0.36</v>
      </c>
      <c r="S23" s="14">
        <v>0.54</v>
      </c>
      <c r="T23" s="14">
        <v>0.5</v>
      </c>
      <c r="U23" s="14">
        <v>0.54</v>
      </c>
      <c r="V23" s="14">
        <v>0.42</v>
      </c>
      <c r="W23" s="14">
        <v>0.33</v>
      </c>
      <c r="X23" s="14">
        <v>0.39</v>
      </c>
      <c r="Y23" s="14">
        <v>0.4</v>
      </c>
      <c r="Z23" s="14">
        <v>0.6</v>
      </c>
      <c r="AA23" s="14">
        <v>0.47</v>
      </c>
      <c r="AB23" s="14">
        <v>0.4</v>
      </c>
      <c r="AC23" s="14">
        <v>0.55000000000000004</v>
      </c>
      <c r="AD23" s="14">
        <v>0.37</v>
      </c>
      <c r="AE23" s="14">
        <v>0.56000000000000005</v>
      </c>
      <c r="AF23" s="14">
        <v>0.5</v>
      </c>
    </row>
    <row r="24" spans="1:32" ht="23.25" x14ac:dyDescent="0.25">
      <c r="A24" s="19"/>
      <c r="B24" s="11" t="s">
        <v>732</v>
      </c>
      <c r="C24" s="12">
        <v>258</v>
      </c>
      <c r="D24" s="12">
        <v>13</v>
      </c>
      <c r="E24" s="12">
        <v>31</v>
      </c>
      <c r="F24" s="12">
        <v>12</v>
      </c>
      <c r="G24" s="12">
        <v>6</v>
      </c>
      <c r="H24" s="12">
        <v>20</v>
      </c>
      <c r="I24" s="12">
        <v>21</v>
      </c>
      <c r="J24" s="12">
        <v>1</v>
      </c>
      <c r="K24" s="12">
        <v>6</v>
      </c>
      <c r="L24" s="12">
        <v>1</v>
      </c>
      <c r="M24" s="12">
        <v>49</v>
      </c>
      <c r="N24" s="12">
        <v>11</v>
      </c>
      <c r="O24" s="12">
        <v>4</v>
      </c>
      <c r="P24" s="12">
        <v>30</v>
      </c>
      <c r="Q24" s="12">
        <v>4</v>
      </c>
      <c r="R24" s="12">
        <v>1</v>
      </c>
      <c r="S24" s="12">
        <v>3</v>
      </c>
      <c r="T24" s="12">
        <v>4</v>
      </c>
      <c r="U24" s="12">
        <v>0</v>
      </c>
      <c r="V24" s="12">
        <v>3</v>
      </c>
      <c r="W24" s="12">
        <v>17</v>
      </c>
      <c r="X24" s="12">
        <v>2</v>
      </c>
      <c r="Y24" s="12">
        <v>27</v>
      </c>
      <c r="Z24" s="12">
        <v>3</v>
      </c>
      <c r="AA24" s="12">
        <v>33</v>
      </c>
      <c r="AB24" s="12">
        <v>9</v>
      </c>
      <c r="AC24" s="12">
        <v>4</v>
      </c>
      <c r="AD24" s="12">
        <v>11</v>
      </c>
      <c r="AE24" s="12">
        <v>0</v>
      </c>
      <c r="AF24" s="12">
        <v>1</v>
      </c>
    </row>
    <row r="25" spans="1:32" ht="23.25" x14ac:dyDescent="0.25">
      <c r="A25" s="19"/>
      <c r="B25" s="13" t="s">
        <v>733</v>
      </c>
      <c r="C25" s="14">
        <v>0.01</v>
      </c>
      <c r="D25" s="14">
        <v>0.01</v>
      </c>
      <c r="E25" s="14">
        <v>0.03</v>
      </c>
      <c r="F25" s="14">
        <v>0.01</v>
      </c>
      <c r="G25" s="15" t="s">
        <v>213</v>
      </c>
      <c r="H25" s="14">
        <v>0.02</v>
      </c>
      <c r="I25" s="14">
        <v>0.01</v>
      </c>
      <c r="J25" s="15" t="s">
        <v>213</v>
      </c>
      <c r="K25" s="14">
        <v>0.01</v>
      </c>
      <c r="L25" s="15" t="s">
        <v>213</v>
      </c>
      <c r="M25" s="14">
        <v>0.05</v>
      </c>
      <c r="N25" s="14">
        <v>0.01</v>
      </c>
      <c r="O25" s="15" t="s">
        <v>213</v>
      </c>
      <c r="P25" s="14">
        <v>0.03</v>
      </c>
      <c r="Q25" s="15" t="s">
        <v>213</v>
      </c>
      <c r="R25" s="15" t="s">
        <v>213</v>
      </c>
      <c r="S25" s="15" t="s">
        <v>213</v>
      </c>
      <c r="T25" s="15" t="s">
        <v>213</v>
      </c>
      <c r="U25" s="15" t="s">
        <v>213</v>
      </c>
      <c r="V25" s="15" t="s">
        <v>213</v>
      </c>
      <c r="W25" s="14">
        <v>0.04</v>
      </c>
      <c r="X25" s="15" t="s">
        <v>213</v>
      </c>
      <c r="Y25" s="14">
        <v>0.03</v>
      </c>
      <c r="Z25" s="15" t="s">
        <v>213</v>
      </c>
      <c r="AA25" s="14">
        <v>0.03</v>
      </c>
      <c r="AB25" s="14">
        <v>0.01</v>
      </c>
      <c r="AC25" s="15" t="s">
        <v>213</v>
      </c>
      <c r="AD25" s="14">
        <v>0.01</v>
      </c>
      <c r="AE25" s="15" t="s">
        <v>213</v>
      </c>
      <c r="AF25" s="15" t="s">
        <v>213</v>
      </c>
    </row>
  </sheetData>
  <mergeCells count="9">
    <mergeCell ref="H3:L3"/>
    <mergeCell ref="C8:AF8"/>
    <mergeCell ref="B3:F3"/>
    <mergeCell ref="B5:F5"/>
    <mergeCell ref="A10:A25"/>
    <mergeCell ref="H5:L5"/>
    <mergeCell ref="B10:B11"/>
    <mergeCell ref="H4:L4"/>
    <mergeCell ref="B4:F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21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141</v>
      </c>
      <c r="C3" s="18"/>
      <c r="D3" s="18"/>
      <c r="E3" s="18"/>
      <c r="F3" s="18"/>
      <c r="H3" s="18" t="s">
        <v>142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746</v>
      </c>
      <c r="C12" s="12">
        <v>22297</v>
      </c>
      <c r="D12" s="12">
        <v>918</v>
      </c>
      <c r="E12" s="12">
        <v>838</v>
      </c>
      <c r="F12" s="12">
        <v>848</v>
      </c>
      <c r="G12" s="12">
        <v>974</v>
      </c>
      <c r="H12" s="12">
        <v>1013</v>
      </c>
      <c r="I12" s="12">
        <v>1250</v>
      </c>
      <c r="J12" s="12">
        <v>236</v>
      </c>
      <c r="K12" s="12">
        <v>873</v>
      </c>
      <c r="L12" s="12">
        <v>888</v>
      </c>
      <c r="M12" s="12">
        <v>788</v>
      </c>
      <c r="N12" s="12">
        <v>914</v>
      </c>
      <c r="O12" s="12">
        <v>847</v>
      </c>
      <c r="P12" s="12">
        <v>809</v>
      </c>
      <c r="Q12" s="12">
        <v>859</v>
      </c>
      <c r="R12" s="12">
        <v>430</v>
      </c>
      <c r="S12" s="12">
        <v>884</v>
      </c>
      <c r="T12" s="12">
        <v>844</v>
      </c>
      <c r="U12" s="12">
        <v>471</v>
      </c>
      <c r="V12" s="12">
        <v>803</v>
      </c>
      <c r="W12" s="12">
        <v>442</v>
      </c>
      <c r="X12" s="12">
        <v>986</v>
      </c>
      <c r="Y12" s="12">
        <v>839</v>
      </c>
      <c r="Z12" s="12">
        <v>790</v>
      </c>
      <c r="AA12" s="12">
        <v>805</v>
      </c>
      <c r="AB12" s="12">
        <v>823</v>
      </c>
      <c r="AC12" s="12">
        <v>830</v>
      </c>
      <c r="AD12" s="12">
        <v>837</v>
      </c>
      <c r="AE12" s="12">
        <v>928</v>
      </c>
      <c r="AF12" s="12">
        <v>1009</v>
      </c>
    </row>
    <row r="13" spans="1:32" x14ac:dyDescent="0.25">
      <c r="A13" s="19"/>
      <c r="B13" s="13" t="s">
        <v>747</v>
      </c>
      <c r="C13" s="14">
        <v>0.84</v>
      </c>
      <c r="D13" s="14">
        <v>0.9</v>
      </c>
      <c r="E13" s="14">
        <v>0.8</v>
      </c>
      <c r="F13" s="14">
        <v>0.8</v>
      </c>
      <c r="G13" s="14">
        <v>0.96</v>
      </c>
      <c r="H13" s="14">
        <v>0.82000000000000006</v>
      </c>
      <c r="I13" s="14">
        <v>0.82000000000000006</v>
      </c>
      <c r="J13" s="14">
        <v>0.8</v>
      </c>
      <c r="K13" s="14">
        <v>0.87</v>
      </c>
      <c r="L13" s="14">
        <v>0.88</v>
      </c>
      <c r="M13" s="14">
        <v>0.78</v>
      </c>
      <c r="N13" s="14">
        <v>0.9</v>
      </c>
      <c r="O13" s="14">
        <v>0.84</v>
      </c>
      <c r="P13" s="14">
        <v>0.81</v>
      </c>
      <c r="Q13" s="14">
        <v>0.83000000000000007</v>
      </c>
      <c r="R13" s="14">
        <v>0.86</v>
      </c>
      <c r="S13" s="14">
        <v>0.88</v>
      </c>
      <c r="T13" s="14">
        <v>0.83000000000000007</v>
      </c>
      <c r="U13" s="14">
        <v>0.93</v>
      </c>
      <c r="V13" s="14">
        <v>0.78</v>
      </c>
      <c r="W13" s="14">
        <v>0.88</v>
      </c>
      <c r="X13" s="14">
        <v>0.98</v>
      </c>
      <c r="Y13" s="14">
        <v>0.84</v>
      </c>
      <c r="Z13" s="14">
        <v>0.78</v>
      </c>
      <c r="AA13" s="14">
        <v>0.78</v>
      </c>
      <c r="AB13" s="14">
        <v>0.79</v>
      </c>
      <c r="AC13" s="14">
        <v>0.83000000000000007</v>
      </c>
      <c r="AD13" s="14">
        <v>0.83000000000000007</v>
      </c>
      <c r="AE13" s="14">
        <v>0.93</v>
      </c>
      <c r="AF13" s="14">
        <v>0.98</v>
      </c>
    </row>
    <row r="14" spans="1:32" x14ac:dyDescent="0.25">
      <c r="A14" s="19"/>
      <c r="B14" s="11" t="s">
        <v>748</v>
      </c>
      <c r="C14" s="12">
        <v>1941</v>
      </c>
      <c r="D14" s="12">
        <v>77</v>
      </c>
      <c r="E14" s="12">
        <v>64</v>
      </c>
      <c r="F14" s="12">
        <v>114</v>
      </c>
      <c r="G14" s="12">
        <v>21</v>
      </c>
      <c r="H14" s="12">
        <v>107</v>
      </c>
      <c r="I14" s="12">
        <v>144</v>
      </c>
      <c r="J14" s="12">
        <v>37</v>
      </c>
      <c r="K14" s="12">
        <v>59</v>
      </c>
      <c r="L14" s="12">
        <v>59</v>
      </c>
      <c r="M14" s="12">
        <v>64</v>
      </c>
      <c r="N14" s="12">
        <v>37</v>
      </c>
      <c r="O14" s="12">
        <v>87</v>
      </c>
      <c r="P14" s="12">
        <v>83</v>
      </c>
      <c r="Q14" s="12">
        <v>96</v>
      </c>
      <c r="R14" s="12">
        <v>21</v>
      </c>
      <c r="S14" s="12">
        <v>30</v>
      </c>
      <c r="T14" s="12">
        <v>40</v>
      </c>
      <c r="U14" s="12">
        <v>25</v>
      </c>
      <c r="V14" s="12">
        <v>96</v>
      </c>
      <c r="W14" s="12">
        <v>13</v>
      </c>
      <c r="X14" s="12">
        <v>22</v>
      </c>
      <c r="Y14" s="12">
        <v>83</v>
      </c>
      <c r="Z14" s="12">
        <v>75</v>
      </c>
      <c r="AA14" s="12">
        <v>63</v>
      </c>
      <c r="AB14" s="12">
        <v>73</v>
      </c>
      <c r="AC14" s="12">
        <v>68</v>
      </c>
      <c r="AD14" s="12">
        <v>82</v>
      </c>
      <c r="AE14" s="12">
        <v>42</v>
      </c>
      <c r="AF14" s="12">
        <v>15</v>
      </c>
    </row>
    <row r="15" spans="1:32" x14ac:dyDescent="0.25">
      <c r="A15" s="19"/>
      <c r="B15" s="13" t="s">
        <v>749</v>
      </c>
      <c r="C15" s="14">
        <v>7.0000000000000007E-2</v>
      </c>
      <c r="D15" s="14">
        <v>0.08</v>
      </c>
      <c r="E15" s="14">
        <v>0.06</v>
      </c>
      <c r="F15" s="14">
        <v>0.11</v>
      </c>
      <c r="G15" s="14">
        <v>0.02</v>
      </c>
      <c r="H15" s="14">
        <v>0.09</v>
      </c>
      <c r="I15" s="14">
        <v>0.09</v>
      </c>
      <c r="J15" s="14">
        <v>0.12</v>
      </c>
      <c r="K15" s="14">
        <v>0.06</v>
      </c>
      <c r="L15" s="14">
        <v>0.06</v>
      </c>
      <c r="M15" s="14">
        <v>0.06</v>
      </c>
      <c r="N15" s="14">
        <v>0.04</v>
      </c>
      <c r="O15" s="14">
        <v>0.09</v>
      </c>
      <c r="P15" s="14">
        <v>0.08</v>
      </c>
      <c r="Q15" s="14">
        <v>0.1</v>
      </c>
      <c r="R15" s="14">
        <v>0.04</v>
      </c>
      <c r="S15" s="14">
        <v>0.03</v>
      </c>
      <c r="T15" s="14">
        <v>0.04</v>
      </c>
      <c r="U15" s="14">
        <v>0.05</v>
      </c>
      <c r="V15" s="14">
        <v>0.1</v>
      </c>
      <c r="W15" s="14">
        <v>0.03</v>
      </c>
      <c r="X15" s="14">
        <v>0.02</v>
      </c>
      <c r="Y15" s="14">
        <v>0.08</v>
      </c>
      <c r="Z15" s="14">
        <v>7.0000000000000007E-2</v>
      </c>
      <c r="AA15" s="14">
        <v>0.06</v>
      </c>
      <c r="AB15" s="14">
        <v>7.0000000000000007E-2</v>
      </c>
      <c r="AC15" s="14">
        <v>7.0000000000000007E-2</v>
      </c>
      <c r="AD15" s="14">
        <v>0.08</v>
      </c>
      <c r="AE15" s="14">
        <v>0.04</v>
      </c>
      <c r="AF15" s="14">
        <v>0.01</v>
      </c>
    </row>
    <row r="16" spans="1:32" x14ac:dyDescent="0.25">
      <c r="A16" s="19"/>
      <c r="B16" s="11" t="s">
        <v>730</v>
      </c>
      <c r="C16" s="12">
        <v>2060</v>
      </c>
      <c r="D16" s="12">
        <v>23</v>
      </c>
      <c r="E16" s="12">
        <v>124</v>
      </c>
      <c r="F16" s="12">
        <v>91</v>
      </c>
      <c r="G16" s="12">
        <v>19</v>
      </c>
      <c r="H16" s="12">
        <v>96</v>
      </c>
      <c r="I16" s="12">
        <v>119</v>
      </c>
      <c r="J16" s="12">
        <v>23</v>
      </c>
      <c r="K16" s="12">
        <v>72</v>
      </c>
      <c r="L16" s="12">
        <v>59</v>
      </c>
      <c r="M16" s="12">
        <v>118</v>
      </c>
      <c r="N16" s="12">
        <v>52</v>
      </c>
      <c r="O16" s="12">
        <v>69</v>
      </c>
      <c r="P16" s="12">
        <v>85</v>
      </c>
      <c r="Q16" s="12">
        <v>75</v>
      </c>
      <c r="R16" s="12">
        <v>48</v>
      </c>
      <c r="S16" s="12">
        <v>88</v>
      </c>
      <c r="T16" s="12">
        <v>136</v>
      </c>
      <c r="U16" s="12">
        <v>12</v>
      </c>
      <c r="V16" s="12">
        <v>127</v>
      </c>
      <c r="W16" s="12">
        <v>47</v>
      </c>
      <c r="X16" s="12">
        <v>1</v>
      </c>
      <c r="Y16" s="12">
        <v>64</v>
      </c>
      <c r="Z16" s="12">
        <v>151</v>
      </c>
      <c r="AA16" s="12">
        <v>149</v>
      </c>
      <c r="AB16" s="12">
        <v>140</v>
      </c>
      <c r="AC16" s="12">
        <v>105</v>
      </c>
      <c r="AD16" s="12">
        <v>77</v>
      </c>
      <c r="AE16" s="12">
        <v>31</v>
      </c>
      <c r="AF16" s="12">
        <v>7</v>
      </c>
    </row>
    <row r="17" spans="1:32" x14ac:dyDescent="0.25">
      <c r="A17" s="19"/>
      <c r="B17" s="13" t="s">
        <v>731</v>
      </c>
      <c r="C17" s="14">
        <v>0.08</v>
      </c>
      <c r="D17" s="14">
        <v>0.02</v>
      </c>
      <c r="E17" s="14">
        <v>0.12</v>
      </c>
      <c r="F17" s="14">
        <v>0.08</v>
      </c>
      <c r="G17" s="14">
        <v>0.02</v>
      </c>
      <c r="H17" s="14">
        <v>0.08</v>
      </c>
      <c r="I17" s="14">
        <v>0.08</v>
      </c>
      <c r="J17" s="14">
        <v>0.08</v>
      </c>
      <c r="K17" s="14">
        <v>7.0000000000000007E-2</v>
      </c>
      <c r="L17" s="14">
        <v>0.06</v>
      </c>
      <c r="M17" s="14">
        <v>0.12</v>
      </c>
      <c r="N17" s="14">
        <v>0.05</v>
      </c>
      <c r="O17" s="14">
        <v>7.0000000000000007E-2</v>
      </c>
      <c r="P17" s="14">
        <v>0.08</v>
      </c>
      <c r="Q17" s="14">
        <v>7.0000000000000007E-2</v>
      </c>
      <c r="R17" s="14">
        <v>0.1</v>
      </c>
      <c r="S17" s="14">
        <v>0.09</v>
      </c>
      <c r="T17" s="14">
        <v>0.13</v>
      </c>
      <c r="U17" s="14">
        <v>0.02</v>
      </c>
      <c r="V17" s="14">
        <v>0.12</v>
      </c>
      <c r="W17" s="14">
        <v>0.09</v>
      </c>
      <c r="X17" s="15" t="s">
        <v>213</v>
      </c>
      <c r="Y17" s="14">
        <v>0.06</v>
      </c>
      <c r="Z17" s="14">
        <v>0.15</v>
      </c>
      <c r="AA17" s="14">
        <v>0.14000000000000001</v>
      </c>
      <c r="AB17" s="14">
        <v>0.13</v>
      </c>
      <c r="AC17" s="14">
        <v>0.1</v>
      </c>
      <c r="AD17" s="14">
        <v>0.08</v>
      </c>
      <c r="AE17" s="14">
        <v>0.03</v>
      </c>
      <c r="AF17" s="14">
        <v>0.01</v>
      </c>
    </row>
    <row r="18" spans="1:32" ht="23.25" x14ac:dyDescent="0.25">
      <c r="A18" s="19"/>
      <c r="B18" s="11" t="s">
        <v>750</v>
      </c>
      <c r="C18" s="12">
        <v>154</v>
      </c>
      <c r="D18" s="12">
        <v>4</v>
      </c>
      <c r="E18" s="12">
        <v>21</v>
      </c>
      <c r="F18" s="12">
        <v>11</v>
      </c>
      <c r="G18" s="12">
        <v>2</v>
      </c>
      <c r="H18" s="12">
        <v>14</v>
      </c>
      <c r="I18" s="12">
        <v>14</v>
      </c>
      <c r="J18" s="12">
        <v>1</v>
      </c>
      <c r="K18" s="12">
        <v>3</v>
      </c>
      <c r="L18" s="12">
        <v>0</v>
      </c>
      <c r="M18" s="12">
        <v>37</v>
      </c>
      <c r="N18" s="12">
        <v>8</v>
      </c>
      <c r="O18" s="12">
        <v>1</v>
      </c>
      <c r="P18" s="12">
        <v>26</v>
      </c>
      <c r="Q18" s="12">
        <v>1</v>
      </c>
      <c r="R18" s="12">
        <v>1</v>
      </c>
      <c r="S18" s="12">
        <v>1</v>
      </c>
      <c r="T18" s="12">
        <v>3</v>
      </c>
      <c r="U18" s="12">
        <v>0</v>
      </c>
      <c r="V18" s="12">
        <v>0</v>
      </c>
      <c r="W18" s="12">
        <v>0</v>
      </c>
      <c r="X18" s="12">
        <v>0</v>
      </c>
      <c r="Y18" s="12">
        <v>17</v>
      </c>
      <c r="Z18" s="12">
        <v>0</v>
      </c>
      <c r="AA18" s="12">
        <v>20</v>
      </c>
      <c r="AB18" s="12">
        <v>5</v>
      </c>
      <c r="AC18" s="12">
        <v>2</v>
      </c>
      <c r="AD18" s="12">
        <v>7</v>
      </c>
      <c r="AE18" s="12">
        <v>0</v>
      </c>
      <c r="AF18" s="12">
        <v>0</v>
      </c>
    </row>
    <row r="19" spans="1:32" ht="23.25" x14ac:dyDescent="0.25">
      <c r="A19" s="19"/>
      <c r="B19" s="13" t="s">
        <v>751</v>
      </c>
      <c r="C19" s="14">
        <v>0.01</v>
      </c>
      <c r="D19" s="15" t="s">
        <v>213</v>
      </c>
      <c r="E19" s="14">
        <v>0.02</v>
      </c>
      <c r="F19" s="14">
        <v>0.01</v>
      </c>
      <c r="G19" s="15" t="s">
        <v>213</v>
      </c>
      <c r="H19" s="14">
        <v>0.01</v>
      </c>
      <c r="I19" s="14">
        <v>0.01</v>
      </c>
      <c r="J19" s="15" t="s">
        <v>213</v>
      </c>
      <c r="K19" s="15" t="s">
        <v>213</v>
      </c>
      <c r="L19" s="15" t="s">
        <v>213</v>
      </c>
      <c r="M19" s="14">
        <v>0.04</v>
      </c>
      <c r="N19" s="14">
        <v>0.01</v>
      </c>
      <c r="O19" s="15" t="s">
        <v>213</v>
      </c>
      <c r="P19" s="14">
        <v>0.03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4">
        <v>0.02</v>
      </c>
      <c r="Z19" s="15" t="s">
        <v>213</v>
      </c>
      <c r="AA19" s="14">
        <v>0.02</v>
      </c>
      <c r="AB19" s="14">
        <v>0.01</v>
      </c>
      <c r="AC19" s="15" t="s">
        <v>213</v>
      </c>
      <c r="AD19" s="14">
        <v>0.01</v>
      </c>
      <c r="AE19" s="15" t="s">
        <v>213</v>
      </c>
      <c r="AF19" s="15" t="s">
        <v>213</v>
      </c>
    </row>
    <row r="20" spans="1:32" x14ac:dyDescent="0.25">
      <c r="A20" s="19"/>
      <c r="B20" s="11" t="s">
        <v>752</v>
      </c>
      <c r="C20" s="12">
        <v>24238</v>
      </c>
      <c r="D20" s="12">
        <v>995</v>
      </c>
      <c r="E20" s="12">
        <v>902</v>
      </c>
      <c r="F20" s="12">
        <v>962</v>
      </c>
      <c r="G20" s="12">
        <v>995</v>
      </c>
      <c r="H20" s="12">
        <v>1120</v>
      </c>
      <c r="I20" s="12">
        <v>1394</v>
      </c>
      <c r="J20" s="12">
        <v>273</v>
      </c>
      <c r="K20" s="12">
        <v>932</v>
      </c>
      <c r="L20" s="12">
        <v>947</v>
      </c>
      <c r="M20" s="12">
        <v>852</v>
      </c>
      <c r="N20" s="12">
        <v>951</v>
      </c>
      <c r="O20" s="12">
        <v>934</v>
      </c>
      <c r="P20" s="12">
        <v>892</v>
      </c>
      <c r="Q20" s="12">
        <v>955</v>
      </c>
      <c r="R20" s="12">
        <v>451</v>
      </c>
      <c r="S20" s="12">
        <v>914</v>
      </c>
      <c r="T20" s="12">
        <v>884</v>
      </c>
      <c r="U20" s="12">
        <v>496</v>
      </c>
      <c r="V20" s="12">
        <v>899</v>
      </c>
      <c r="W20" s="12">
        <v>455</v>
      </c>
      <c r="X20" s="12">
        <v>1008</v>
      </c>
      <c r="Y20" s="12">
        <v>922</v>
      </c>
      <c r="Z20" s="12">
        <v>865</v>
      </c>
      <c r="AA20" s="12">
        <v>868</v>
      </c>
      <c r="AB20" s="12">
        <v>896</v>
      </c>
      <c r="AC20" s="12">
        <v>898</v>
      </c>
      <c r="AD20" s="12">
        <v>919</v>
      </c>
      <c r="AE20" s="12">
        <v>970</v>
      </c>
      <c r="AF20" s="12">
        <v>1024</v>
      </c>
    </row>
    <row r="21" spans="1:32" x14ac:dyDescent="0.25">
      <c r="A21" s="19"/>
      <c r="B21" s="13" t="s">
        <v>753</v>
      </c>
      <c r="C21" s="14">
        <v>0.91</v>
      </c>
      <c r="D21" s="14">
        <v>0.98</v>
      </c>
      <c r="E21" s="14">
        <v>0.86</v>
      </c>
      <c r="F21" s="14">
        <v>0.91</v>
      </c>
      <c r="G21" s="14">
        <v>0.98</v>
      </c>
      <c r="H21" s="14">
        <v>0.91</v>
      </c>
      <c r="I21" s="14">
        <v>0.91</v>
      </c>
      <c r="J21" s="14">
        <v>0.92</v>
      </c>
      <c r="K21" s="14">
        <v>0.93</v>
      </c>
      <c r="L21" s="14">
        <v>0.94000000000000006</v>
      </c>
      <c r="M21" s="14">
        <v>0.84</v>
      </c>
      <c r="N21" s="14">
        <v>0.94000000000000006</v>
      </c>
      <c r="O21" s="14">
        <v>0.93</v>
      </c>
      <c r="P21" s="14">
        <v>0.89</v>
      </c>
      <c r="Q21" s="14">
        <v>0.93</v>
      </c>
      <c r="R21" s="14">
        <v>0.9</v>
      </c>
      <c r="S21" s="14">
        <v>0.91</v>
      </c>
      <c r="T21" s="14">
        <v>0.87</v>
      </c>
      <c r="U21" s="14">
        <v>0.98</v>
      </c>
      <c r="V21" s="14">
        <v>0.88</v>
      </c>
      <c r="W21" s="14">
        <v>0.91</v>
      </c>
      <c r="X21" s="14">
        <v>1</v>
      </c>
      <c r="Y21" s="14">
        <v>0.92</v>
      </c>
      <c r="Z21" s="14">
        <v>0.85</v>
      </c>
      <c r="AA21" s="14">
        <v>0.84</v>
      </c>
      <c r="AB21" s="14">
        <v>0.86</v>
      </c>
      <c r="AC21" s="14">
        <v>0.9</v>
      </c>
      <c r="AD21" s="14">
        <v>0.91</v>
      </c>
      <c r="AE21" s="14">
        <v>0.97</v>
      </c>
      <c r="AF21" s="14">
        <v>0.99</v>
      </c>
    </row>
  </sheetData>
  <mergeCells count="10">
    <mergeCell ref="A20:A21"/>
    <mergeCell ref="H5:L5"/>
    <mergeCell ref="B10:B11"/>
    <mergeCell ref="H4:L4"/>
    <mergeCell ref="B4:F4"/>
    <mergeCell ref="H3:L3"/>
    <mergeCell ref="C8:AF8"/>
    <mergeCell ref="B3:F3"/>
    <mergeCell ref="B5:F5"/>
    <mergeCell ref="A10:A19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2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143</v>
      </c>
      <c r="C3" s="18"/>
      <c r="D3" s="18"/>
      <c r="E3" s="18"/>
      <c r="F3" s="18"/>
      <c r="H3" s="18" t="s">
        <v>144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754</v>
      </c>
      <c r="C12" s="12">
        <v>6133</v>
      </c>
      <c r="D12" s="12">
        <v>138</v>
      </c>
      <c r="E12" s="12">
        <v>379</v>
      </c>
      <c r="F12" s="12">
        <v>211</v>
      </c>
      <c r="G12" s="12">
        <v>152</v>
      </c>
      <c r="H12" s="12">
        <v>157</v>
      </c>
      <c r="I12" s="12">
        <v>233</v>
      </c>
      <c r="J12" s="12">
        <v>76</v>
      </c>
      <c r="K12" s="12">
        <v>248</v>
      </c>
      <c r="L12" s="12">
        <v>452</v>
      </c>
      <c r="M12" s="12">
        <v>261</v>
      </c>
      <c r="N12" s="12">
        <v>407</v>
      </c>
      <c r="O12" s="12">
        <v>257</v>
      </c>
      <c r="P12" s="12">
        <v>266</v>
      </c>
      <c r="Q12" s="12">
        <v>129</v>
      </c>
      <c r="R12" s="12">
        <v>136</v>
      </c>
      <c r="S12" s="12">
        <v>342</v>
      </c>
      <c r="T12" s="12">
        <v>243</v>
      </c>
      <c r="U12" s="12">
        <v>48</v>
      </c>
      <c r="V12" s="12">
        <v>198</v>
      </c>
      <c r="W12" s="12">
        <v>137</v>
      </c>
      <c r="X12" s="12">
        <v>58</v>
      </c>
      <c r="Y12" s="12">
        <v>195</v>
      </c>
      <c r="Z12" s="12">
        <v>406</v>
      </c>
      <c r="AA12" s="12">
        <v>469</v>
      </c>
      <c r="AB12" s="12">
        <v>225</v>
      </c>
      <c r="AC12" s="12">
        <v>208</v>
      </c>
      <c r="AD12" s="12">
        <v>144</v>
      </c>
      <c r="AE12" s="12">
        <v>194</v>
      </c>
      <c r="AF12" s="12">
        <v>123</v>
      </c>
    </row>
    <row r="13" spans="1:32" ht="23.25" x14ac:dyDescent="0.25">
      <c r="A13" s="19"/>
      <c r="B13" s="13" t="s">
        <v>755</v>
      </c>
      <c r="C13" s="14">
        <v>0.23</v>
      </c>
      <c r="D13" s="14">
        <v>0.14000000000000001</v>
      </c>
      <c r="E13" s="14">
        <v>0.36</v>
      </c>
      <c r="F13" s="14">
        <v>0.2</v>
      </c>
      <c r="G13" s="14">
        <v>0.15</v>
      </c>
      <c r="H13" s="14">
        <v>0.13</v>
      </c>
      <c r="I13" s="14">
        <v>0.15</v>
      </c>
      <c r="J13" s="14">
        <v>0.26</v>
      </c>
      <c r="K13" s="14">
        <v>0.25</v>
      </c>
      <c r="L13" s="14">
        <v>0.45</v>
      </c>
      <c r="M13" s="14">
        <v>0.26</v>
      </c>
      <c r="N13" s="14">
        <v>0.4</v>
      </c>
      <c r="O13" s="14">
        <v>0.26</v>
      </c>
      <c r="P13" s="14">
        <v>0.27</v>
      </c>
      <c r="Q13" s="14">
        <v>0.13</v>
      </c>
      <c r="R13" s="14">
        <v>0.27</v>
      </c>
      <c r="S13" s="14">
        <v>0.34</v>
      </c>
      <c r="T13" s="14">
        <v>0.24</v>
      </c>
      <c r="U13" s="14">
        <v>0.09</v>
      </c>
      <c r="V13" s="14">
        <v>0.19</v>
      </c>
      <c r="W13" s="14">
        <v>0.27</v>
      </c>
      <c r="X13" s="14">
        <v>0.06</v>
      </c>
      <c r="Y13" s="14">
        <v>0.19</v>
      </c>
      <c r="Z13" s="14">
        <v>0.4</v>
      </c>
      <c r="AA13" s="14">
        <v>0.45</v>
      </c>
      <c r="AB13" s="14">
        <v>0.22</v>
      </c>
      <c r="AC13" s="14">
        <v>0.21</v>
      </c>
      <c r="AD13" s="14">
        <v>0.14000000000000001</v>
      </c>
      <c r="AE13" s="14">
        <v>0.19</v>
      </c>
      <c r="AF13" s="14">
        <v>0.12</v>
      </c>
    </row>
    <row r="14" spans="1:32" ht="23.25" x14ac:dyDescent="0.25">
      <c r="A14" s="19"/>
      <c r="B14" s="11" t="s">
        <v>756</v>
      </c>
      <c r="C14" s="12">
        <v>4531</v>
      </c>
      <c r="D14" s="12">
        <v>213</v>
      </c>
      <c r="E14" s="12">
        <v>174</v>
      </c>
      <c r="F14" s="12">
        <v>211</v>
      </c>
      <c r="G14" s="12">
        <v>89</v>
      </c>
      <c r="H14" s="12">
        <v>308</v>
      </c>
      <c r="I14" s="12">
        <v>363</v>
      </c>
      <c r="J14" s="12">
        <v>55</v>
      </c>
      <c r="K14" s="12">
        <v>210</v>
      </c>
      <c r="L14" s="12">
        <v>84</v>
      </c>
      <c r="M14" s="12">
        <v>204</v>
      </c>
      <c r="N14" s="12">
        <v>128</v>
      </c>
      <c r="O14" s="12">
        <v>207</v>
      </c>
      <c r="P14" s="12">
        <v>125</v>
      </c>
      <c r="Q14" s="12">
        <v>134</v>
      </c>
      <c r="R14" s="12">
        <v>48</v>
      </c>
      <c r="S14" s="12">
        <v>80</v>
      </c>
      <c r="T14" s="12">
        <v>164</v>
      </c>
      <c r="U14" s="12">
        <v>54</v>
      </c>
      <c r="V14" s="12">
        <v>259</v>
      </c>
      <c r="W14" s="12">
        <v>34</v>
      </c>
      <c r="X14" s="12">
        <v>108</v>
      </c>
      <c r="Y14" s="12">
        <v>150</v>
      </c>
      <c r="Z14" s="12">
        <v>129</v>
      </c>
      <c r="AA14" s="12">
        <v>254</v>
      </c>
      <c r="AB14" s="12">
        <v>144</v>
      </c>
      <c r="AC14" s="12">
        <v>136</v>
      </c>
      <c r="AD14" s="12">
        <v>226</v>
      </c>
      <c r="AE14" s="12">
        <v>138</v>
      </c>
      <c r="AF14" s="12">
        <v>91</v>
      </c>
    </row>
    <row r="15" spans="1:32" ht="23.25" x14ac:dyDescent="0.25">
      <c r="A15" s="19"/>
      <c r="B15" s="13" t="s">
        <v>757</v>
      </c>
      <c r="C15" s="14">
        <v>0.17</v>
      </c>
      <c r="D15" s="14">
        <v>0.21</v>
      </c>
      <c r="E15" s="14">
        <v>0.17</v>
      </c>
      <c r="F15" s="14">
        <v>0.2</v>
      </c>
      <c r="G15" s="14">
        <v>0.09</v>
      </c>
      <c r="H15" s="14">
        <v>0.25</v>
      </c>
      <c r="I15" s="14">
        <v>0.24</v>
      </c>
      <c r="J15" s="14">
        <v>0.19</v>
      </c>
      <c r="K15" s="14">
        <v>0.21</v>
      </c>
      <c r="L15" s="14">
        <v>0.08</v>
      </c>
      <c r="M15" s="14">
        <v>0.2</v>
      </c>
      <c r="N15" s="14">
        <v>0.13</v>
      </c>
      <c r="O15" s="14">
        <v>0.21</v>
      </c>
      <c r="P15" s="14">
        <v>0.12</v>
      </c>
      <c r="Q15" s="14">
        <v>0.13</v>
      </c>
      <c r="R15" s="14">
        <v>0.1</v>
      </c>
      <c r="S15" s="14">
        <v>0.08</v>
      </c>
      <c r="T15" s="14">
        <v>0.16</v>
      </c>
      <c r="U15" s="14">
        <v>0.11</v>
      </c>
      <c r="V15" s="14">
        <v>0.25</v>
      </c>
      <c r="W15" s="14">
        <v>7.0000000000000007E-2</v>
      </c>
      <c r="X15" s="14">
        <v>0.11</v>
      </c>
      <c r="Y15" s="14">
        <v>0.15</v>
      </c>
      <c r="Z15" s="14">
        <v>0.13</v>
      </c>
      <c r="AA15" s="14">
        <v>0.25</v>
      </c>
      <c r="AB15" s="14">
        <v>0.14000000000000001</v>
      </c>
      <c r="AC15" s="14">
        <v>0.14000000000000001</v>
      </c>
      <c r="AD15" s="14">
        <v>0.23</v>
      </c>
      <c r="AE15" s="14">
        <v>0.14000000000000001</v>
      </c>
      <c r="AF15" s="14">
        <v>0.09</v>
      </c>
    </row>
    <row r="16" spans="1:32" ht="23.25" x14ac:dyDescent="0.25">
      <c r="A16" s="19"/>
      <c r="B16" s="11" t="s">
        <v>758</v>
      </c>
      <c r="C16" s="12">
        <v>12893</v>
      </c>
      <c r="D16" s="12">
        <v>563</v>
      </c>
      <c r="E16" s="12">
        <v>398</v>
      </c>
      <c r="F16" s="12">
        <v>538</v>
      </c>
      <c r="G16" s="12">
        <v>540</v>
      </c>
      <c r="H16" s="12">
        <v>625</v>
      </c>
      <c r="I16" s="12">
        <v>768</v>
      </c>
      <c r="J16" s="12">
        <v>143</v>
      </c>
      <c r="K16" s="12">
        <v>350</v>
      </c>
      <c r="L16" s="12">
        <v>384</v>
      </c>
      <c r="M16" s="12">
        <v>511</v>
      </c>
      <c r="N16" s="12">
        <v>413</v>
      </c>
      <c r="O16" s="12">
        <v>435</v>
      </c>
      <c r="P16" s="12">
        <v>544</v>
      </c>
      <c r="Q16" s="12">
        <v>659</v>
      </c>
      <c r="R16" s="12">
        <v>294</v>
      </c>
      <c r="S16" s="12">
        <v>485</v>
      </c>
      <c r="T16" s="12">
        <v>532</v>
      </c>
      <c r="U16" s="12">
        <v>298</v>
      </c>
      <c r="V16" s="12">
        <v>540</v>
      </c>
      <c r="W16" s="12">
        <v>265</v>
      </c>
      <c r="X16" s="12">
        <v>464</v>
      </c>
      <c r="Y16" s="12">
        <v>533</v>
      </c>
      <c r="Z16" s="12">
        <v>399</v>
      </c>
      <c r="AA16" s="12">
        <v>265</v>
      </c>
      <c r="AB16" s="12">
        <v>570</v>
      </c>
      <c r="AC16" s="12">
        <v>587</v>
      </c>
      <c r="AD16" s="12">
        <v>550</v>
      </c>
      <c r="AE16" s="12">
        <v>476</v>
      </c>
      <c r="AF16" s="12">
        <v>562</v>
      </c>
    </row>
    <row r="17" spans="1:32" ht="23.25" x14ac:dyDescent="0.25">
      <c r="A17" s="19"/>
      <c r="B17" s="13" t="s">
        <v>759</v>
      </c>
      <c r="C17" s="14">
        <v>0.49</v>
      </c>
      <c r="D17" s="14">
        <v>0.55000000000000004</v>
      </c>
      <c r="E17" s="14">
        <v>0.38</v>
      </c>
      <c r="F17" s="14">
        <v>0.51</v>
      </c>
      <c r="G17" s="14">
        <v>0.53</v>
      </c>
      <c r="H17" s="14">
        <v>0.51</v>
      </c>
      <c r="I17" s="14">
        <v>0.51</v>
      </c>
      <c r="J17" s="14">
        <v>0.48</v>
      </c>
      <c r="K17" s="14">
        <v>0.35</v>
      </c>
      <c r="L17" s="14">
        <v>0.38</v>
      </c>
      <c r="M17" s="14">
        <v>0.51</v>
      </c>
      <c r="N17" s="14">
        <v>0.41</v>
      </c>
      <c r="O17" s="14">
        <v>0.43</v>
      </c>
      <c r="P17" s="14">
        <v>0.54</v>
      </c>
      <c r="Q17" s="14">
        <v>0.64</v>
      </c>
      <c r="R17" s="14">
        <v>0.59</v>
      </c>
      <c r="S17" s="14">
        <v>0.49</v>
      </c>
      <c r="T17" s="14">
        <v>0.52</v>
      </c>
      <c r="U17" s="14">
        <v>0.57999999999999996</v>
      </c>
      <c r="V17" s="14">
        <v>0.53</v>
      </c>
      <c r="W17" s="14">
        <v>0.53</v>
      </c>
      <c r="X17" s="14">
        <v>0.46</v>
      </c>
      <c r="Y17" s="14">
        <v>0.53</v>
      </c>
      <c r="Z17" s="14">
        <v>0.39</v>
      </c>
      <c r="AA17" s="14">
        <v>0.26</v>
      </c>
      <c r="AB17" s="14">
        <v>0.55000000000000004</v>
      </c>
      <c r="AC17" s="14">
        <v>0.57999999999999996</v>
      </c>
      <c r="AD17" s="14">
        <v>0.55000000000000004</v>
      </c>
      <c r="AE17" s="14">
        <v>0.48</v>
      </c>
      <c r="AF17" s="14">
        <v>0.55000000000000004</v>
      </c>
    </row>
    <row r="18" spans="1:32" ht="23.25" x14ac:dyDescent="0.25">
      <c r="A18" s="19"/>
      <c r="B18" s="11" t="s">
        <v>760</v>
      </c>
      <c r="C18" s="12">
        <v>2321</v>
      </c>
      <c r="D18" s="12">
        <v>100</v>
      </c>
      <c r="E18" s="12">
        <v>37</v>
      </c>
      <c r="F18" s="12">
        <v>76</v>
      </c>
      <c r="G18" s="12">
        <v>212</v>
      </c>
      <c r="H18" s="12">
        <v>122</v>
      </c>
      <c r="I18" s="12">
        <v>140</v>
      </c>
      <c r="J18" s="12">
        <v>19</v>
      </c>
      <c r="K18" s="12">
        <v>53</v>
      </c>
      <c r="L18" s="12">
        <v>46</v>
      </c>
      <c r="M18" s="12">
        <v>13</v>
      </c>
      <c r="N18" s="12">
        <v>53</v>
      </c>
      <c r="O18" s="12">
        <v>77</v>
      </c>
      <c r="P18" s="12">
        <v>55</v>
      </c>
      <c r="Q18" s="12">
        <v>93</v>
      </c>
      <c r="R18" s="12">
        <v>19</v>
      </c>
      <c r="S18" s="12">
        <v>59</v>
      </c>
      <c r="T18" s="12">
        <v>60</v>
      </c>
      <c r="U18" s="12">
        <v>100</v>
      </c>
      <c r="V18" s="12">
        <v>25</v>
      </c>
      <c r="W18" s="12">
        <v>58</v>
      </c>
      <c r="X18" s="12">
        <v>329</v>
      </c>
      <c r="Y18" s="12">
        <v>83</v>
      </c>
      <c r="Z18" s="12">
        <v>54</v>
      </c>
      <c r="AA18" s="12">
        <v>35</v>
      </c>
      <c r="AB18" s="12">
        <v>76</v>
      </c>
      <c r="AC18" s="12">
        <v>66</v>
      </c>
      <c r="AD18" s="12">
        <v>84</v>
      </c>
      <c r="AE18" s="12">
        <v>132</v>
      </c>
      <c r="AF18" s="12">
        <v>219</v>
      </c>
    </row>
    <row r="19" spans="1:32" ht="23.25" x14ac:dyDescent="0.25">
      <c r="A19" s="19"/>
      <c r="B19" s="13" t="s">
        <v>761</v>
      </c>
      <c r="C19" s="14">
        <v>0.09</v>
      </c>
      <c r="D19" s="14">
        <v>0.1</v>
      </c>
      <c r="E19" s="14">
        <v>0.04</v>
      </c>
      <c r="F19" s="14">
        <v>7.0000000000000007E-2</v>
      </c>
      <c r="G19" s="14">
        <v>0.21</v>
      </c>
      <c r="H19" s="14">
        <v>0.1</v>
      </c>
      <c r="I19" s="14">
        <v>0.09</v>
      </c>
      <c r="J19" s="14">
        <v>0.06</v>
      </c>
      <c r="K19" s="14">
        <v>0.05</v>
      </c>
      <c r="L19" s="14">
        <v>0.05</v>
      </c>
      <c r="M19" s="14">
        <v>0.01</v>
      </c>
      <c r="N19" s="14">
        <v>0.05</v>
      </c>
      <c r="O19" s="14">
        <v>0.08</v>
      </c>
      <c r="P19" s="14">
        <v>0.06</v>
      </c>
      <c r="Q19" s="14">
        <v>0.09</v>
      </c>
      <c r="R19" s="14">
        <v>0.04</v>
      </c>
      <c r="S19" s="14">
        <v>0.06</v>
      </c>
      <c r="T19" s="14">
        <v>0.06</v>
      </c>
      <c r="U19" s="14">
        <v>0.2</v>
      </c>
      <c r="V19" s="14">
        <v>0.03</v>
      </c>
      <c r="W19" s="14">
        <v>0.12</v>
      </c>
      <c r="X19" s="14">
        <v>0.33</v>
      </c>
      <c r="Y19" s="14">
        <v>0.08</v>
      </c>
      <c r="Z19" s="14">
        <v>0.05</v>
      </c>
      <c r="AA19" s="14">
        <v>0.03</v>
      </c>
      <c r="AB19" s="14">
        <v>7.0000000000000007E-2</v>
      </c>
      <c r="AC19" s="14">
        <v>7.0000000000000007E-2</v>
      </c>
      <c r="AD19" s="14">
        <v>0.08</v>
      </c>
      <c r="AE19" s="14">
        <v>0.13</v>
      </c>
      <c r="AF19" s="14">
        <v>0.21</v>
      </c>
    </row>
    <row r="20" spans="1:32" ht="23.25" x14ac:dyDescent="0.25">
      <c r="A20" s="19"/>
      <c r="B20" s="11" t="s">
        <v>762</v>
      </c>
      <c r="C20" s="12">
        <v>229</v>
      </c>
      <c r="D20" s="12">
        <v>4</v>
      </c>
      <c r="E20" s="12">
        <v>2</v>
      </c>
      <c r="F20" s="12">
        <v>22</v>
      </c>
      <c r="G20" s="12">
        <v>11</v>
      </c>
      <c r="H20" s="12">
        <v>4</v>
      </c>
      <c r="I20" s="12">
        <v>5</v>
      </c>
      <c r="J20" s="12">
        <v>1</v>
      </c>
      <c r="K20" s="12">
        <v>6</v>
      </c>
      <c r="L20" s="12">
        <v>8</v>
      </c>
      <c r="M20" s="12">
        <v>0</v>
      </c>
      <c r="N20" s="12">
        <v>4</v>
      </c>
      <c r="O20" s="12">
        <v>3</v>
      </c>
      <c r="P20" s="12">
        <v>11</v>
      </c>
      <c r="Q20" s="12">
        <v>9</v>
      </c>
      <c r="R20" s="12">
        <v>2</v>
      </c>
      <c r="S20" s="12">
        <v>13</v>
      </c>
      <c r="T20" s="12">
        <v>6</v>
      </c>
      <c r="U20" s="12">
        <v>5</v>
      </c>
      <c r="V20" s="12">
        <v>2</v>
      </c>
      <c r="W20" s="12">
        <v>6</v>
      </c>
      <c r="X20" s="12">
        <v>46</v>
      </c>
      <c r="Y20" s="12">
        <v>4</v>
      </c>
      <c r="Z20" s="12">
        <v>25</v>
      </c>
      <c r="AA20" s="12">
        <v>1</v>
      </c>
      <c r="AB20" s="12">
        <v>12</v>
      </c>
      <c r="AC20" s="12">
        <v>5</v>
      </c>
      <c r="AD20" s="12">
        <v>0</v>
      </c>
      <c r="AE20" s="12">
        <v>17</v>
      </c>
      <c r="AF20" s="12">
        <v>14</v>
      </c>
    </row>
    <row r="21" spans="1:32" ht="23.25" x14ac:dyDescent="0.25">
      <c r="A21" s="19"/>
      <c r="B21" s="13" t="s">
        <v>763</v>
      </c>
      <c r="C21" s="14">
        <v>0.01</v>
      </c>
      <c r="D21" s="15" t="s">
        <v>213</v>
      </c>
      <c r="E21" s="15" t="s">
        <v>213</v>
      </c>
      <c r="F21" s="14">
        <v>0.02</v>
      </c>
      <c r="G21" s="14">
        <v>0.01</v>
      </c>
      <c r="H21" s="15" t="s">
        <v>213</v>
      </c>
      <c r="I21" s="15" t="s">
        <v>213</v>
      </c>
      <c r="J21" s="15" t="s">
        <v>213</v>
      </c>
      <c r="K21" s="15" t="s">
        <v>213</v>
      </c>
      <c r="L21" s="14">
        <v>0.01</v>
      </c>
      <c r="M21" s="15" t="s">
        <v>213</v>
      </c>
      <c r="N21" s="15" t="s">
        <v>213</v>
      </c>
      <c r="O21" s="15" t="s">
        <v>213</v>
      </c>
      <c r="P21" s="14">
        <v>0.01</v>
      </c>
      <c r="Q21" s="14">
        <v>0.01</v>
      </c>
      <c r="R21" s="15" t="s">
        <v>213</v>
      </c>
      <c r="S21" s="14">
        <v>0.01</v>
      </c>
      <c r="T21" s="14">
        <v>0.01</v>
      </c>
      <c r="U21" s="14">
        <v>0.01</v>
      </c>
      <c r="V21" s="15" t="s">
        <v>213</v>
      </c>
      <c r="W21" s="14">
        <v>0.01</v>
      </c>
      <c r="X21" s="14">
        <v>0.04</v>
      </c>
      <c r="Y21" s="15" t="s">
        <v>213</v>
      </c>
      <c r="Z21" s="14">
        <v>0.03</v>
      </c>
      <c r="AA21" s="15" t="s">
        <v>213</v>
      </c>
      <c r="AB21" s="14">
        <v>0.01</v>
      </c>
      <c r="AC21" s="15" t="s">
        <v>213</v>
      </c>
      <c r="AD21" s="15" t="s">
        <v>213</v>
      </c>
      <c r="AE21" s="14">
        <v>0.02</v>
      </c>
      <c r="AF21" s="14">
        <v>0.01</v>
      </c>
    </row>
    <row r="22" spans="1:32" x14ac:dyDescent="0.25">
      <c r="A22" s="19"/>
      <c r="B22" s="11" t="s">
        <v>274</v>
      </c>
      <c r="C22" s="12">
        <v>16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20</v>
      </c>
      <c r="L22" s="12">
        <v>0</v>
      </c>
      <c r="M22" s="12">
        <v>0</v>
      </c>
      <c r="N22" s="12">
        <v>0</v>
      </c>
      <c r="O22" s="12">
        <v>2</v>
      </c>
      <c r="P22" s="12">
        <v>0</v>
      </c>
      <c r="Q22" s="12">
        <v>0</v>
      </c>
      <c r="R22" s="12">
        <v>0</v>
      </c>
      <c r="S22" s="12">
        <v>1</v>
      </c>
      <c r="T22" s="12">
        <v>0</v>
      </c>
      <c r="U22" s="12">
        <v>0</v>
      </c>
      <c r="V22" s="12">
        <v>0</v>
      </c>
      <c r="W22" s="12">
        <v>0</v>
      </c>
      <c r="X22" s="12">
        <v>1</v>
      </c>
      <c r="Y22" s="12">
        <v>4</v>
      </c>
      <c r="Z22" s="12">
        <v>0</v>
      </c>
      <c r="AA22" s="12">
        <v>2</v>
      </c>
      <c r="AB22" s="12">
        <v>1</v>
      </c>
      <c r="AC22" s="12">
        <v>0</v>
      </c>
      <c r="AD22" s="12">
        <v>0</v>
      </c>
      <c r="AE22" s="12">
        <v>3</v>
      </c>
      <c r="AF22" s="12">
        <v>0</v>
      </c>
    </row>
    <row r="23" spans="1:32" x14ac:dyDescent="0.25">
      <c r="A23" s="19"/>
      <c r="B23" s="13" t="s">
        <v>275</v>
      </c>
      <c r="C23" s="15" t="s">
        <v>213</v>
      </c>
      <c r="D23" s="15" t="s">
        <v>213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4">
        <v>0.02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4">
        <v>0.01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  <row r="24" spans="1:32" x14ac:dyDescent="0.25">
      <c r="A24" s="19"/>
      <c r="B24" s="11" t="s">
        <v>555</v>
      </c>
      <c r="C24" s="12">
        <v>36</v>
      </c>
      <c r="D24" s="12">
        <v>0</v>
      </c>
      <c r="E24" s="12">
        <v>4</v>
      </c>
      <c r="F24" s="12">
        <v>0</v>
      </c>
      <c r="G24" s="12">
        <v>1</v>
      </c>
      <c r="H24" s="12">
        <v>4</v>
      </c>
      <c r="I24" s="12">
        <v>5</v>
      </c>
      <c r="J24" s="12">
        <v>1</v>
      </c>
      <c r="K24" s="12">
        <v>8</v>
      </c>
      <c r="L24" s="12">
        <v>3</v>
      </c>
      <c r="M24" s="12">
        <v>0</v>
      </c>
      <c r="N24" s="12">
        <v>0</v>
      </c>
      <c r="O24" s="12">
        <v>0</v>
      </c>
      <c r="P24" s="12">
        <v>0</v>
      </c>
      <c r="Q24" s="12">
        <v>2</v>
      </c>
      <c r="R24" s="12">
        <v>1</v>
      </c>
      <c r="S24" s="12">
        <v>3</v>
      </c>
      <c r="T24" s="12">
        <v>4</v>
      </c>
      <c r="U24" s="12">
        <v>0</v>
      </c>
      <c r="V24" s="12">
        <v>1</v>
      </c>
      <c r="W24" s="12">
        <v>0</v>
      </c>
      <c r="X24" s="12">
        <v>0</v>
      </c>
      <c r="Y24" s="12">
        <v>8</v>
      </c>
      <c r="Z24" s="12">
        <v>0</v>
      </c>
      <c r="AA24" s="12">
        <v>0</v>
      </c>
      <c r="AB24" s="12">
        <v>0</v>
      </c>
      <c r="AC24" s="12">
        <v>1</v>
      </c>
      <c r="AD24" s="12">
        <v>0</v>
      </c>
      <c r="AE24" s="12">
        <v>5</v>
      </c>
      <c r="AF24" s="12">
        <v>3</v>
      </c>
    </row>
    <row r="25" spans="1:32" x14ac:dyDescent="0.25">
      <c r="A25" s="19"/>
      <c r="B25" s="13" t="s">
        <v>556</v>
      </c>
      <c r="C25" s="15" t="s">
        <v>213</v>
      </c>
      <c r="D25" s="15" t="s">
        <v>213</v>
      </c>
      <c r="E25" s="15" t="s">
        <v>213</v>
      </c>
      <c r="F25" s="15" t="s">
        <v>213</v>
      </c>
      <c r="G25" s="15" t="s">
        <v>213</v>
      </c>
      <c r="H25" s="15" t="s">
        <v>213</v>
      </c>
      <c r="I25" s="15" t="s">
        <v>213</v>
      </c>
      <c r="J25" s="15" t="s">
        <v>213</v>
      </c>
      <c r="K25" s="14">
        <v>0.01</v>
      </c>
      <c r="L25" s="15" t="s">
        <v>213</v>
      </c>
      <c r="M25" s="15" t="s">
        <v>213</v>
      </c>
      <c r="N25" s="15" t="s">
        <v>213</v>
      </c>
      <c r="O25" s="15" t="s">
        <v>213</v>
      </c>
      <c r="P25" s="15" t="s">
        <v>213</v>
      </c>
      <c r="Q25" s="15" t="s">
        <v>213</v>
      </c>
      <c r="R25" s="15" t="s">
        <v>213</v>
      </c>
      <c r="S25" s="15" t="s">
        <v>213</v>
      </c>
      <c r="T25" s="15" t="s">
        <v>213</v>
      </c>
      <c r="U25" s="15" t="s">
        <v>213</v>
      </c>
      <c r="V25" s="15" t="s">
        <v>213</v>
      </c>
      <c r="W25" s="15" t="s">
        <v>213</v>
      </c>
      <c r="X25" s="15" t="s">
        <v>213</v>
      </c>
      <c r="Y25" s="14">
        <v>0.01</v>
      </c>
      <c r="Z25" s="15" t="s">
        <v>213</v>
      </c>
      <c r="AA25" s="15" t="s">
        <v>213</v>
      </c>
      <c r="AB25" s="15" t="s">
        <v>213</v>
      </c>
      <c r="AC25" s="15" t="s">
        <v>213</v>
      </c>
      <c r="AD25" s="15" t="s">
        <v>213</v>
      </c>
      <c r="AE25" s="15" t="s">
        <v>213</v>
      </c>
      <c r="AF25" s="15" t="s">
        <v>213</v>
      </c>
    </row>
    <row r="26" spans="1:32" x14ac:dyDescent="0.25">
      <c r="A26" s="19"/>
      <c r="B26" s="11" t="s">
        <v>276</v>
      </c>
      <c r="C26" s="12">
        <v>82</v>
      </c>
      <c r="D26" s="12">
        <v>0</v>
      </c>
      <c r="E26" s="12">
        <v>14</v>
      </c>
      <c r="F26" s="12">
        <v>0</v>
      </c>
      <c r="G26" s="12">
        <v>1</v>
      </c>
      <c r="H26" s="12">
        <v>7</v>
      </c>
      <c r="I26" s="12">
        <v>9</v>
      </c>
      <c r="J26" s="12">
        <v>3</v>
      </c>
      <c r="K26" s="12">
        <v>44</v>
      </c>
      <c r="L26" s="12">
        <v>4</v>
      </c>
      <c r="M26" s="12">
        <v>10</v>
      </c>
      <c r="N26" s="12">
        <v>1</v>
      </c>
      <c r="O26" s="12">
        <v>2</v>
      </c>
      <c r="P26" s="12">
        <v>0</v>
      </c>
      <c r="Q26" s="12">
        <v>1</v>
      </c>
      <c r="R26" s="12">
        <v>0</v>
      </c>
      <c r="S26" s="12">
        <v>3</v>
      </c>
      <c r="T26" s="12">
        <v>1</v>
      </c>
      <c r="U26" s="12">
        <v>0</v>
      </c>
      <c r="V26" s="12">
        <v>0</v>
      </c>
      <c r="W26" s="12">
        <v>0</v>
      </c>
      <c r="X26" s="12">
        <v>0</v>
      </c>
      <c r="Y26" s="12">
        <v>19</v>
      </c>
      <c r="Z26" s="12">
        <v>1</v>
      </c>
      <c r="AA26" s="12">
        <v>3</v>
      </c>
      <c r="AB26" s="12">
        <v>0</v>
      </c>
      <c r="AC26" s="12">
        <v>1</v>
      </c>
      <c r="AD26" s="12">
        <v>0</v>
      </c>
      <c r="AE26" s="12">
        <v>6</v>
      </c>
      <c r="AF26" s="12">
        <v>4</v>
      </c>
    </row>
    <row r="27" spans="1:32" x14ac:dyDescent="0.25">
      <c r="A27" s="19"/>
      <c r="B27" s="13" t="s">
        <v>277</v>
      </c>
      <c r="C27" s="15" t="s">
        <v>213</v>
      </c>
      <c r="D27" s="15" t="s">
        <v>213</v>
      </c>
      <c r="E27" s="14">
        <v>0.01</v>
      </c>
      <c r="F27" s="15" t="s">
        <v>213</v>
      </c>
      <c r="G27" s="15" t="s">
        <v>213</v>
      </c>
      <c r="H27" s="14">
        <v>0.01</v>
      </c>
      <c r="I27" s="14">
        <v>0.01</v>
      </c>
      <c r="J27" s="14">
        <v>0.01</v>
      </c>
      <c r="K27" s="14">
        <v>0.04</v>
      </c>
      <c r="L27" s="15" t="s">
        <v>213</v>
      </c>
      <c r="M27" s="14">
        <v>0.01</v>
      </c>
      <c r="N27" s="15" t="s">
        <v>213</v>
      </c>
      <c r="O27" s="15" t="s">
        <v>213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5" t="s">
        <v>213</v>
      </c>
      <c r="V27" s="15" t="s">
        <v>213</v>
      </c>
      <c r="W27" s="15" t="s">
        <v>213</v>
      </c>
      <c r="X27" s="15" t="s">
        <v>213</v>
      </c>
      <c r="Y27" s="14">
        <v>0.02</v>
      </c>
      <c r="Z27" s="15" t="s">
        <v>213</v>
      </c>
      <c r="AA27" s="15" t="s">
        <v>213</v>
      </c>
      <c r="AB27" s="15" t="s">
        <v>213</v>
      </c>
      <c r="AC27" s="15" t="s">
        <v>213</v>
      </c>
      <c r="AD27" s="15" t="s">
        <v>213</v>
      </c>
      <c r="AE27" s="14">
        <v>0.01</v>
      </c>
      <c r="AF27" s="15" t="s">
        <v>213</v>
      </c>
    </row>
    <row r="28" spans="1:32" x14ac:dyDescent="0.25">
      <c r="A28" s="19"/>
      <c r="B28" s="11" t="s">
        <v>224</v>
      </c>
      <c r="C28" s="12">
        <v>211</v>
      </c>
      <c r="D28" s="12">
        <v>3</v>
      </c>
      <c r="E28" s="12">
        <v>37</v>
      </c>
      <c r="F28" s="12">
        <v>5</v>
      </c>
      <c r="G28" s="12">
        <v>10</v>
      </c>
      <c r="H28" s="12">
        <v>4</v>
      </c>
      <c r="I28" s="12">
        <v>4</v>
      </c>
      <c r="J28" s="12">
        <v>0</v>
      </c>
      <c r="K28" s="12">
        <v>67</v>
      </c>
      <c r="L28" s="12">
        <v>24</v>
      </c>
      <c r="M28" s="12">
        <v>9</v>
      </c>
      <c r="N28" s="12">
        <v>5</v>
      </c>
      <c r="O28" s="12">
        <v>20</v>
      </c>
      <c r="P28" s="12">
        <v>2</v>
      </c>
      <c r="Q28" s="12">
        <v>4</v>
      </c>
      <c r="R28" s="12">
        <v>1</v>
      </c>
      <c r="S28" s="12">
        <v>19</v>
      </c>
      <c r="T28" s="12">
        <v>13</v>
      </c>
      <c r="U28" s="12">
        <v>3</v>
      </c>
      <c r="V28" s="12">
        <v>1</v>
      </c>
      <c r="W28" s="12">
        <v>2</v>
      </c>
      <c r="X28" s="12">
        <v>4</v>
      </c>
      <c r="Y28" s="12">
        <v>6</v>
      </c>
      <c r="Z28" s="12">
        <v>2</v>
      </c>
      <c r="AA28" s="12">
        <v>6</v>
      </c>
      <c r="AB28" s="12">
        <v>13</v>
      </c>
      <c r="AC28" s="12">
        <v>1</v>
      </c>
      <c r="AD28" s="12">
        <v>0</v>
      </c>
      <c r="AE28" s="12">
        <v>29</v>
      </c>
      <c r="AF28" s="12">
        <v>15</v>
      </c>
    </row>
    <row r="29" spans="1:32" x14ac:dyDescent="0.25">
      <c r="A29" s="19"/>
      <c r="B29" s="13" t="s">
        <v>237</v>
      </c>
      <c r="C29" s="14">
        <v>0.01</v>
      </c>
      <c r="D29" s="15" t="s">
        <v>213</v>
      </c>
      <c r="E29" s="14">
        <v>0.04</v>
      </c>
      <c r="F29" s="15" t="s">
        <v>213</v>
      </c>
      <c r="G29" s="14">
        <v>0.01</v>
      </c>
      <c r="H29" s="15" t="s">
        <v>213</v>
      </c>
      <c r="I29" s="15" t="s">
        <v>213</v>
      </c>
      <c r="J29" s="15" t="s">
        <v>213</v>
      </c>
      <c r="K29" s="14">
        <v>7.0000000000000007E-2</v>
      </c>
      <c r="L29" s="14">
        <v>0.03</v>
      </c>
      <c r="M29" s="14">
        <v>0.01</v>
      </c>
      <c r="N29" s="14">
        <v>0.01</v>
      </c>
      <c r="O29" s="14">
        <v>0.02</v>
      </c>
      <c r="P29" s="15" t="s">
        <v>213</v>
      </c>
      <c r="Q29" s="15" t="s">
        <v>213</v>
      </c>
      <c r="R29" s="15" t="s">
        <v>213</v>
      </c>
      <c r="S29" s="14">
        <v>0.02</v>
      </c>
      <c r="T29" s="14">
        <v>0.01</v>
      </c>
      <c r="U29" s="14">
        <v>0.01</v>
      </c>
      <c r="V29" s="15" t="s">
        <v>213</v>
      </c>
      <c r="W29" s="15" t="s">
        <v>213</v>
      </c>
      <c r="X29" s="15" t="s">
        <v>213</v>
      </c>
      <c r="Y29" s="14">
        <v>0.01</v>
      </c>
      <c r="Z29" s="15" t="s">
        <v>213</v>
      </c>
      <c r="AA29" s="14">
        <v>0.01</v>
      </c>
      <c r="AB29" s="14">
        <v>0.01</v>
      </c>
      <c r="AC29" s="15" t="s">
        <v>213</v>
      </c>
      <c r="AD29" s="15" t="s">
        <v>213</v>
      </c>
      <c r="AE29" s="14">
        <v>0.03</v>
      </c>
      <c r="AF29" s="14">
        <v>0.02</v>
      </c>
    </row>
  </sheetData>
  <mergeCells count="9">
    <mergeCell ref="B4:F4"/>
    <mergeCell ref="H3:L3"/>
    <mergeCell ref="C8:AF8"/>
    <mergeCell ref="A10:A29"/>
    <mergeCell ref="B5:F5"/>
    <mergeCell ref="B3:F3"/>
    <mergeCell ref="H5:L5"/>
    <mergeCell ref="B10:B11"/>
    <mergeCell ref="H4:L4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764</v>
      </c>
      <c r="C3" s="18"/>
      <c r="D3" s="18"/>
      <c r="E3" s="18"/>
      <c r="F3" s="18"/>
      <c r="H3" s="18" t="s">
        <v>765</v>
      </c>
      <c r="I3" s="18"/>
      <c r="J3" s="18"/>
      <c r="K3" s="18"/>
      <c r="L3" s="18"/>
    </row>
    <row r="4" spans="1:32" ht="27" customHeight="1" x14ac:dyDescent="0.25">
      <c r="B4" s="18" t="s">
        <v>766</v>
      </c>
      <c r="C4" s="18"/>
      <c r="D4" s="18"/>
      <c r="E4" s="18"/>
      <c r="F4" s="18"/>
      <c r="H4" s="18" t="s">
        <v>395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767</v>
      </c>
      <c r="C12" s="12">
        <v>9132</v>
      </c>
      <c r="D12" s="12">
        <v>346</v>
      </c>
      <c r="E12" s="12">
        <v>350</v>
      </c>
      <c r="F12" s="12">
        <v>641</v>
      </c>
      <c r="G12" s="12">
        <v>462</v>
      </c>
      <c r="H12" s="12">
        <v>337</v>
      </c>
      <c r="I12" s="12">
        <v>405</v>
      </c>
      <c r="J12" s="12">
        <v>68</v>
      </c>
      <c r="K12" s="12">
        <v>355</v>
      </c>
      <c r="L12" s="12">
        <v>529</v>
      </c>
      <c r="M12" s="12">
        <v>156</v>
      </c>
      <c r="N12" s="12">
        <v>314</v>
      </c>
      <c r="O12" s="12">
        <v>138</v>
      </c>
      <c r="P12" s="12">
        <v>488</v>
      </c>
      <c r="Q12" s="12">
        <v>446</v>
      </c>
      <c r="R12" s="12">
        <v>126</v>
      </c>
      <c r="S12" s="12">
        <v>317</v>
      </c>
      <c r="T12" s="12">
        <v>417</v>
      </c>
      <c r="U12" s="12">
        <v>304</v>
      </c>
      <c r="V12" s="12">
        <v>496</v>
      </c>
      <c r="W12" s="12">
        <v>229</v>
      </c>
      <c r="X12" s="12">
        <v>346</v>
      </c>
      <c r="Y12" s="12">
        <v>425</v>
      </c>
      <c r="Z12" s="12">
        <v>648</v>
      </c>
      <c r="AA12" s="12">
        <v>447</v>
      </c>
      <c r="AB12" s="12">
        <v>464</v>
      </c>
      <c r="AC12" s="12">
        <v>276</v>
      </c>
      <c r="AD12" s="12">
        <v>212</v>
      </c>
      <c r="AE12" s="12">
        <v>312</v>
      </c>
      <c r="AF12" s="12">
        <v>316</v>
      </c>
    </row>
    <row r="13" spans="1:32" ht="23.25" x14ac:dyDescent="0.25">
      <c r="A13" s="19"/>
      <c r="B13" s="13" t="s">
        <v>768</v>
      </c>
      <c r="C13" s="14">
        <v>0.35</v>
      </c>
      <c r="D13" s="14">
        <v>0.34</v>
      </c>
      <c r="E13" s="14">
        <v>0.33</v>
      </c>
      <c r="F13" s="14">
        <v>0.6</v>
      </c>
      <c r="G13" s="14">
        <v>0.45</v>
      </c>
      <c r="H13" s="14">
        <v>0.28000000000000003</v>
      </c>
      <c r="I13" s="14">
        <v>0.26</v>
      </c>
      <c r="J13" s="14">
        <v>0.23</v>
      </c>
      <c r="K13" s="14">
        <v>0.35</v>
      </c>
      <c r="L13" s="14">
        <v>0.53</v>
      </c>
      <c r="M13" s="14">
        <v>0.15</v>
      </c>
      <c r="N13" s="14">
        <v>0.31</v>
      </c>
      <c r="O13" s="14">
        <v>0.14000000000000001</v>
      </c>
      <c r="P13" s="14">
        <v>0.49</v>
      </c>
      <c r="Q13" s="14">
        <v>0.43</v>
      </c>
      <c r="R13" s="14">
        <v>0.25</v>
      </c>
      <c r="S13" s="14">
        <v>0.32</v>
      </c>
      <c r="T13" s="14">
        <v>0.41</v>
      </c>
      <c r="U13" s="14">
        <v>0.6</v>
      </c>
      <c r="V13" s="14">
        <v>0.49</v>
      </c>
      <c r="W13" s="14">
        <v>0.46</v>
      </c>
      <c r="X13" s="14">
        <v>0.34</v>
      </c>
      <c r="Y13" s="14">
        <v>0.43</v>
      </c>
      <c r="Z13" s="14">
        <v>0.64</v>
      </c>
      <c r="AA13" s="14">
        <v>0.43</v>
      </c>
      <c r="AB13" s="14">
        <v>0.44</v>
      </c>
      <c r="AC13" s="14">
        <v>0.28000000000000003</v>
      </c>
      <c r="AD13" s="14">
        <v>0.21</v>
      </c>
      <c r="AE13" s="14">
        <v>0.31</v>
      </c>
      <c r="AF13" s="14">
        <v>0.31</v>
      </c>
    </row>
    <row r="14" spans="1:32" ht="23.25" x14ac:dyDescent="0.25">
      <c r="A14" s="19"/>
      <c r="B14" s="11" t="s">
        <v>769</v>
      </c>
      <c r="C14" s="12">
        <v>14878</v>
      </c>
      <c r="D14" s="12">
        <v>623</v>
      </c>
      <c r="E14" s="12">
        <v>539</v>
      </c>
      <c r="F14" s="12">
        <v>359</v>
      </c>
      <c r="G14" s="12">
        <v>376</v>
      </c>
      <c r="H14" s="12">
        <v>789</v>
      </c>
      <c r="I14" s="12">
        <v>987</v>
      </c>
      <c r="J14" s="12">
        <v>198</v>
      </c>
      <c r="K14" s="12">
        <v>402</v>
      </c>
      <c r="L14" s="12">
        <v>355</v>
      </c>
      <c r="M14" s="12">
        <v>767</v>
      </c>
      <c r="N14" s="12">
        <v>624</v>
      </c>
      <c r="O14" s="12">
        <v>752</v>
      </c>
      <c r="P14" s="12">
        <v>425</v>
      </c>
      <c r="Q14" s="12">
        <v>523</v>
      </c>
      <c r="R14" s="12">
        <v>275</v>
      </c>
      <c r="S14" s="12">
        <v>492</v>
      </c>
      <c r="T14" s="12">
        <v>379</v>
      </c>
      <c r="U14" s="12">
        <v>110</v>
      </c>
      <c r="V14" s="12">
        <v>465</v>
      </c>
      <c r="W14" s="12">
        <v>198</v>
      </c>
      <c r="X14" s="12">
        <v>569</v>
      </c>
      <c r="Y14" s="12">
        <v>442</v>
      </c>
      <c r="Z14" s="12">
        <v>278</v>
      </c>
      <c r="AA14" s="12">
        <v>373</v>
      </c>
      <c r="AB14" s="12">
        <v>506</v>
      </c>
      <c r="AC14" s="12">
        <v>525</v>
      </c>
      <c r="AD14" s="12">
        <v>697</v>
      </c>
      <c r="AE14" s="12">
        <v>594</v>
      </c>
      <c r="AF14" s="12">
        <v>654</v>
      </c>
    </row>
    <row r="15" spans="1:32" ht="23.25" x14ac:dyDescent="0.25">
      <c r="A15" s="19"/>
      <c r="B15" s="13" t="s">
        <v>770</v>
      </c>
      <c r="C15" s="14">
        <v>0.56000000000000005</v>
      </c>
      <c r="D15" s="14">
        <v>0.61</v>
      </c>
      <c r="E15" s="14">
        <v>0.52</v>
      </c>
      <c r="F15" s="14">
        <v>0.34</v>
      </c>
      <c r="G15" s="14">
        <v>0.37</v>
      </c>
      <c r="H15" s="14">
        <v>0.64</v>
      </c>
      <c r="I15" s="14">
        <v>0.65</v>
      </c>
      <c r="J15" s="14">
        <v>0.66</v>
      </c>
      <c r="K15" s="14">
        <v>0.4</v>
      </c>
      <c r="L15" s="14">
        <v>0.35</v>
      </c>
      <c r="M15" s="14">
        <v>0.76</v>
      </c>
      <c r="N15" s="14">
        <v>0.62</v>
      </c>
      <c r="O15" s="14">
        <v>0.75</v>
      </c>
      <c r="P15" s="14">
        <v>0.42</v>
      </c>
      <c r="Q15" s="14">
        <v>0.51</v>
      </c>
      <c r="R15" s="14">
        <v>0.55000000000000004</v>
      </c>
      <c r="S15" s="14">
        <v>0.49</v>
      </c>
      <c r="T15" s="14">
        <v>0.37</v>
      </c>
      <c r="U15" s="14">
        <v>0.21</v>
      </c>
      <c r="V15" s="14">
        <v>0.45</v>
      </c>
      <c r="W15" s="14">
        <v>0.39</v>
      </c>
      <c r="X15" s="14">
        <v>0.57000000000000006</v>
      </c>
      <c r="Y15" s="14">
        <v>0.44</v>
      </c>
      <c r="Z15" s="14">
        <v>0.27</v>
      </c>
      <c r="AA15" s="14">
        <v>0.36</v>
      </c>
      <c r="AB15" s="14">
        <v>0.49</v>
      </c>
      <c r="AC15" s="14">
        <v>0.52</v>
      </c>
      <c r="AD15" s="14">
        <v>0.70000000000000007</v>
      </c>
      <c r="AE15" s="14">
        <v>0.59</v>
      </c>
      <c r="AF15" s="14">
        <v>0.63</v>
      </c>
    </row>
    <row r="16" spans="1:32" ht="23.25" x14ac:dyDescent="0.25">
      <c r="A16" s="19"/>
      <c r="B16" s="11" t="s">
        <v>771</v>
      </c>
      <c r="C16" s="12">
        <v>1891</v>
      </c>
      <c r="D16" s="12">
        <v>43</v>
      </c>
      <c r="E16" s="12">
        <v>120</v>
      </c>
      <c r="F16" s="12">
        <v>57</v>
      </c>
      <c r="G16" s="12">
        <v>150</v>
      </c>
      <c r="H16" s="12">
        <v>87</v>
      </c>
      <c r="I16" s="12">
        <v>116</v>
      </c>
      <c r="J16" s="12">
        <v>29</v>
      </c>
      <c r="K16" s="12">
        <v>213</v>
      </c>
      <c r="L16" s="12">
        <v>87</v>
      </c>
      <c r="M16" s="12">
        <v>77</v>
      </c>
      <c r="N16" s="12">
        <v>54</v>
      </c>
      <c r="O16" s="12">
        <v>82</v>
      </c>
      <c r="P16" s="12">
        <v>70</v>
      </c>
      <c r="Q16" s="12">
        <v>43</v>
      </c>
      <c r="R16" s="12">
        <v>75</v>
      </c>
      <c r="S16" s="12">
        <v>153</v>
      </c>
      <c r="T16" s="12">
        <v>207</v>
      </c>
      <c r="U16" s="12">
        <v>70</v>
      </c>
      <c r="V16" s="12">
        <v>53</v>
      </c>
      <c r="W16" s="12">
        <v>70</v>
      </c>
      <c r="X16" s="12">
        <v>82</v>
      </c>
      <c r="Y16" s="12">
        <v>123</v>
      </c>
      <c r="Z16" s="12">
        <v>59</v>
      </c>
      <c r="AA16" s="12">
        <v>180</v>
      </c>
      <c r="AB16" s="12">
        <v>44</v>
      </c>
      <c r="AC16" s="12">
        <v>183</v>
      </c>
      <c r="AD16" s="12">
        <v>85</v>
      </c>
      <c r="AE16" s="12">
        <v>64</v>
      </c>
      <c r="AF16" s="12">
        <v>42</v>
      </c>
    </row>
    <row r="17" spans="1:32" ht="23.25" x14ac:dyDescent="0.25">
      <c r="A17" s="19"/>
      <c r="B17" s="13" t="s">
        <v>772</v>
      </c>
      <c r="C17" s="14">
        <v>7.0000000000000007E-2</v>
      </c>
      <c r="D17" s="14">
        <v>0.04</v>
      </c>
      <c r="E17" s="14">
        <v>0.11</v>
      </c>
      <c r="F17" s="14">
        <v>0.05</v>
      </c>
      <c r="G17" s="14">
        <v>0.15</v>
      </c>
      <c r="H17" s="14">
        <v>7.0000000000000007E-2</v>
      </c>
      <c r="I17" s="14">
        <v>0.08</v>
      </c>
      <c r="J17" s="14">
        <v>0.1</v>
      </c>
      <c r="K17" s="14">
        <v>0.21</v>
      </c>
      <c r="L17" s="14">
        <v>0.09</v>
      </c>
      <c r="M17" s="14">
        <v>0.08</v>
      </c>
      <c r="N17" s="14">
        <v>0.05</v>
      </c>
      <c r="O17" s="14">
        <v>0.08</v>
      </c>
      <c r="P17" s="14">
        <v>7.0000000000000007E-2</v>
      </c>
      <c r="Q17" s="14">
        <v>0.04</v>
      </c>
      <c r="R17" s="14">
        <v>0.15</v>
      </c>
      <c r="S17" s="14">
        <v>0.15</v>
      </c>
      <c r="T17" s="14">
        <v>0.2</v>
      </c>
      <c r="U17" s="14">
        <v>0.14000000000000001</v>
      </c>
      <c r="V17" s="14">
        <v>0.05</v>
      </c>
      <c r="W17" s="14">
        <v>0.14000000000000001</v>
      </c>
      <c r="X17" s="14">
        <v>0.08</v>
      </c>
      <c r="Y17" s="14">
        <v>0.12</v>
      </c>
      <c r="Z17" s="14">
        <v>0.06</v>
      </c>
      <c r="AA17" s="14">
        <v>0.17</v>
      </c>
      <c r="AB17" s="14">
        <v>0.04</v>
      </c>
      <c r="AC17" s="14">
        <v>0.18</v>
      </c>
      <c r="AD17" s="14">
        <v>0.08</v>
      </c>
      <c r="AE17" s="14">
        <v>7.0000000000000007E-2</v>
      </c>
      <c r="AF17" s="14">
        <v>0.04</v>
      </c>
    </row>
    <row r="18" spans="1:32" x14ac:dyDescent="0.25">
      <c r="A18" s="19"/>
      <c r="B18" s="11" t="s">
        <v>224</v>
      </c>
      <c r="C18" s="12">
        <v>551</v>
      </c>
      <c r="D18" s="12">
        <v>9</v>
      </c>
      <c r="E18" s="12">
        <v>37</v>
      </c>
      <c r="F18" s="12">
        <v>7</v>
      </c>
      <c r="G18" s="12">
        <v>28</v>
      </c>
      <c r="H18" s="12">
        <v>16</v>
      </c>
      <c r="I18" s="12">
        <v>19</v>
      </c>
      <c r="J18" s="12">
        <v>2</v>
      </c>
      <c r="K18" s="12">
        <v>37</v>
      </c>
      <c r="L18" s="12">
        <v>35</v>
      </c>
      <c r="M18" s="12">
        <v>6</v>
      </c>
      <c r="N18" s="12">
        <v>19</v>
      </c>
      <c r="O18" s="12">
        <v>32</v>
      </c>
      <c r="P18" s="12">
        <v>21</v>
      </c>
      <c r="Q18" s="12">
        <v>20</v>
      </c>
      <c r="R18" s="12">
        <v>25</v>
      </c>
      <c r="S18" s="12">
        <v>41</v>
      </c>
      <c r="T18" s="12">
        <v>19</v>
      </c>
      <c r="U18" s="12">
        <v>24</v>
      </c>
      <c r="V18" s="12">
        <v>12</v>
      </c>
      <c r="W18" s="12">
        <v>5</v>
      </c>
      <c r="X18" s="12">
        <v>14</v>
      </c>
      <c r="Y18" s="12">
        <v>13</v>
      </c>
      <c r="Z18" s="12">
        <v>32</v>
      </c>
      <c r="AA18" s="12">
        <v>37</v>
      </c>
      <c r="AB18" s="12">
        <v>28</v>
      </c>
      <c r="AC18" s="12">
        <v>22</v>
      </c>
      <c r="AD18" s="12">
        <v>9</v>
      </c>
      <c r="AE18" s="12">
        <v>31</v>
      </c>
      <c r="AF18" s="12">
        <v>19</v>
      </c>
    </row>
    <row r="19" spans="1:32" x14ac:dyDescent="0.25">
      <c r="A19" s="19"/>
      <c r="B19" s="13" t="s">
        <v>237</v>
      </c>
      <c r="C19" s="14">
        <v>0.02</v>
      </c>
      <c r="D19" s="14">
        <v>0.01</v>
      </c>
      <c r="E19" s="14">
        <v>0.04</v>
      </c>
      <c r="F19" s="14">
        <v>0.01</v>
      </c>
      <c r="G19" s="14">
        <v>0.03</v>
      </c>
      <c r="H19" s="14">
        <v>0.01</v>
      </c>
      <c r="I19" s="14">
        <v>0.01</v>
      </c>
      <c r="J19" s="14">
        <v>0.01</v>
      </c>
      <c r="K19" s="14">
        <v>0.04</v>
      </c>
      <c r="L19" s="14">
        <v>0.03</v>
      </c>
      <c r="M19" s="14">
        <v>0.01</v>
      </c>
      <c r="N19" s="14">
        <v>0.02</v>
      </c>
      <c r="O19" s="14">
        <v>0.03</v>
      </c>
      <c r="P19" s="14">
        <v>0.02</v>
      </c>
      <c r="Q19" s="14">
        <v>0.02</v>
      </c>
      <c r="R19" s="14">
        <v>0.05</v>
      </c>
      <c r="S19" s="14">
        <v>0.04</v>
      </c>
      <c r="T19" s="14">
        <v>0.02</v>
      </c>
      <c r="U19" s="14">
        <v>0.05</v>
      </c>
      <c r="V19" s="14">
        <v>0.01</v>
      </c>
      <c r="W19" s="14">
        <v>0.01</v>
      </c>
      <c r="X19" s="14">
        <v>0.01</v>
      </c>
      <c r="Y19" s="14">
        <v>0.01</v>
      </c>
      <c r="Z19" s="14">
        <v>0.03</v>
      </c>
      <c r="AA19" s="14">
        <v>0.04</v>
      </c>
      <c r="AB19" s="14">
        <v>0.03</v>
      </c>
      <c r="AC19" s="14">
        <v>0.02</v>
      </c>
      <c r="AD19" s="14">
        <v>0.01</v>
      </c>
      <c r="AE19" s="14">
        <v>0.03</v>
      </c>
      <c r="AF19" s="14">
        <v>0.02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773</v>
      </c>
      <c r="C3" s="18"/>
      <c r="D3" s="18"/>
      <c r="E3" s="18"/>
      <c r="F3" s="18"/>
      <c r="H3" s="18" t="s">
        <v>774</v>
      </c>
      <c r="I3" s="18"/>
      <c r="J3" s="18"/>
      <c r="K3" s="18"/>
      <c r="L3" s="18"/>
    </row>
    <row r="4" spans="1:32" ht="27" customHeight="1" x14ac:dyDescent="0.25">
      <c r="B4" s="18" t="s">
        <v>775</v>
      </c>
      <c r="C4" s="18"/>
      <c r="D4" s="18"/>
      <c r="E4" s="18"/>
      <c r="F4" s="18"/>
      <c r="H4" s="18" t="s">
        <v>776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767</v>
      </c>
      <c r="C12" s="12">
        <v>10098</v>
      </c>
      <c r="D12" s="12">
        <v>345</v>
      </c>
      <c r="E12" s="12">
        <v>470</v>
      </c>
      <c r="F12" s="12">
        <v>483</v>
      </c>
      <c r="G12" s="12">
        <v>483</v>
      </c>
      <c r="H12" s="12">
        <v>361</v>
      </c>
      <c r="I12" s="12">
        <v>441</v>
      </c>
      <c r="J12" s="12">
        <v>79</v>
      </c>
      <c r="K12" s="12">
        <v>375</v>
      </c>
      <c r="L12" s="12">
        <v>519</v>
      </c>
      <c r="M12" s="12">
        <v>261</v>
      </c>
      <c r="N12" s="12">
        <v>357</v>
      </c>
      <c r="O12" s="12">
        <v>205</v>
      </c>
      <c r="P12" s="12">
        <v>496</v>
      </c>
      <c r="Q12" s="12">
        <v>534</v>
      </c>
      <c r="R12" s="12">
        <v>143</v>
      </c>
      <c r="S12" s="12">
        <v>402</v>
      </c>
      <c r="T12" s="12">
        <v>457</v>
      </c>
      <c r="U12" s="12">
        <v>162</v>
      </c>
      <c r="V12" s="12">
        <v>556</v>
      </c>
      <c r="W12" s="12">
        <v>266</v>
      </c>
      <c r="X12" s="12">
        <v>426</v>
      </c>
      <c r="Y12" s="12">
        <v>354</v>
      </c>
      <c r="Z12" s="12">
        <v>579</v>
      </c>
      <c r="AA12" s="12">
        <v>449</v>
      </c>
      <c r="AB12" s="12">
        <v>556</v>
      </c>
      <c r="AC12" s="12">
        <v>266</v>
      </c>
      <c r="AD12" s="12">
        <v>357</v>
      </c>
      <c r="AE12" s="12">
        <v>317</v>
      </c>
      <c r="AF12" s="12">
        <v>399</v>
      </c>
    </row>
    <row r="13" spans="1:32" ht="23.25" x14ac:dyDescent="0.25">
      <c r="A13" s="19"/>
      <c r="B13" s="13" t="s">
        <v>768</v>
      </c>
      <c r="C13" s="14">
        <v>0.38</v>
      </c>
      <c r="D13" s="14">
        <v>0.34</v>
      </c>
      <c r="E13" s="14">
        <v>0.45</v>
      </c>
      <c r="F13" s="14">
        <v>0.45</v>
      </c>
      <c r="G13" s="14">
        <v>0.48</v>
      </c>
      <c r="H13" s="14">
        <v>0.28999999999999998</v>
      </c>
      <c r="I13" s="14">
        <v>0.28999999999999998</v>
      </c>
      <c r="J13" s="14">
        <v>0.27</v>
      </c>
      <c r="K13" s="14">
        <v>0.37</v>
      </c>
      <c r="L13" s="14">
        <v>0.52</v>
      </c>
      <c r="M13" s="14">
        <v>0.26</v>
      </c>
      <c r="N13" s="14">
        <v>0.35</v>
      </c>
      <c r="O13" s="14">
        <v>0.2</v>
      </c>
      <c r="P13" s="14">
        <v>0.49</v>
      </c>
      <c r="Q13" s="14">
        <v>0.52</v>
      </c>
      <c r="R13" s="14">
        <v>0.28999999999999998</v>
      </c>
      <c r="S13" s="14">
        <v>0.4</v>
      </c>
      <c r="T13" s="14">
        <v>0.44</v>
      </c>
      <c r="U13" s="14">
        <v>0.32</v>
      </c>
      <c r="V13" s="14">
        <v>0.54</v>
      </c>
      <c r="W13" s="14">
        <v>0.53</v>
      </c>
      <c r="X13" s="14">
        <v>0.42</v>
      </c>
      <c r="Y13" s="14">
        <v>0.36</v>
      </c>
      <c r="Z13" s="14">
        <v>0.57000000000000006</v>
      </c>
      <c r="AA13" s="14">
        <v>0.43</v>
      </c>
      <c r="AB13" s="14">
        <v>0.53</v>
      </c>
      <c r="AC13" s="14">
        <v>0.26</v>
      </c>
      <c r="AD13" s="14">
        <v>0.36</v>
      </c>
      <c r="AE13" s="14">
        <v>0.32</v>
      </c>
      <c r="AF13" s="14">
        <v>0.39</v>
      </c>
    </row>
    <row r="14" spans="1:32" ht="23.25" x14ac:dyDescent="0.25">
      <c r="A14" s="19"/>
      <c r="B14" s="11" t="s">
        <v>769</v>
      </c>
      <c r="C14" s="12">
        <v>12905</v>
      </c>
      <c r="D14" s="12">
        <v>595</v>
      </c>
      <c r="E14" s="12">
        <v>381</v>
      </c>
      <c r="F14" s="12">
        <v>487</v>
      </c>
      <c r="G14" s="12">
        <v>337</v>
      </c>
      <c r="H14" s="12">
        <v>719</v>
      </c>
      <c r="I14" s="12">
        <v>900</v>
      </c>
      <c r="J14" s="12">
        <v>181</v>
      </c>
      <c r="K14" s="12">
        <v>337</v>
      </c>
      <c r="L14" s="12">
        <v>322</v>
      </c>
      <c r="M14" s="12">
        <v>630</v>
      </c>
      <c r="N14" s="12">
        <v>536</v>
      </c>
      <c r="O14" s="12">
        <v>639</v>
      </c>
      <c r="P14" s="12">
        <v>411</v>
      </c>
      <c r="Q14" s="12">
        <v>405</v>
      </c>
      <c r="R14" s="12">
        <v>242</v>
      </c>
      <c r="S14" s="12">
        <v>332</v>
      </c>
      <c r="T14" s="12">
        <v>273</v>
      </c>
      <c r="U14" s="12">
        <v>244</v>
      </c>
      <c r="V14" s="12">
        <v>376</v>
      </c>
      <c r="W14" s="12">
        <v>128</v>
      </c>
      <c r="X14" s="12">
        <v>449</v>
      </c>
      <c r="Y14" s="12">
        <v>484</v>
      </c>
      <c r="Z14" s="12">
        <v>312</v>
      </c>
      <c r="AA14" s="12">
        <v>266</v>
      </c>
      <c r="AB14" s="12">
        <v>382</v>
      </c>
      <c r="AC14" s="12">
        <v>518</v>
      </c>
      <c r="AD14" s="12">
        <v>523</v>
      </c>
      <c r="AE14" s="12">
        <v>511</v>
      </c>
      <c r="AF14" s="12">
        <v>512</v>
      </c>
    </row>
    <row r="15" spans="1:32" ht="23.25" x14ac:dyDescent="0.25">
      <c r="A15" s="19"/>
      <c r="B15" s="13" t="s">
        <v>770</v>
      </c>
      <c r="C15" s="14">
        <v>0.49</v>
      </c>
      <c r="D15" s="14">
        <v>0.57999999999999996</v>
      </c>
      <c r="E15" s="14">
        <v>0.37</v>
      </c>
      <c r="F15" s="14">
        <v>0.46</v>
      </c>
      <c r="G15" s="14">
        <v>0.33</v>
      </c>
      <c r="H15" s="14">
        <v>0.59</v>
      </c>
      <c r="I15" s="14">
        <v>0.59</v>
      </c>
      <c r="J15" s="14">
        <v>0.61</v>
      </c>
      <c r="K15" s="14">
        <v>0.33</v>
      </c>
      <c r="L15" s="14">
        <v>0.32</v>
      </c>
      <c r="M15" s="14">
        <v>0.63</v>
      </c>
      <c r="N15" s="14">
        <v>0.53</v>
      </c>
      <c r="O15" s="14">
        <v>0.64</v>
      </c>
      <c r="P15" s="14">
        <v>0.41</v>
      </c>
      <c r="Q15" s="14">
        <v>0.39</v>
      </c>
      <c r="R15" s="14">
        <v>0.48</v>
      </c>
      <c r="S15" s="14">
        <v>0.33</v>
      </c>
      <c r="T15" s="14">
        <v>0.27</v>
      </c>
      <c r="U15" s="14">
        <v>0.48</v>
      </c>
      <c r="V15" s="14">
        <v>0.37</v>
      </c>
      <c r="W15" s="14">
        <v>0.25</v>
      </c>
      <c r="X15" s="14">
        <v>0.45</v>
      </c>
      <c r="Y15" s="14">
        <v>0.48</v>
      </c>
      <c r="Z15" s="14">
        <v>0.31</v>
      </c>
      <c r="AA15" s="14">
        <v>0.26</v>
      </c>
      <c r="AB15" s="14">
        <v>0.37</v>
      </c>
      <c r="AC15" s="14">
        <v>0.52</v>
      </c>
      <c r="AD15" s="14">
        <v>0.52</v>
      </c>
      <c r="AE15" s="14">
        <v>0.51</v>
      </c>
      <c r="AF15" s="14">
        <v>0.5</v>
      </c>
    </row>
    <row r="16" spans="1:32" ht="23.25" x14ac:dyDescent="0.25">
      <c r="A16" s="19"/>
      <c r="B16" s="11" t="s">
        <v>771</v>
      </c>
      <c r="C16" s="12">
        <v>2212</v>
      </c>
      <c r="D16" s="12">
        <v>68</v>
      </c>
      <c r="E16" s="12">
        <v>118</v>
      </c>
      <c r="F16" s="12">
        <v>53</v>
      </c>
      <c r="G16" s="12">
        <v>144</v>
      </c>
      <c r="H16" s="12">
        <v>103</v>
      </c>
      <c r="I16" s="12">
        <v>138</v>
      </c>
      <c r="J16" s="12">
        <v>35</v>
      </c>
      <c r="K16" s="12">
        <v>199</v>
      </c>
      <c r="L16" s="12">
        <v>82</v>
      </c>
      <c r="M16" s="12">
        <v>96</v>
      </c>
      <c r="N16" s="12">
        <v>61</v>
      </c>
      <c r="O16" s="12">
        <v>83</v>
      </c>
      <c r="P16" s="12">
        <v>56</v>
      </c>
      <c r="Q16" s="12">
        <v>53</v>
      </c>
      <c r="R16" s="12">
        <v>65</v>
      </c>
      <c r="S16" s="12">
        <v>145</v>
      </c>
      <c r="T16" s="12">
        <v>222</v>
      </c>
      <c r="U16" s="12">
        <v>82</v>
      </c>
      <c r="V16" s="12">
        <v>74</v>
      </c>
      <c r="W16" s="12">
        <v>95</v>
      </c>
      <c r="X16" s="12">
        <v>102</v>
      </c>
      <c r="Y16" s="12">
        <v>133</v>
      </c>
      <c r="Z16" s="12">
        <v>83</v>
      </c>
      <c r="AA16" s="12">
        <v>243</v>
      </c>
      <c r="AB16" s="12">
        <v>62</v>
      </c>
      <c r="AC16" s="12">
        <v>189</v>
      </c>
      <c r="AD16" s="12">
        <v>87</v>
      </c>
      <c r="AE16" s="12">
        <v>86</v>
      </c>
      <c r="AF16" s="12">
        <v>63</v>
      </c>
    </row>
    <row r="17" spans="1:32" ht="23.25" x14ac:dyDescent="0.25">
      <c r="A17" s="19"/>
      <c r="B17" s="13" t="s">
        <v>772</v>
      </c>
      <c r="C17" s="14">
        <v>0.08</v>
      </c>
      <c r="D17" s="14">
        <v>7.0000000000000007E-2</v>
      </c>
      <c r="E17" s="14">
        <v>0.11</v>
      </c>
      <c r="F17" s="14">
        <v>0.05</v>
      </c>
      <c r="G17" s="14">
        <v>0.14000000000000001</v>
      </c>
      <c r="H17" s="14">
        <v>0.08</v>
      </c>
      <c r="I17" s="14">
        <v>0.09</v>
      </c>
      <c r="J17" s="14">
        <v>0.11</v>
      </c>
      <c r="K17" s="14">
        <v>0.2</v>
      </c>
      <c r="L17" s="14">
        <v>0.08</v>
      </c>
      <c r="M17" s="14">
        <v>0.09</v>
      </c>
      <c r="N17" s="14">
        <v>0.06</v>
      </c>
      <c r="O17" s="14">
        <v>0.08</v>
      </c>
      <c r="P17" s="14">
        <v>0.06</v>
      </c>
      <c r="Q17" s="14">
        <v>0.05</v>
      </c>
      <c r="R17" s="14">
        <v>0.13</v>
      </c>
      <c r="S17" s="14">
        <v>0.14000000000000001</v>
      </c>
      <c r="T17" s="14">
        <v>0.22</v>
      </c>
      <c r="U17" s="14">
        <v>0.16</v>
      </c>
      <c r="V17" s="14">
        <v>7.0000000000000007E-2</v>
      </c>
      <c r="W17" s="14">
        <v>0.19</v>
      </c>
      <c r="X17" s="14">
        <v>0.1</v>
      </c>
      <c r="Y17" s="14">
        <v>0.13</v>
      </c>
      <c r="Z17" s="14">
        <v>0.08</v>
      </c>
      <c r="AA17" s="14">
        <v>0.23</v>
      </c>
      <c r="AB17" s="14">
        <v>0.06</v>
      </c>
      <c r="AC17" s="14">
        <v>0.19</v>
      </c>
      <c r="AD17" s="14">
        <v>0.09</v>
      </c>
      <c r="AE17" s="14">
        <v>0.08</v>
      </c>
      <c r="AF17" s="14">
        <v>0.06</v>
      </c>
    </row>
    <row r="18" spans="1:32" x14ac:dyDescent="0.25">
      <c r="A18" s="19"/>
      <c r="B18" s="11" t="s">
        <v>224</v>
      </c>
      <c r="C18" s="12">
        <v>1239</v>
      </c>
      <c r="D18" s="12">
        <v>13</v>
      </c>
      <c r="E18" s="12">
        <v>77</v>
      </c>
      <c r="F18" s="12">
        <v>40</v>
      </c>
      <c r="G18" s="12">
        <v>52</v>
      </c>
      <c r="H18" s="12">
        <v>46</v>
      </c>
      <c r="I18" s="12">
        <v>48</v>
      </c>
      <c r="J18" s="12">
        <v>3</v>
      </c>
      <c r="K18" s="12">
        <v>95</v>
      </c>
      <c r="L18" s="12">
        <v>83</v>
      </c>
      <c r="M18" s="12">
        <v>20</v>
      </c>
      <c r="N18" s="12">
        <v>56</v>
      </c>
      <c r="O18" s="12">
        <v>77</v>
      </c>
      <c r="P18" s="12">
        <v>39</v>
      </c>
      <c r="Q18" s="12">
        <v>39</v>
      </c>
      <c r="R18" s="12">
        <v>52</v>
      </c>
      <c r="S18" s="12">
        <v>125</v>
      </c>
      <c r="T18" s="12">
        <v>70</v>
      </c>
      <c r="U18" s="12">
        <v>19</v>
      </c>
      <c r="V18" s="12">
        <v>20</v>
      </c>
      <c r="W18" s="12">
        <v>13</v>
      </c>
      <c r="X18" s="12">
        <v>34</v>
      </c>
      <c r="Y18" s="12">
        <v>32</v>
      </c>
      <c r="Z18" s="12">
        <v>42</v>
      </c>
      <c r="AA18" s="12">
        <v>80</v>
      </c>
      <c r="AB18" s="12">
        <v>41</v>
      </c>
      <c r="AC18" s="12">
        <v>33</v>
      </c>
      <c r="AD18" s="12">
        <v>35</v>
      </c>
      <c r="AE18" s="12">
        <v>87</v>
      </c>
      <c r="AF18" s="12">
        <v>57</v>
      </c>
    </row>
    <row r="19" spans="1:32" x14ac:dyDescent="0.25">
      <c r="A19" s="19"/>
      <c r="B19" s="13" t="s">
        <v>237</v>
      </c>
      <c r="C19" s="14">
        <v>0.05</v>
      </c>
      <c r="D19" s="14">
        <v>0.01</v>
      </c>
      <c r="E19" s="14">
        <v>7.0000000000000007E-2</v>
      </c>
      <c r="F19" s="14">
        <v>0.04</v>
      </c>
      <c r="G19" s="14">
        <v>0.05</v>
      </c>
      <c r="H19" s="14">
        <v>0.04</v>
      </c>
      <c r="I19" s="14">
        <v>0.03</v>
      </c>
      <c r="J19" s="14">
        <v>0.01</v>
      </c>
      <c r="K19" s="14">
        <v>0.1</v>
      </c>
      <c r="L19" s="14">
        <v>0.08</v>
      </c>
      <c r="M19" s="14">
        <v>0.02</v>
      </c>
      <c r="N19" s="14">
        <v>0.06</v>
      </c>
      <c r="O19" s="14">
        <v>0.08</v>
      </c>
      <c r="P19" s="14">
        <v>0.04</v>
      </c>
      <c r="Q19" s="14">
        <v>0.04</v>
      </c>
      <c r="R19" s="14">
        <v>0.1</v>
      </c>
      <c r="S19" s="14">
        <v>0.13</v>
      </c>
      <c r="T19" s="14">
        <v>7.0000000000000007E-2</v>
      </c>
      <c r="U19" s="14">
        <v>0.04</v>
      </c>
      <c r="V19" s="14">
        <v>0.02</v>
      </c>
      <c r="W19" s="14">
        <v>0.03</v>
      </c>
      <c r="X19" s="14">
        <v>0.03</v>
      </c>
      <c r="Y19" s="14">
        <v>0.03</v>
      </c>
      <c r="Z19" s="14">
        <v>0.04</v>
      </c>
      <c r="AA19" s="14">
        <v>0.08</v>
      </c>
      <c r="AB19" s="14">
        <v>0.04</v>
      </c>
      <c r="AC19" s="14">
        <v>0.03</v>
      </c>
      <c r="AD19" s="14">
        <v>0.03</v>
      </c>
      <c r="AE19" s="14">
        <v>0.09</v>
      </c>
      <c r="AF19" s="14">
        <v>0.05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777</v>
      </c>
      <c r="C3" s="18"/>
      <c r="D3" s="18"/>
      <c r="E3" s="18"/>
      <c r="F3" s="18"/>
      <c r="H3" s="18" t="s">
        <v>778</v>
      </c>
      <c r="I3" s="18"/>
      <c r="J3" s="18"/>
      <c r="K3" s="18"/>
      <c r="L3" s="18"/>
    </row>
    <row r="4" spans="1:32" ht="27" customHeight="1" x14ac:dyDescent="0.25">
      <c r="B4" s="18" t="s">
        <v>779</v>
      </c>
      <c r="C4" s="18"/>
      <c r="D4" s="18"/>
      <c r="E4" s="18"/>
      <c r="F4" s="18"/>
      <c r="H4" s="18" t="s">
        <v>780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767</v>
      </c>
      <c r="C12" s="12">
        <v>5860</v>
      </c>
      <c r="D12" s="12">
        <v>161</v>
      </c>
      <c r="E12" s="12">
        <v>332</v>
      </c>
      <c r="F12" s="12">
        <v>430</v>
      </c>
      <c r="G12" s="12">
        <v>32</v>
      </c>
      <c r="H12" s="12">
        <v>105</v>
      </c>
      <c r="I12" s="12">
        <v>147</v>
      </c>
      <c r="J12" s="12">
        <v>43</v>
      </c>
      <c r="K12" s="12">
        <v>251</v>
      </c>
      <c r="L12" s="12">
        <v>142</v>
      </c>
      <c r="M12" s="12">
        <v>239</v>
      </c>
      <c r="N12" s="12">
        <v>160</v>
      </c>
      <c r="O12" s="12">
        <v>128</v>
      </c>
      <c r="P12" s="12">
        <v>371</v>
      </c>
      <c r="Q12" s="12">
        <v>336</v>
      </c>
      <c r="R12" s="12">
        <v>118</v>
      </c>
      <c r="S12" s="12">
        <v>141</v>
      </c>
      <c r="T12" s="12">
        <v>276</v>
      </c>
      <c r="U12" s="12">
        <v>34</v>
      </c>
      <c r="V12" s="12">
        <v>566</v>
      </c>
      <c r="W12" s="12">
        <v>109</v>
      </c>
      <c r="X12" s="12">
        <v>48</v>
      </c>
      <c r="Y12" s="12">
        <v>141</v>
      </c>
      <c r="Z12" s="12">
        <v>514</v>
      </c>
      <c r="AA12" s="12">
        <v>219</v>
      </c>
      <c r="AB12" s="12">
        <v>549</v>
      </c>
      <c r="AC12" s="12">
        <v>128</v>
      </c>
      <c r="AD12" s="12">
        <v>222</v>
      </c>
      <c r="AE12" s="12">
        <v>97</v>
      </c>
      <c r="AF12" s="12">
        <v>50</v>
      </c>
    </row>
    <row r="13" spans="1:32" ht="23.25" x14ac:dyDescent="0.25">
      <c r="A13" s="19"/>
      <c r="B13" s="13" t="s">
        <v>768</v>
      </c>
      <c r="C13" s="14">
        <v>0.22</v>
      </c>
      <c r="D13" s="14">
        <v>0.16</v>
      </c>
      <c r="E13" s="14">
        <v>0.32</v>
      </c>
      <c r="F13" s="14">
        <v>0.4</v>
      </c>
      <c r="G13" s="14">
        <v>0.03</v>
      </c>
      <c r="H13" s="14">
        <v>0.09</v>
      </c>
      <c r="I13" s="14">
        <v>0.1</v>
      </c>
      <c r="J13" s="14">
        <v>0.14000000000000001</v>
      </c>
      <c r="K13" s="14">
        <v>0.25</v>
      </c>
      <c r="L13" s="14">
        <v>0.14000000000000001</v>
      </c>
      <c r="M13" s="14">
        <v>0.24</v>
      </c>
      <c r="N13" s="14">
        <v>0.16</v>
      </c>
      <c r="O13" s="14">
        <v>0.13</v>
      </c>
      <c r="P13" s="14">
        <v>0.37</v>
      </c>
      <c r="Q13" s="14">
        <v>0.32</v>
      </c>
      <c r="R13" s="14">
        <v>0.23</v>
      </c>
      <c r="S13" s="14">
        <v>0.14000000000000001</v>
      </c>
      <c r="T13" s="14">
        <v>0.27</v>
      </c>
      <c r="U13" s="14">
        <v>7.0000000000000007E-2</v>
      </c>
      <c r="V13" s="14">
        <v>0.55000000000000004</v>
      </c>
      <c r="W13" s="14">
        <v>0.22</v>
      </c>
      <c r="X13" s="14">
        <v>0.05</v>
      </c>
      <c r="Y13" s="14">
        <v>0.14000000000000001</v>
      </c>
      <c r="Z13" s="14">
        <v>0.5</v>
      </c>
      <c r="AA13" s="14">
        <v>0.21</v>
      </c>
      <c r="AB13" s="14">
        <v>0.53</v>
      </c>
      <c r="AC13" s="14">
        <v>0.13</v>
      </c>
      <c r="AD13" s="14">
        <v>0.22</v>
      </c>
      <c r="AE13" s="14">
        <v>0.1</v>
      </c>
      <c r="AF13" s="14">
        <v>0.05</v>
      </c>
    </row>
    <row r="14" spans="1:32" ht="23.25" x14ac:dyDescent="0.25">
      <c r="A14" s="19"/>
      <c r="B14" s="11" t="s">
        <v>769</v>
      </c>
      <c r="C14" s="12">
        <v>17092</v>
      </c>
      <c r="D14" s="12">
        <v>806</v>
      </c>
      <c r="E14" s="12">
        <v>404</v>
      </c>
      <c r="F14" s="12">
        <v>508</v>
      </c>
      <c r="G14" s="12">
        <v>925</v>
      </c>
      <c r="H14" s="12">
        <v>1000</v>
      </c>
      <c r="I14" s="12">
        <v>1237</v>
      </c>
      <c r="J14" s="12">
        <v>237</v>
      </c>
      <c r="K14" s="12">
        <v>432</v>
      </c>
      <c r="L14" s="12">
        <v>755</v>
      </c>
      <c r="M14" s="12">
        <v>627</v>
      </c>
      <c r="N14" s="12">
        <v>720</v>
      </c>
      <c r="O14" s="12">
        <v>677</v>
      </c>
      <c r="P14" s="12">
        <v>524</v>
      </c>
      <c r="Q14" s="12">
        <v>593</v>
      </c>
      <c r="R14" s="12">
        <v>209</v>
      </c>
      <c r="S14" s="12">
        <v>470</v>
      </c>
      <c r="T14" s="12">
        <v>426</v>
      </c>
      <c r="U14" s="12">
        <v>409</v>
      </c>
      <c r="V14" s="12">
        <v>349</v>
      </c>
      <c r="W14" s="12">
        <v>244</v>
      </c>
      <c r="X14" s="12">
        <v>928</v>
      </c>
      <c r="Y14" s="12">
        <v>717</v>
      </c>
      <c r="Z14" s="12">
        <v>334</v>
      </c>
      <c r="AA14" s="12">
        <v>518</v>
      </c>
      <c r="AB14" s="12">
        <v>359</v>
      </c>
      <c r="AC14" s="12">
        <v>689</v>
      </c>
      <c r="AD14" s="12">
        <v>622</v>
      </c>
      <c r="AE14" s="12">
        <v>794</v>
      </c>
      <c r="AF14" s="12">
        <v>951</v>
      </c>
    </row>
    <row r="15" spans="1:32" ht="23.25" x14ac:dyDescent="0.25">
      <c r="A15" s="19"/>
      <c r="B15" s="13" t="s">
        <v>770</v>
      </c>
      <c r="C15" s="14">
        <v>0.65</v>
      </c>
      <c r="D15" s="14">
        <v>0.79</v>
      </c>
      <c r="E15" s="14">
        <v>0.39</v>
      </c>
      <c r="F15" s="14">
        <v>0.48</v>
      </c>
      <c r="G15" s="14">
        <v>0.91</v>
      </c>
      <c r="H15" s="14">
        <v>0.81</v>
      </c>
      <c r="I15" s="14">
        <v>0.81</v>
      </c>
      <c r="J15" s="14">
        <v>0.8</v>
      </c>
      <c r="K15" s="14">
        <v>0.43</v>
      </c>
      <c r="L15" s="14">
        <v>0.75</v>
      </c>
      <c r="M15" s="14">
        <v>0.62</v>
      </c>
      <c r="N15" s="14">
        <v>0.71</v>
      </c>
      <c r="O15" s="14">
        <v>0.67</v>
      </c>
      <c r="P15" s="14">
        <v>0.52</v>
      </c>
      <c r="Q15" s="14">
        <v>0.57999999999999996</v>
      </c>
      <c r="R15" s="14">
        <v>0.42</v>
      </c>
      <c r="S15" s="14">
        <v>0.47</v>
      </c>
      <c r="T15" s="14">
        <v>0.42</v>
      </c>
      <c r="U15" s="14">
        <v>0.8</v>
      </c>
      <c r="V15" s="14">
        <v>0.34</v>
      </c>
      <c r="W15" s="14">
        <v>0.48</v>
      </c>
      <c r="X15" s="14">
        <v>0.92</v>
      </c>
      <c r="Y15" s="14">
        <v>0.72</v>
      </c>
      <c r="Z15" s="14">
        <v>0.33</v>
      </c>
      <c r="AA15" s="14">
        <v>0.5</v>
      </c>
      <c r="AB15" s="14">
        <v>0.34</v>
      </c>
      <c r="AC15" s="14">
        <v>0.69000000000000006</v>
      </c>
      <c r="AD15" s="14">
        <v>0.62</v>
      </c>
      <c r="AE15" s="14">
        <v>0.79</v>
      </c>
      <c r="AF15" s="14">
        <v>0.92</v>
      </c>
    </row>
    <row r="16" spans="1:32" ht="23.25" x14ac:dyDescent="0.25">
      <c r="A16" s="19"/>
      <c r="B16" s="11" t="s">
        <v>771</v>
      </c>
      <c r="C16" s="12">
        <v>1461</v>
      </c>
      <c r="D16" s="12">
        <v>38</v>
      </c>
      <c r="E16" s="12">
        <v>117</v>
      </c>
      <c r="F16" s="12">
        <v>58</v>
      </c>
      <c r="G16" s="12">
        <v>34</v>
      </c>
      <c r="H16" s="12">
        <v>78</v>
      </c>
      <c r="I16" s="12">
        <v>89</v>
      </c>
      <c r="J16" s="12">
        <v>11</v>
      </c>
      <c r="K16" s="12">
        <v>143</v>
      </c>
      <c r="L16" s="12">
        <v>58</v>
      </c>
      <c r="M16" s="12">
        <v>70</v>
      </c>
      <c r="N16" s="12">
        <v>33</v>
      </c>
      <c r="O16" s="12">
        <v>68</v>
      </c>
      <c r="P16" s="12">
        <v>48</v>
      </c>
      <c r="Q16" s="12">
        <v>40</v>
      </c>
      <c r="R16" s="12">
        <v>41</v>
      </c>
      <c r="S16" s="12">
        <v>106</v>
      </c>
      <c r="T16" s="12">
        <v>159</v>
      </c>
      <c r="U16" s="12">
        <v>31</v>
      </c>
      <c r="V16" s="12">
        <v>52</v>
      </c>
      <c r="W16" s="12">
        <v>54</v>
      </c>
      <c r="X16" s="12">
        <v>27</v>
      </c>
      <c r="Y16" s="12">
        <v>71</v>
      </c>
      <c r="Z16" s="12">
        <v>80</v>
      </c>
      <c r="AA16" s="12">
        <v>71</v>
      </c>
      <c r="AB16" s="12">
        <v>61</v>
      </c>
      <c r="AC16" s="12">
        <v>113</v>
      </c>
      <c r="AD16" s="12">
        <v>76</v>
      </c>
      <c r="AE16" s="12">
        <v>33</v>
      </c>
      <c r="AF16" s="12">
        <v>13</v>
      </c>
    </row>
    <row r="17" spans="1:32" ht="23.25" x14ac:dyDescent="0.25">
      <c r="A17" s="19"/>
      <c r="B17" s="13" t="s">
        <v>772</v>
      </c>
      <c r="C17" s="14">
        <v>0.05</v>
      </c>
      <c r="D17" s="14">
        <v>0.04</v>
      </c>
      <c r="E17" s="14">
        <v>0.11</v>
      </c>
      <c r="F17" s="14">
        <v>0.05</v>
      </c>
      <c r="G17" s="14">
        <v>0.03</v>
      </c>
      <c r="H17" s="14">
        <v>0.06</v>
      </c>
      <c r="I17" s="14">
        <v>0.06</v>
      </c>
      <c r="J17" s="14">
        <v>0.04</v>
      </c>
      <c r="K17" s="14">
        <v>0.14000000000000001</v>
      </c>
      <c r="L17" s="14">
        <v>0.06</v>
      </c>
      <c r="M17" s="14">
        <v>7.0000000000000007E-2</v>
      </c>
      <c r="N17" s="14">
        <v>0.03</v>
      </c>
      <c r="O17" s="14">
        <v>7.0000000000000007E-2</v>
      </c>
      <c r="P17" s="14">
        <v>0.05</v>
      </c>
      <c r="Q17" s="14">
        <v>0.04</v>
      </c>
      <c r="R17" s="14">
        <v>0.08</v>
      </c>
      <c r="S17" s="14">
        <v>0.1</v>
      </c>
      <c r="T17" s="14">
        <v>0.15</v>
      </c>
      <c r="U17" s="14">
        <v>0.06</v>
      </c>
      <c r="V17" s="14">
        <v>0.05</v>
      </c>
      <c r="W17" s="14">
        <v>0.11</v>
      </c>
      <c r="X17" s="14">
        <v>0.02</v>
      </c>
      <c r="Y17" s="14">
        <v>7.0000000000000007E-2</v>
      </c>
      <c r="Z17" s="14">
        <v>0.08</v>
      </c>
      <c r="AA17" s="14">
        <v>7.0000000000000007E-2</v>
      </c>
      <c r="AB17" s="14">
        <v>0.06</v>
      </c>
      <c r="AC17" s="14">
        <v>0.11</v>
      </c>
      <c r="AD17" s="14">
        <v>0.08</v>
      </c>
      <c r="AE17" s="14">
        <v>0.03</v>
      </c>
      <c r="AF17" s="14">
        <v>0.01</v>
      </c>
    </row>
    <row r="18" spans="1:32" x14ac:dyDescent="0.25">
      <c r="A18" s="19"/>
      <c r="B18" s="11" t="s">
        <v>224</v>
      </c>
      <c r="C18" s="12">
        <v>2040</v>
      </c>
      <c r="D18" s="12">
        <v>16</v>
      </c>
      <c r="E18" s="12">
        <v>194</v>
      </c>
      <c r="F18" s="12">
        <v>69</v>
      </c>
      <c r="G18" s="12">
        <v>24</v>
      </c>
      <c r="H18" s="12">
        <v>47</v>
      </c>
      <c r="I18" s="12">
        <v>53</v>
      </c>
      <c r="J18" s="12">
        <v>7</v>
      </c>
      <c r="K18" s="12">
        <v>179</v>
      </c>
      <c r="L18" s="12">
        <v>51</v>
      </c>
      <c r="M18" s="12">
        <v>71</v>
      </c>
      <c r="N18" s="12">
        <v>98</v>
      </c>
      <c r="O18" s="12">
        <v>131</v>
      </c>
      <c r="P18" s="12">
        <v>60</v>
      </c>
      <c r="Q18" s="12">
        <v>63</v>
      </c>
      <c r="R18" s="12">
        <v>133</v>
      </c>
      <c r="S18" s="12">
        <v>288</v>
      </c>
      <c r="T18" s="12">
        <v>163</v>
      </c>
      <c r="U18" s="12">
        <v>35</v>
      </c>
      <c r="V18" s="12">
        <v>59</v>
      </c>
      <c r="W18" s="12">
        <v>95</v>
      </c>
      <c r="X18" s="12">
        <v>7</v>
      </c>
      <c r="Y18" s="12">
        <v>74</v>
      </c>
      <c r="Z18" s="12">
        <v>88</v>
      </c>
      <c r="AA18" s="12">
        <v>230</v>
      </c>
      <c r="AB18" s="12">
        <v>72</v>
      </c>
      <c r="AC18" s="12">
        <v>74</v>
      </c>
      <c r="AD18" s="12">
        <v>84</v>
      </c>
      <c r="AE18" s="12">
        <v>78</v>
      </c>
      <c r="AF18" s="12">
        <v>18</v>
      </c>
    </row>
    <row r="19" spans="1:32" x14ac:dyDescent="0.25">
      <c r="A19" s="19"/>
      <c r="B19" s="13" t="s">
        <v>237</v>
      </c>
      <c r="C19" s="14">
        <v>0.08</v>
      </c>
      <c r="D19" s="14">
        <v>0.01</v>
      </c>
      <c r="E19" s="14">
        <v>0.18</v>
      </c>
      <c r="F19" s="14">
        <v>7.0000000000000007E-2</v>
      </c>
      <c r="G19" s="14">
        <v>0.03</v>
      </c>
      <c r="H19" s="14">
        <v>0.04</v>
      </c>
      <c r="I19" s="14">
        <v>0.03</v>
      </c>
      <c r="J19" s="14">
        <v>0.02</v>
      </c>
      <c r="K19" s="14">
        <v>0.18</v>
      </c>
      <c r="L19" s="14">
        <v>0.05</v>
      </c>
      <c r="M19" s="14">
        <v>7.0000000000000007E-2</v>
      </c>
      <c r="N19" s="14">
        <v>0.1</v>
      </c>
      <c r="O19" s="14">
        <v>0.13</v>
      </c>
      <c r="P19" s="14">
        <v>0.06</v>
      </c>
      <c r="Q19" s="14">
        <v>0.06</v>
      </c>
      <c r="R19" s="14">
        <v>0.27</v>
      </c>
      <c r="S19" s="14">
        <v>0.28999999999999998</v>
      </c>
      <c r="T19" s="14">
        <v>0.16</v>
      </c>
      <c r="U19" s="14">
        <v>7.0000000000000007E-2</v>
      </c>
      <c r="V19" s="14">
        <v>0.06</v>
      </c>
      <c r="W19" s="14">
        <v>0.19</v>
      </c>
      <c r="X19" s="14">
        <v>0.01</v>
      </c>
      <c r="Y19" s="14">
        <v>7.0000000000000007E-2</v>
      </c>
      <c r="Z19" s="14">
        <v>0.09</v>
      </c>
      <c r="AA19" s="14">
        <v>0.22</v>
      </c>
      <c r="AB19" s="14">
        <v>7.0000000000000007E-2</v>
      </c>
      <c r="AC19" s="14">
        <v>7.0000000000000007E-2</v>
      </c>
      <c r="AD19" s="14">
        <v>0.08</v>
      </c>
      <c r="AE19" s="14">
        <v>0.08</v>
      </c>
      <c r="AF19" s="14">
        <v>0.02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781</v>
      </c>
      <c r="C3" s="18"/>
      <c r="D3" s="18"/>
      <c r="E3" s="18"/>
      <c r="F3" s="18"/>
      <c r="H3" s="18" t="s">
        <v>782</v>
      </c>
      <c r="I3" s="18"/>
      <c r="J3" s="18"/>
      <c r="K3" s="18"/>
      <c r="L3" s="18"/>
    </row>
    <row r="4" spans="1:32" ht="27" customHeight="1" x14ac:dyDescent="0.25">
      <c r="B4" s="18" t="s">
        <v>783</v>
      </c>
      <c r="C4" s="18"/>
      <c r="D4" s="18"/>
      <c r="E4" s="18"/>
      <c r="F4" s="18"/>
      <c r="H4" s="18" t="s">
        <v>784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25" x14ac:dyDescent="0.25">
      <c r="A12" s="19"/>
      <c r="B12" s="11" t="s">
        <v>767</v>
      </c>
      <c r="C12" s="12">
        <v>20468</v>
      </c>
      <c r="D12" s="12">
        <v>799</v>
      </c>
      <c r="E12" s="12">
        <v>705</v>
      </c>
      <c r="F12" s="12">
        <v>898</v>
      </c>
      <c r="G12" s="12">
        <v>898</v>
      </c>
      <c r="H12" s="12">
        <v>923</v>
      </c>
      <c r="I12" s="12">
        <v>1140</v>
      </c>
      <c r="J12" s="12">
        <v>217</v>
      </c>
      <c r="K12" s="12">
        <v>755</v>
      </c>
      <c r="L12" s="12">
        <v>896</v>
      </c>
      <c r="M12" s="12">
        <v>795</v>
      </c>
      <c r="N12" s="12">
        <v>879</v>
      </c>
      <c r="O12" s="12">
        <v>736</v>
      </c>
      <c r="P12" s="12">
        <v>742</v>
      </c>
      <c r="Q12" s="12">
        <v>800</v>
      </c>
      <c r="R12" s="12">
        <v>414</v>
      </c>
      <c r="S12" s="12">
        <v>805</v>
      </c>
      <c r="T12" s="12">
        <v>840</v>
      </c>
      <c r="U12" s="12">
        <v>432</v>
      </c>
      <c r="V12" s="12">
        <v>777</v>
      </c>
      <c r="W12" s="12">
        <v>428</v>
      </c>
      <c r="X12" s="12">
        <v>863</v>
      </c>
      <c r="Y12" s="12">
        <v>733</v>
      </c>
      <c r="Z12" s="12">
        <v>767</v>
      </c>
      <c r="AA12" s="12">
        <v>688</v>
      </c>
      <c r="AB12" s="12">
        <v>723</v>
      </c>
      <c r="AC12" s="12">
        <v>912</v>
      </c>
      <c r="AD12" s="12">
        <v>770</v>
      </c>
      <c r="AE12" s="12">
        <v>758</v>
      </c>
      <c r="AF12" s="12">
        <v>863</v>
      </c>
    </row>
    <row r="13" spans="1:32" ht="23.25" x14ac:dyDescent="0.25">
      <c r="A13" s="19"/>
      <c r="B13" s="13" t="s">
        <v>768</v>
      </c>
      <c r="C13" s="14">
        <v>0.77</v>
      </c>
      <c r="D13" s="14">
        <v>0.78</v>
      </c>
      <c r="E13" s="14">
        <v>0.68</v>
      </c>
      <c r="F13" s="14">
        <v>0.84</v>
      </c>
      <c r="G13" s="14">
        <v>0.88</v>
      </c>
      <c r="H13" s="14">
        <v>0.75</v>
      </c>
      <c r="I13" s="14">
        <v>0.75</v>
      </c>
      <c r="J13" s="14">
        <v>0.73</v>
      </c>
      <c r="K13" s="14">
        <v>0.75</v>
      </c>
      <c r="L13" s="14">
        <v>0.89</v>
      </c>
      <c r="M13" s="14">
        <v>0.79</v>
      </c>
      <c r="N13" s="14">
        <v>0.87</v>
      </c>
      <c r="O13" s="14">
        <v>0.73</v>
      </c>
      <c r="P13" s="14">
        <v>0.74</v>
      </c>
      <c r="Q13" s="14">
        <v>0.78</v>
      </c>
      <c r="R13" s="14">
        <v>0.83000000000000007</v>
      </c>
      <c r="S13" s="14">
        <v>0.8</v>
      </c>
      <c r="T13" s="14">
        <v>0.82000000000000006</v>
      </c>
      <c r="U13" s="14">
        <v>0.85</v>
      </c>
      <c r="V13" s="14">
        <v>0.76</v>
      </c>
      <c r="W13" s="14">
        <v>0.85</v>
      </c>
      <c r="X13" s="14">
        <v>0.85</v>
      </c>
      <c r="Y13" s="14">
        <v>0.73</v>
      </c>
      <c r="Z13" s="14">
        <v>0.76</v>
      </c>
      <c r="AA13" s="14">
        <v>0.66</v>
      </c>
      <c r="AB13" s="14">
        <v>0.70000000000000007</v>
      </c>
      <c r="AC13" s="14">
        <v>0.91</v>
      </c>
      <c r="AD13" s="14">
        <v>0.77</v>
      </c>
      <c r="AE13" s="14">
        <v>0.76</v>
      </c>
      <c r="AF13" s="14">
        <v>0.84</v>
      </c>
    </row>
    <row r="14" spans="1:32" ht="23.25" x14ac:dyDescent="0.25">
      <c r="A14" s="19"/>
      <c r="B14" s="11" t="s">
        <v>769</v>
      </c>
      <c r="C14" s="12">
        <v>3035</v>
      </c>
      <c r="D14" s="12">
        <v>155</v>
      </c>
      <c r="E14" s="12">
        <v>139</v>
      </c>
      <c r="F14" s="12">
        <v>126</v>
      </c>
      <c r="G14" s="12">
        <v>46</v>
      </c>
      <c r="H14" s="12">
        <v>101</v>
      </c>
      <c r="I14" s="12">
        <v>151</v>
      </c>
      <c r="J14" s="12">
        <v>51</v>
      </c>
      <c r="K14" s="12">
        <v>79</v>
      </c>
      <c r="L14" s="12">
        <v>37</v>
      </c>
      <c r="M14" s="12">
        <v>146</v>
      </c>
      <c r="N14" s="12">
        <v>76</v>
      </c>
      <c r="O14" s="12">
        <v>133</v>
      </c>
      <c r="P14" s="12">
        <v>173</v>
      </c>
      <c r="Q14" s="12">
        <v>145</v>
      </c>
      <c r="R14" s="12">
        <v>22</v>
      </c>
      <c r="S14" s="12">
        <v>78</v>
      </c>
      <c r="T14" s="12">
        <v>41</v>
      </c>
      <c r="U14" s="12">
        <v>26</v>
      </c>
      <c r="V14" s="12">
        <v>144</v>
      </c>
      <c r="W14" s="12">
        <v>25</v>
      </c>
      <c r="X14" s="12">
        <v>49</v>
      </c>
      <c r="Y14" s="12">
        <v>114</v>
      </c>
      <c r="Z14" s="12">
        <v>136</v>
      </c>
      <c r="AA14" s="12">
        <v>88</v>
      </c>
      <c r="AB14" s="12">
        <v>223</v>
      </c>
      <c r="AC14" s="12">
        <v>23</v>
      </c>
      <c r="AD14" s="12">
        <v>157</v>
      </c>
      <c r="AE14" s="12">
        <v>60</v>
      </c>
      <c r="AF14" s="12">
        <v>82</v>
      </c>
    </row>
    <row r="15" spans="1:32" ht="23.25" x14ac:dyDescent="0.25">
      <c r="A15" s="19"/>
      <c r="B15" s="13" t="s">
        <v>770</v>
      </c>
      <c r="C15" s="14">
        <v>0.12</v>
      </c>
      <c r="D15" s="14">
        <v>0.15</v>
      </c>
      <c r="E15" s="14">
        <v>0.13</v>
      </c>
      <c r="F15" s="14">
        <v>0.12</v>
      </c>
      <c r="G15" s="14">
        <v>0.05</v>
      </c>
      <c r="H15" s="14">
        <v>0.08</v>
      </c>
      <c r="I15" s="14">
        <v>0.1</v>
      </c>
      <c r="J15" s="14">
        <v>0.17</v>
      </c>
      <c r="K15" s="14">
        <v>0.08</v>
      </c>
      <c r="L15" s="14">
        <v>0.04</v>
      </c>
      <c r="M15" s="14">
        <v>0.15</v>
      </c>
      <c r="N15" s="14">
        <v>0.08</v>
      </c>
      <c r="O15" s="14">
        <v>0.13</v>
      </c>
      <c r="P15" s="14">
        <v>0.17</v>
      </c>
      <c r="Q15" s="14">
        <v>0.14000000000000001</v>
      </c>
      <c r="R15" s="14">
        <v>0.04</v>
      </c>
      <c r="S15" s="14">
        <v>0.08</v>
      </c>
      <c r="T15" s="14">
        <v>0.04</v>
      </c>
      <c r="U15" s="14">
        <v>0.05</v>
      </c>
      <c r="V15" s="14">
        <v>0.14000000000000001</v>
      </c>
      <c r="W15" s="14">
        <v>0.05</v>
      </c>
      <c r="X15" s="14">
        <v>0.05</v>
      </c>
      <c r="Y15" s="14">
        <v>0.11</v>
      </c>
      <c r="Z15" s="14">
        <v>0.13</v>
      </c>
      <c r="AA15" s="14">
        <v>0.09</v>
      </c>
      <c r="AB15" s="14">
        <v>0.21</v>
      </c>
      <c r="AC15" s="14">
        <v>0.02</v>
      </c>
      <c r="AD15" s="14">
        <v>0.16</v>
      </c>
      <c r="AE15" s="14">
        <v>0.06</v>
      </c>
      <c r="AF15" s="14">
        <v>0.08</v>
      </c>
    </row>
    <row r="16" spans="1:32" ht="23.25" x14ac:dyDescent="0.25">
      <c r="A16" s="19"/>
      <c r="B16" s="11" t="s">
        <v>771</v>
      </c>
      <c r="C16" s="12">
        <v>2620</v>
      </c>
      <c r="D16" s="12">
        <v>60</v>
      </c>
      <c r="E16" s="12">
        <v>168</v>
      </c>
      <c r="F16" s="12">
        <v>19</v>
      </c>
      <c r="G16" s="12">
        <v>66</v>
      </c>
      <c r="H16" s="12">
        <v>195</v>
      </c>
      <c r="I16" s="12">
        <v>224</v>
      </c>
      <c r="J16" s="12">
        <v>29</v>
      </c>
      <c r="K16" s="12">
        <v>135</v>
      </c>
      <c r="L16" s="12">
        <v>62</v>
      </c>
      <c r="M16" s="12">
        <v>61</v>
      </c>
      <c r="N16" s="12">
        <v>50</v>
      </c>
      <c r="O16" s="12">
        <v>114</v>
      </c>
      <c r="P16" s="12">
        <v>79</v>
      </c>
      <c r="Q16" s="12">
        <v>71</v>
      </c>
      <c r="R16" s="12">
        <v>54</v>
      </c>
      <c r="S16" s="12">
        <v>106</v>
      </c>
      <c r="T16" s="12">
        <v>136</v>
      </c>
      <c r="U16" s="12">
        <v>46</v>
      </c>
      <c r="V16" s="12">
        <v>94</v>
      </c>
      <c r="W16" s="12">
        <v>45</v>
      </c>
      <c r="X16" s="12">
        <v>93</v>
      </c>
      <c r="Y16" s="12">
        <v>135</v>
      </c>
      <c r="Z16" s="12">
        <v>95</v>
      </c>
      <c r="AA16" s="12">
        <v>252</v>
      </c>
      <c r="AB16" s="12">
        <v>82</v>
      </c>
      <c r="AC16" s="12">
        <v>63</v>
      </c>
      <c r="AD16" s="12">
        <v>64</v>
      </c>
      <c r="AE16" s="12">
        <v>162</v>
      </c>
      <c r="AF16" s="12">
        <v>78</v>
      </c>
    </row>
    <row r="17" spans="1:32" ht="23.25" x14ac:dyDescent="0.25">
      <c r="A17" s="19"/>
      <c r="B17" s="13" t="s">
        <v>772</v>
      </c>
      <c r="C17" s="14">
        <v>0.1</v>
      </c>
      <c r="D17" s="14">
        <v>0.06</v>
      </c>
      <c r="E17" s="14">
        <v>0.16</v>
      </c>
      <c r="F17" s="14">
        <v>0.02</v>
      </c>
      <c r="G17" s="14">
        <v>0.06</v>
      </c>
      <c r="H17" s="14">
        <v>0.16</v>
      </c>
      <c r="I17" s="14">
        <v>0.14000000000000001</v>
      </c>
      <c r="J17" s="14">
        <v>0.1</v>
      </c>
      <c r="K17" s="14">
        <v>0.13</v>
      </c>
      <c r="L17" s="14">
        <v>0.06</v>
      </c>
      <c r="M17" s="14">
        <v>0.06</v>
      </c>
      <c r="N17" s="14">
        <v>0.05</v>
      </c>
      <c r="O17" s="14">
        <v>0.12</v>
      </c>
      <c r="P17" s="14">
        <v>0.08</v>
      </c>
      <c r="Q17" s="14">
        <v>7.0000000000000007E-2</v>
      </c>
      <c r="R17" s="14">
        <v>0.11</v>
      </c>
      <c r="S17" s="14">
        <v>0.11</v>
      </c>
      <c r="T17" s="14">
        <v>0.13</v>
      </c>
      <c r="U17" s="14">
        <v>0.09</v>
      </c>
      <c r="V17" s="14">
        <v>0.09</v>
      </c>
      <c r="W17" s="14">
        <v>0.09</v>
      </c>
      <c r="X17" s="14">
        <v>0.09</v>
      </c>
      <c r="Y17" s="14">
        <v>0.14000000000000001</v>
      </c>
      <c r="Z17" s="14">
        <v>0.09</v>
      </c>
      <c r="AA17" s="14">
        <v>0.24</v>
      </c>
      <c r="AB17" s="14">
        <v>0.08</v>
      </c>
      <c r="AC17" s="14">
        <v>0.06</v>
      </c>
      <c r="AD17" s="14">
        <v>0.06</v>
      </c>
      <c r="AE17" s="14">
        <v>0.16</v>
      </c>
      <c r="AF17" s="14">
        <v>7.0000000000000007E-2</v>
      </c>
    </row>
    <row r="18" spans="1:32" x14ac:dyDescent="0.25">
      <c r="A18" s="19"/>
      <c r="B18" s="11" t="s">
        <v>224</v>
      </c>
      <c r="C18" s="12">
        <v>330</v>
      </c>
      <c r="D18" s="12">
        <v>6</v>
      </c>
      <c r="E18" s="12">
        <v>33</v>
      </c>
      <c r="F18" s="12">
        <v>20</v>
      </c>
      <c r="G18" s="12">
        <v>6</v>
      </c>
      <c r="H18" s="12">
        <v>11</v>
      </c>
      <c r="I18" s="12">
        <v>12</v>
      </c>
      <c r="J18" s="12">
        <v>1</v>
      </c>
      <c r="K18" s="12">
        <v>38</v>
      </c>
      <c r="L18" s="12">
        <v>11</v>
      </c>
      <c r="M18" s="12">
        <v>4</v>
      </c>
      <c r="N18" s="12">
        <v>5</v>
      </c>
      <c r="O18" s="12">
        <v>21</v>
      </c>
      <c r="P18" s="12">
        <v>9</v>
      </c>
      <c r="Q18" s="12">
        <v>16</v>
      </c>
      <c r="R18" s="12">
        <v>11</v>
      </c>
      <c r="S18" s="12">
        <v>15</v>
      </c>
      <c r="T18" s="12">
        <v>6</v>
      </c>
      <c r="U18" s="12">
        <v>4</v>
      </c>
      <c r="V18" s="12">
        <v>10</v>
      </c>
      <c r="W18" s="12">
        <v>3</v>
      </c>
      <c r="X18" s="12">
        <v>5</v>
      </c>
      <c r="Y18" s="12">
        <v>21</v>
      </c>
      <c r="Z18" s="12">
        <v>18</v>
      </c>
      <c r="AA18" s="12">
        <v>9</v>
      </c>
      <c r="AB18" s="12">
        <v>12</v>
      </c>
      <c r="AC18" s="12">
        <v>6</v>
      </c>
      <c r="AD18" s="12">
        <v>12</v>
      </c>
      <c r="AE18" s="12">
        <v>21</v>
      </c>
      <c r="AF18" s="12">
        <v>7</v>
      </c>
    </row>
    <row r="19" spans="1:32" x14ac:dyDescent="0.25">
      <c r="A19" s="19"/>
      <c r="B19" s="13" t="s">
        <v>237</v>
      </c>
      <c r="C19" s="14">
        <v>0.01</v>
      </c>
      <c r="D19" s="14">
        <v>0.01</v>
      </c>
      <c r="E19" s="14">
        <v>0.03</v>
      </c>
      <c r="F19" s="14">
        <v>0.02</v>
      </c>
      <c r="G19" s="14">
        <v>0.01</v>
      </c>
      <c r="H19" s="14">
        <v>0.01</v>
      </c>
      <c r="I19" s="14">
        <v>0.01</v>
      </c>
      <c r="J19" s="15" t="s">
        <v>213</v>
      </c>
      <c r="K19" s="14">
        <v>0.04</v>
      </c>
      <c r="L19" s="14">
        <v>0.01</v>
      </c>
      <c r="M19" s="15" t="s">
        <v>213</v>
      </c>
      <c r="N19" s="15" t="s">
        <v>213</v>
      </c>
      <c r="O19" s="14">
        <v>0.02</v>
      </c>
      <c r="P19" s="14">
        <v>0.01</v>
      </c>
      <c r="Q19" s="14">
        <v>0.01</v>
      </c>
      <c r="R19" s="14">
        <v>0.02</v>
      </c>
      <c r="S19" s="14">
        <v>0.01</v>
      </c>
      <c r="T19" s="14">
        <v>0.01</v>
      </c>
      <c r="U19" s="14">
        <v>0.01</v>
      </c>
      <c r="V19" s="14">
        <v>0.01</v>
      </c>
      <c r="W19" s="14">
        <v>0.01</v>
      </c>
      <c r="X19" s="14">
        <v>0.01</v>
      </c>
      <c r="Y19" s="14">
        <v>0.02</v>
      </c>
      <c r="Z19" s="14">
        <v>0.02</v>
      </c>
      <c r="AA19" s="14">
        <v>0.01</v>
      </c>
      <c r="AB19" s="14">
        <v>0.01</v>
      </c>
      <c r="AC19" s="14">
        <v>0.01</v>
      </c>
      <c r="AD19" s="14">
        <v>0.01</v>
      </c>
      <c r="AE19" s="14">
        <v>0.02</v>
      </c>
      <c r="AF19" s="14">
        <v>0.01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785</v>
      </c>
      <c r="C3" s="18"/>
      <c r="D3" s="18"/>
      <c r="E3" s="18"/>
      <c r="F3" s="18"/>
      <c r="H3" s="18" t="s">
        <v>786</v>
      </c>
      <c r="I3" s="18"/>
      <c r="J3" s="18"/>
      <c r="K3" s="18"/>
      <c r="L3" s="18"/>
    </row>
    <row r="4" spans="1:32" ht="27" customHeight="1" x14ac:dyDescent="0.25">
      <c r="B4" s="18" t="s">
        <v>787</v>
      </c>
      <c r="C4" s="18"/>
      <c r="D4" s="18"/>
      <c r="E4" s="18"/>
      <c r="F4" s="18"/>
      <c r="H4" s="18" t="s">
        <v>788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789</v>
      </c>
      <c r="C12" s="12">
        <v>6540</v>
      </c>
      <c r="D12" s="12">
        <v>198</v>
      </c>
      <c r="E12" s="12">
        <v>304</v>
      </c>
      <c r="F12" s="12">
        <v>178</v>
      </c>
      <c r="G12" s="12">
        <v>297</v>
      </c>
      <c r="H12" s="12">
        <v>383</v>
      </c>
      <c r="I12" s="12">
        <v>462</v>
      </c>
      <c r="J12" s="12">
        <v>79</v>
      </c>
      <c r="K12" s="12">
        <v>186</v>
      </c>
      <c r="L12" s="12">
        <v>243</v>
      </c>
      <c r="M12" s="12">
        <v>391</v>
      </c>
      <c r="N12" s="12">
        <v>199</v>
      </c>
      <c r="O12" s="12">
        <v>223</v>
      </c>
      <c r="P12" s="12">
        <v>140</v>
      </c>
      <c r="Q12" s="12">
        <v>272</v>
      </c>
      <c r="R12" s="12">
        <v>93</v>
      </c>
      <c r="S12" s="12">
        <v>193</v>
      </c>
      <c r="T12" s="12">
        <v>167</v>
      </c>
      <c r="U12" s="12">
        <v>132</v>
      </c>
      <c r="V12" s="12">
        <v>210</v>
      </c>
      <c r="W12" s="12">
        <v>175</v>
      </c>
      <c r="X12" s="12">
        <v>519</v>
      </c>
      <c r="Y12" s="12">
        <v>293</v>
      </c>
      <c r="Z12" s="12">
        <v>137</v>
      </c>
      <c r="AA12" s="12">
        <v>150</v>
      </c>
      <c r="AB12" s="12">
        <v>158</v>
      </c>
      <c r="AC12" s="12">
        <v>120</v>
      </c>
      <c r="AD12" s="12">
        <v>221</v>
      </c>
      <c r="AE12" s="12">
        <v>275</v>
      </c>
      <c r="AF12" s="12">
        <v>386</v>
      </c>
    </row>
    <row r="13" spans="1:32" x14ac:dyDescent="0.25">
      <c r="A13" s="19"/>
      <c r="B13" s="13" t="s">
        <v>790</v>
      </c>
      <c r="C13" s="14">
        <v>0.25</v>
      </c>
      <c r="D13" s="14">
        <v>0.19</v>
      </c>
      <c r="E13" s="14">
        <v>0.28999999999999998</v>
      </c>
      <c r="F13" s="14">
        <v>0.17</v>
      </c>
      <c r="G13" s="14">
        <v>0.28999999999999998</v>
      </c>
      <c r="H13" s="14">
        <v>0.31</v>
      </c>
      <c r="I13" s="14">
        <v>0.3</v>
      </c>
      <c r="J13" s="14">
        <v>0.27</v>
      </c>
      <c r="K13" s="14">
        <v>0.19</v>
      </c>
      <c r="L13" s="14">
        <v>0.24</v>
      </c>
      <c r="M13" s="14">
        <v>0.39</v>
      </c>
      <c r="N13" s="14">
        <v>0.2</v>
      </c>
      <c r="O13" s="14">
        <v>0.22</v>
      </c>
      <c r="P13" s="14">
        <v>0.14000000000000001</v>
      </c>
      <c r="Q13" s="14">
        <v>0.26</v>
      </c>
      <c r="R13" s="14">
        <v>0.18</v>
      </c>
      <c r="S13" s="14">
        <v>0.19</v>
      </c>
      <c r="T13" s="14">
        <v>0.16</v>
      </c>
      <c r="U13" s="14">
        <v>0.26</v>
      </c>
      <c r="V13" s="14">
        <v>0.21</v>
      </c>
      <c r="W13" s="14">
        <v>0.35</v>
      </c>
      <c r="X13" s="14">
        <v>0.51</v>
      </c>
      <c r="Y13" s="14">
        <v>0.28999999999999998</v>
      </c>
      <c r="Z13" s="14">
        <v>0.13</v>
      </c>
      <c r="AA13" s="14">
        <v>0.15</v>
      </c>
      <c r="AB13" s="14">
        <v>0.15</v>
      </c>
      <c r="AC13" s="14">
        <v>0.12</v>
      </c>
      <c r="AD13" s="14">
        <v>0.22</v>
      </c>
      <c r="AE13" s="14">
        <v>0.27</v>
      </c>
      <c r="AF13" s="14">
        <v>0.38</v>
      </c>
    </row>
    <row r="14" spans="1:32" x14ac:dyDescent="0.25">
      <c r="A14" s="19"/>
      <c r="B14" s="11" t="s">
        <v>791</v>
      </c>
      <c r="C14" s="12">
        <v>15123</v>
      </c>
      <c r="D14" s="12">
        <v>602</v>
      </c>
      <c r="E14" s="12">
        <v>633</v>
      </c>
      <c r="F14" s="12">
        <v>662</v>
      </c>
      <c r="G14" s="12">
        <v>557</v>
      </c>
      <c r="H14" s="12">
        <v>758</v>
      </c>
      <c r="I14" s="12">
        <v>952</v>
      </c>
      <c r="J14" s="12">
        <v>195</v>
      </c>
      <c r="K14" s="12">
        <v>606</v>
      </c>
      <c r="L14" s="12">
        <v>519</v>
      </c>
      <c r="M14" s="12">
        <v>510</v>
      </c>
      <c r="N14" s="12">
        <v>501</v>
      </c>
      <c r="O14" s="12">
        <v>487</v>
      </c>
      <c r="P14" s="12">
        <v>644</v>
      </c>
      <c r="Q14" s="12">
        <v>590</v>
      </c>
      <c r="R14" s="12">
        <v>239</v>
      </c>
      <c r="S14" s="12">
        <v>556</v>
      </c>
      <c r="T14" s="12">
        <v>645</v>
      </c>
      <c r="U14" s="12">
        <v>279</v>
      </c>
      <c r="V14" s="12">
        <v>688</v>
      </c>
      <c r="W14" s="12">
        <v>244</v>
      </c>
      <c r="X14" s="12">
        <v>423</v>
      </c>
      <c r="Y14" s="12">
        <v>569</v>
      </c>
      <c r="Z14" s="12">
        <v>710</v>
      </c>
      <c r="AA14" s="12">
        <v>613</v>
      </c>
      <c r="AB14" s="12">
        <v>693</v>
      </c>
      <c r="AC14" s="12">
        <v>668</v>
      </c>
      <c r="AD14" s="12">
        <v>675</v>
      </c>
      <c r="AE14" s="12">
        <v>558</v>
      </c>
      <c r="AF14" s="12">
        <v>550</v>
      </c>
    </row>
    <row r="15" spans="1:32" x14ac:dyDescent="0.25">
      <c r="A15" s="19"/>
      <c r="B15" s="13" t="s">
        <v>792</v>
      </c>
      <c r="C15" s="14">
        <v>0.57000000000000006</v>
      </c>
      <c r="D15" s="14">
        <v>0.59</v>
      </c>
      <c r="E15" s="14">
        <v>0.61</v>
      </c>
      <c r="F15" s="14">
        <v>0.62</v>
      </c>
      <c r="G15" s="14">
        <v>0.55000000000000004</v>
      </c>
      <c r="H15" s="14">
        <v>0.62</v>
      </c>
      <c r="I15" s="14">
        <v>0.62</v>
      </c>
      <c r="J15" s="14">
        <v>0.65</v>
      </c>
      <c r="K15" s="14">
        <v>0.6</v>
      </c>
      <c r="L15" s="14">
        <v>0.52</v>
      </c>
      <c r="M15" s="14">
        <v>0.51</v>
      </c>
      <c r="N15" s="14">
        <v>0.49</v>
      </c>
      <c r="O15" s="14">
        <v>0.49</v>
      </c>
      <c r="P15" s="14">
        <v>0.64</v>
      </c>
      <c r="Q15" s="14">
        <v>0.57000000000000006</v>
      </c>
      <c r="R15" s="14">
        <v>0.48</v>
      </c>
      <c r="S15" s="14">
        <v>0.55000000000000004</v>
      </c>
      <c r="T15" s="14">
        <v>0.63</v>
      </c>
      <c r="U15" s="14">
        <v>0.55000000000000004</v>
      </c>
      <c r="V15" s="14">
        <v>0.67</v>
      </c>
      <c r="W15" s="14">
        <v>0.49</v>
      </c>
      <c r="X15" s="14">
        <v>0.42</v>
      </c>
      <c r="Y15" s="14">
        <v>0.57000000000000006</v>
      </c>
      <c r="Z15" s="14">
        <v>0.70000000000000007</v>
      </c>
      <c r="AA15" s="14">
        <v>0.59</v>
      </c>
      <c r="AB15" s="14">
        <v>0.67</v>
      </c>
      <c r="AC15" s="14">
        <v>0.66</v>
      </c>
      <c r="AD15" s="14">
        <v>0.67</v>
      </c>
      <c r="AE15" s="14">
        <v>0.56000000000000005</v>
      </c>
      <c r="AF15" s="14">
        <v>0.53</v>
      </c>
    </row>
    <row r="16" spans="1:32" x14ac:dyDescent="0.25">
      <c r="A16" s="19"/>
      <c r="B16" s="11" t="s">
        <v>730</v>
      </c>
      <c r="C16" s="12">
        <v>4773</v>
      </c>
      <c r="D16" s="12">
        <v>221</v>
      </c>
      <c r="E16" s="12">
        <v>108</v>
      </c>
      <c r="F16" s="12">
        <v>223</v>
      </c>
      <c r="G16" s="12">
        <v>162</v>
      </c>
      <c r="H16" s="12">
        <v>89</v>
      </c>
      <c r="I16" s="12">
        <v>113</v>
      </c>
      <c r="J16" s="12">
        <v>24</v>
      </c>
      <c r="K16" s="12">
        <v>211</v>
      </c>
      <c r="L16" s="12">
        <v>243</v>
      </c>
      <c r="M16" s="12">
        <v>107</v>
      </c>
      <c r="N16" s="12">
        <v>311</v>
      </c>
      <c r="O16" s="12">
        <v>294</v>
      </c>
      <c r="P16" s="12">
        <v>219</v>
      </c>
      <c r="Q16" s="12">
        <v>169</v>
      </c>
      <c r="R16" s="12">
        <v>166</v>
      </c>
      <c r="S16" s="12">
        <v>255</v>
      </c>
      <c r="T16" s="12">
        <v>209</v>
      </c>
      <c r="U16" s="12">
        <v>95</v>
      </c>
      <c r="V16" s="12">
        <v>126</v>
      </c>
      <c r="W16" s="12">
        <v>82</v>
      </c>
      <c r="X16" s="12">
        <v>65</v>
      </c>
      <c r="Y16" s="12">
        <v>140</v>
      </c>
      <c r="Z16" s="12">
        <v>168</v>
      </c>
      <c r="AA16" s="12">
        <v>273</v>
      </c>
      <c r="AB16" s="12">
        <v>190</v>
      </c>
      <c r="AC16" s="12">
        <v>216</v>
      </c>
      <c r="AD16" s="12">
        <v>105</v>
      </c>
      <c r="AE16" s="12">
        <v>166</v>
      </c>
      <c r="AF16" s="12">
        <v>94</v>
      </c>
    </row>
    <row r="17" spans="1:32" x14ac:dyDescent="0.25">
      <c r="A17" s="19"/>
      <c r="B17" s="13" t="s">
        <v>731</v>
      </c>
      <c r="C17" s="14">
        <v>0.18</v>
      </c>
      <c r="D17" s="14">
        <v>0.22</v>
      </c>
      <c r="E17" s="14">
        <v>0.1</v>
      </c>
      <c r="F17" s="14">
        <v>0.21</v>
      </c>
      <c r="G17" s="14">
        <v>0.16</v>
      </c>
      <c r="H17" s="14">
        <v>7.0000000000000007E-2</v>
      </c>
      <c r="I17" s="14">
        <v>0.08</v>
      </c>
      <c r="J17" s="14">
        <v>0.08</v>
      </c>
      <c r="K17" s="14">
        <v>0.21</v>
      </c>
      <c r="L17" s="14">
        <v>0.24</v>
      </c>
      <c r="M17" s="14">
        <v>0.1</v>
      </c>
      <c r="N17" s="14">
        <v>0.31</v>
      </c>
      <c r="O17" s="14">
        <v>0.28999999999999998</v>
      </c>
      <c r="P17" s="14">
        <v>0.22</v>
      </c>
      <c r="Q17" s="14">
        <v>0.17</v>
      </c>
      <c r="R17" s="14">
        <v>0.33</v>
      </c>
      <c r="S17" s="14">
        <v>0.26</v>
      </c>
      <c r="T17" s="14">
        <v>0.21</v>
      </c>
      <c r="U17" s="14">
        <v>0.19</v>
      </c>
      <c r="V17" s="14">
        <v>0.12</v>
      </c>
      <c r="W17" s="14">
        <v>0.16</v>
      </c>
      <c r="X17" s="14">
        <v>7.0000000000000007E-2</v>
      </c>
      <c r="Y17" s="14">
        <v>0.14000000000000001</v>
      </c>
      <c r="Z17" s="14">
        <v>0.17</v>
      </c>
      <c r="AA17" s="14">
        <v>0.26</v>
      </c>
      <c r="AB17" s="14">
        <v>0.18</v>
      </c>
      <c r="AC17" s="14">
        <v>0.22</v>
      </c>
      <c r="AD17" s="14">
        <v>0.11</v>
      </c>
      <c r="AE17" s="14">
        <v>0.17</v>
      </c>
      <c r="AF17" s="14">
        <v>0.09</v>
      </c>
    </row>
    <row r="18" spans="1:32" x14ac:dyDescent="0.25">
      <c r="A18" s="19"/>
      <c r="B18" s="11" t="s">
        <v>224</v>
      </c>
      <c r="C18" s="12">
        <v>16</v>
      </c>
      <c r="D18" s="12">
        <v>1</v>
      </c>
      <c r="E18" s="12">
        <v>2</v>
      </c>
      <c r="F18" s="12">
        <v>1</v>
      </c>
      <c r="G18" s="12">
        <v>0</v>
      </c>
      <c r="H18" s="12">
        <v>0</v>
      </c>
      <c r="I18" s="12">
        <v>0</v>
      </c>
      <c r="J18" s="12">
        <v>0</v>
      </c>
      <c r="K18" s="12">
        <v>4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3</v>
      </c>
      <c r="S18" s="12">
        <v>1</v>
      </c>
      <c r="T18" s="12">
        <v>2</v>
      </c>
      <c r="U18" s="12">
        <v>1</v>
      </c>
      <c r="V18" s="12">
        <v>2</v>
      </c>
      <c r="W18" s="12">
        <v>0</v>
      </c>
      <c r="X18" s="12">
        <v>3</v>
      </c>
      <c r="Y18" s="12">
        <v>1</v>
      </c>
      <c r="Z18" s="12">
        <v>2</v>
      </c>
      <c r="AA18" s="12">
        <v>2</v>
      </c>
      <c r="AB18" s="12">
        <v>1</v>
      </c>
      <c r="AC18" s="12">
        <v>2</v>
      </c>
      <c r="AD18" s="12">
        <v>2</v>
      </c>
      <c r="AE18" s="12">
        <v>1</v>
      </c>
      <c r="AF18" s="12">
        <v>1</v>
      </c>
    </row>
    <row r="19" spans="1:32" x14ac:dyDescent="0.25">
      <c r="A19" s="19"/>
      <c r="B19" s="13" t="s">
        <v>237</v>
      </c>
      <c r="C19" s="15" t="s">
        <v>213</v>
      </c>
      <c r="D19" s="15" t="s">
        <v>213</v>
      </c>
      <c r="E19" s="15" t="s">
        <v>213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4">
        <v>0.01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5" t="s">
        <v>213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793</v>
      </c>
      <c r="C3" s="18"/>
      <c r="D3" s="18"/>
      <c r="E3" s="18"/>
      <c r="F3" s="18"/>
      <c r="H3" s="18" t="s">
        <v>794</v>
      </c>
      <c r="I3" s="18"/>
      <c r="J3" s="18"/>
      <c r="K3" s="18"/>
      <c r="L3" s="18"/>
    </row>
    <row r="4" spans="1:32" ht="27" customHeight="1" x14ac:dyDescent="0.25">
      <c r="B4" s="18" t="s">
        <v>795</v>
      </c>
      <c r="C4" s="18"/>
      <c r="D4" s="18"/>
      <c r="E4" s="18"/>
      <c r="F4" s="18"/>
      <c r="H4" s="18" t="s">
        <v>796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HYPERLINK("#Content!A79","&lt;&lt;Back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789</v>
      </c>
      <c r="C12" s="12">
        <v>3885</v>
      </c>
      <c r="D12" s="12">
        <v>153</v>
      </c>
      <c r="E12" s="12">
        <v>178</v>
      </c>
      <c r="F12" s="12">
        <v>95</v>
      </c>
      <c r="G12" s="12">
        <v>184</v>
      </c>
      <c r="H12" s="12">
        <v>210</v>
      </c>
      <c r="I12" s="12">
        <v>255</v>
      </c>
      <c r="J12" s="12">
        <v>45</v>
      </c>
      <c r="K12" s="12">
        <v>123</v>
      </c>
      <c r="L12" s="12">
        <v>159</v>
      </c>
      <c r="M12" s="12">
        <v>239</v>
      </c>
      <c r="N12" s="12">
        <v>108</v>
      </c>
      <c r="O12" s="12">
        <v>110</v>
      </c>
      <c r="P12" s="12">
        <v>105</v>
      </c>
      <c r="Q12" s="12">
        <v>172</v>
      </c>
      <c r="R12" s="12">
        <v>57</v>
      </c>
      <c r="S12" s="12">
        <v>149</v>
      </c>
      <c r="T12" s="12">
        <v>161</v>
      </c>
      <c r="U12" s="12">
        <v>151</v>
      </c>
      <c r="V12" s="12">
        <v>154</v>
      </c>
      <c r="W12" s="12">
        <v>82</v>
      </c>
      <c r="X12" s="12">
        <v>270</v>
      </c>
      <c r="Y12" s="12">
        <v>206</v>
      </c>
      <c r="Z12" s="12">
        <v>94</v>
      </c>
      <c r="AA12" s="12">
        <v>117</v>
      </c>
      <c r="AB12" s="12">
        <v>127</v>
      </c>
      <c r="AC12" s="12">
        <v>70</v>
      </c>
      <c r="AD12" s="12">
        <v>219</v>
      </c>
      <c r="AE12" s="12">
        <v>169</v>
      </c>
      <c r="AF12" s="12">
        <v>214</v>
      </c>
    </row>
    <row r="13" spans="1:32" x14ac:dyDescent="0.25">
      <c r="A13" s="19"/>
      <c r="B13" s="13" t="s">
        <v>790</v>
      </c>
      <c r="C13" s="14">
        <v>0.15</v>
      </c>
      <c r="D13" s="14">
        <v>0.15</v>
      </c>
      <c r="E13" s="14">
        <v>0.17</v>
      </c>
      <c r="F13" s="14">
        <v>0.09</v>
      </c>
      <c r="G13" s="14">
        <v>0.18</v>
      </c>
      <c r="H13" s="14">
        <v>0.17</v>
      </c>
      <c r="I13" s="14">
        <v>0.17</v>
      </c>
      <c r="J13" s="14">
        <v>0.15</v>
      </c>
      <c r="K13" s="14">
        <v>0.12</v>
      </c>
      <c r="L13" s="14">
        <v>0.16</v>
      </c>
      <c r="M13" s="14">
        <v>0.24</v>
      </c>
      <c r="N13" s="14">
        <v>0.11</v>
      </c>
      <c r="O13" s="14">
        <v>0.11</v>
      </c>
      <c r="P13" s="14">
        <v>0.11</v>
      </c>
      <c r="Q13" s="14">
        <v>0.17</v>
      </c>
      <c r="R13" s="14">
        <v>0.11</v>
      </c>
      <c r="S13" s="14">
        <v>0.15</v>
      </c>
      <c r="T13" s="14">
        <v>0.16</v>
      </c>
      <c r="U13" s="14">
        <v>0.3</v>
      </c>
      <c r="V13" s="14">
        <v>0.15</v>
      </c>
      <c r="W13" s="14">
        <v>0.16</v>
      </c>
      <c r="X13" s="14">
        <v>0.27</v>
      </c>
      <c r="Y13" s="14">
        <v>0.21</v>
      </c>
      <c r="Z13" s="14">
        <v>0.09</v>
      </c>
      <c r="AA13" s="14">
        <v>0.11</v>
      </c>
      <c r="AB13" s="14">
        <v>0.12</v>
      </c>
      <c r="AC13" s="14">
        <v>7.0000000000000007E-2</v>
      </c>
      <c r="AD13" s="14">
        <v>0.22</v>
      </c>
      <c r="AE13" s="14">
        <v>0.17</v>
      </c>
      <c r="AF13" s="14">
        <v>0.21</v>
      </c>
    </row>
    <row r="14" spans="1:32" x14ac:dyDescent="0.25">
      <c r="A14" s="19"/>
      <c r="B14" s="11" t="s">
        <v>791</v>
      </c>
      <c r="C14" s="12">
        <v>14702</v>
      </c>
      <c r="D14" s="12">
        <v>581</v>
      </c>
      <c r="E14" s="12">
        <v>642</v>
      </c>
      <c r="F14" s="12">
        <v>636</v>
      </c>
      <c r="G14" s="12">
        <v>599</v>
      </c>
      <c r="H14" s="12">
        <v>815</v>
      </c>
      <c r="I14" s="12">
        <v>999</v>
      </c>
      <c r="J14" s="12">
        <v>184</v>
      </c>
      <c r="K14" s="12">
        <v>560</v>
      </c>
      <c r="L14" s="12">
        <v>481</v>
      </c>
      <c r="M14" s="12">
        <v>570</v>
      </c>
      <c r="N14" s="12">
        <v>453</v>
      </c>
      <c r="O14" s="12">
        <v>401</v>
      </c>
      <c r="P14" s="12">
        <v>602</v>
      </c>
      <c r="Q14" s="12">
        <v>591</v>
      </c>
      <c r="R14" s="12">
        <v>226</v>
      </c>
      <c r="S14" s="12">
        <v>516</v>
      </c>
      <c r="T14" s="12">
        <v>613</v>
      </c>
      <c r="U14" s="12">
        <v>281</v>
      </c>
      <c r="V14" s="12">
        <v>671</v>
      </c>
      <c r="W14" s="12">
        <v>281</v>
      </c>
      <c r="X14" s="12">
        <v>535</v>
      </c>
      <c r="Y14" s="12">
        <v>610</v>
      </c>
      <c r="Z14" s="12">
        <v>674</v>
      </c>
      <c r="AA14" s="12">
        <v>450</v>
      </c>
      <c r="AB14" s="12">
        <v>593</v>
      </c>
      <c r="AC14" s="12">
        <v>637</v>
      </c>
      <c r="AD14" s="12">
        <v>645</v>
      </c>
      <c r="AE14" s="12">
        <v>583</v>
      </c>
      <c r="AF14" s="12">
        <v>646</v>
      </c>
    </row>
    <row r="15" spans="1:32" x14ac:dyDescent="0.25">
      <c r="A15" s="19"/>
      <c r="B15" s="13" t="s">
        <v>792</v>
      </c>
      <c r="C15" s="14">
        <v>0.56000000000000005</v>
      </c>
      <c r="D15" s="14">
        <v>0.57000000000000006</v>
      </c>
      <c r="E15" s="14">
        <v>0.61</v>
      </c>
      <c r="F15" s="14">
        <v>0.6</v>
      </c>
      <c r="G15" s="14">
        <v>0.59</v>
      </c>
      <c r="H15" s="14">
        <v>0.66</v>
      </c>
      <c r="I15" s="14">
        <v>0.65</v>
      </c>
      <c r="J15" s="14">
        <v>0.62</v>
      </c>
      <c r="K15" s="14">
        <v>0.56000000000000005</v>
      </c>
      <c r="L15" s="14">
        <v>0.48</v>
      </c>
      <c r="M15" s="14">
        <v>0.56000000000000005</v>
      </c>
      <c r="N15" s="14">
        <v>0.45</v>
      </c>
      <c r="O15" s="14">
        <v>0.4</v>
      </c>
      <c r="P15" s="14">
        <v>0.6</v>
      </c>
      <c r="Q15" s="14">
        <v>0.57000000000000006</v>
      </c>
      <c r="R15" s="14">
        <v>0.45</v>
      </c>
      <c r="S15" s="14">
        <v>0.51</v>
      </c>
      <c r="T15" s="14">
        <v>0.6</v>
      </c>
      <c r="U15" s="14">
        <v>0.55000000000000004</v>
      </c>
      <c r="V15" s="14">
        <v>0.65</v>
      </c>
      <c r="W15" s="14">
        <v>0.56000000000000005</v>
      </c>
      <c r="X15" s="14">
        <v>0.53</v>
      </c>
      <c r="Y15" s="14">
        <v>0.61</v>
      </c>
      <c r="Z15" s="14">
        <v>0.66</v>
      </c>
      <c r="AA15" s="14">
        <v>0.44</v>
      </c>
      <c r="AB15" s="14">
        <v>0.57000000000000006</v>
      </c>
      <c r="AC15" s="14">
        <v>0.63</v>
      </c>
      <c r="AD15" s="14">
        <v>0.64</v>
      </c>
      <c r="AE15" s="14">
        <v>0.57999999999999996</v>
      </c>
      <c r="AF15" s="14">
        <v>0.62</v>
      </c>
    </row>
    <row r="16" spans="1:32" x14ac:dyDescent="0.25">
      <c r="A16" s="19"/>
      <c r="B16" s="11" t="s">
        <v>730</v>
      </c>
      <c r="C16" s="12">
        <v>7816</v>
      </c>
      <c r="D16" s="12">
        <v>286</v>
      </c>
      <c r="E16" s="12">
        <v>222</v>
      </c>
      <c r="F16" s="12">
        <v>332</v>
      </c>
      <c r="G16" s="12">
        <v>232</v>
      </c>
      <c r="H16" s="12">
        <v>202</v>
      </c>
      <c r="I16" s="12">
        <v>270</v>
      </c>
      <c r="J16" s="12">
        <v>68</v>
      </c>
      <c r="K16" s="12">
        <v>318</v>
      </c>
      <c r="L16" s="12">
        <v>365</v>
      </c>
      <c r="M16" s="12">
        <v>198</v>
      </c>
      <c r="N16" s="12">
        <v>450</v>
      </c>
      <c r="O16" s="12">
        <v>492</v>
      </c>
      <c r="P16" s="12">
        <v>292</v>
      </c>
      <c r="Q16" s="12">
        <v>268</v>
      </c>
      <c r="R16" s="12">
        <v>215</v>
      </c>
      <c r="S16" s="12">
        <v>338</v>
      </c>
      <c r="T16" s="12">
        <v>243</v>
      </c>
      <c r="U16" s="12">
        <v>76</v>
      </c>
      <c r="V16" s="12">
        <v>201</v>
      </c>
      <c r="W16" s="12">
        <v>139</v>
      </c>
      <c r="X16" s="12">
        <v>202</v>
      </c>
      <c r="Y16" s="12">
        <v>185</v>
      </c>
      <c r="Z16" s="12">
        <v>237</v>
      </c>
      <c r="AA16" s="12">
        <v>467</v>
      </c>
      <c r="AB16" s="12">
        <v>318</v>
      </c>
      <c r="AC16" s="12">
        <v>296</v>
      </c>
      <c r="AD16" s="12">
        <v>137</v>
      </c>
      <c r="AE16" s="12">
        <v>243</v>
      </c>
      <c r="AF16" s="12">
        <v>172</v>
      </c>
    </row>
    <row r="17" spans="1:32" x14ac:dyDescent="0.25">
      <c r="A17" s="19"/>
      <c r="B17" s="13" t="s">
        <v>731</v>
      </c>
      <c r="C17" s="14">
        <v>0.28999999999999998</v>
      </c>
      <c r="D17" s="14">
        <v>0.28000000000000003</v>
      </c>
      <c r="E17" s="14">
        <v>0.21</v>
      </c>
      <c r="F17" s="14">
        <v>0.31</v>
      </c>
      <c r="G17" s="14">
        <v>0.23</v>
      </c>
      <c r="H17" s="14">
        <v>0.17</v>
      </c>
      <c r="I17" s="14">
        <v>0.18</v>
      </c>
      <c r="J17" s="14">
        <v>0.23</v>
      </c>
      <c r="K17" s="14">
        <v>0.32</v>
      </c>
      <c r="L17" s="14">
        <v>0.36</v>
      </c>
      <c r="M17" s="14">
        <v>0.2</v>
      </c>
      <c r="N17" s="14">
        <v>0.44</v>
      </c>
      <c r="O17" s="14">
        <v>0.49</v>
      </c>
      <c r="P17" s="14">
        <v>0.28999999999999998</v>
      </c>
      <c r="Q17" s="14">
        <v>0.26</v>
      </c>
      <c r="R17" s="14">
        <v>0.43</v>
      </c>
      <c r="S17" s="14">
        <v>0.34</v>
      </c>
      <c r="T17" s="14">
        <v>0.24</v>
      </c>
      <c r="U17" s="14">
        <v>0.15</v>
      </c>
      <c r="V17" s="14">
        <v>0.2</v>
      </c>
      <c r="W17" s="14">
        <v>0.28000000000000003</v>
      </c>
      <c r="X17" s="14">
        <v>0.2</v>
      </c>
      <c r="Y17" s="14">
        <v>0.18</v>
      </c>
      <c r="Z17" s="14">
        <v>0.24</v>
      </c>
      <c r="AA17" s="14">
        <v>0.45</v>
      </c>
      <c r="AB17" s="14">
        <v>0.31</v>
      </c>
      <c r="AC17" s="14">
        <v>0.3</v>
      </c>
      <c r="AD17" s="14">
        <v>0.14000000000000001</v>
      </c>
      <c r="AE17" s="14">
        <v>0.24</v>
      </c>
      <c r="AF17" s="14">
        <v>0.17</v>
      </c>
    </row>
    <row r="18" spans="1:32" x14ac:dyDescent="0.25">
      <c r="A18" s="19"/>
      <c r="B18" s="11" t="s">
        <v>224</v>
      </c>
      <c r="C18" s="12">
        <v>50</v>
      </c>
      <c r="D18" s="12">
        <v>1</v>
      </c>
      <c r="E18" s="12">
        <v>4</v>
      </c>
      <c r="F18" s="12">
        <v>1</v>
      </c>
      <c r="G18" s="12">
        <v>1</v>
      </c>
      <c r="H18" s="12">
        <v>3</v>
      </c>
      <c r="I18" s="12">
        <v>3</v>
      </c>
      <c r="J18" s="12">
        <v>0</v>
      </c>
      <c r="K18" s="12">
        <v>5</v>
      </c>
      <c r="L18" s="12">
        <v>1</v>
      </c>
      <c r="M18" s="12">
        <v>0</v>
      </c>
      <c r="N18" s="12">
        <v>0</v>
      </c>
      <c r="O18" s="12">
        <v>0</v>
      </c>
      <c r="P18" s="12">
        <v>3</v>
      </c>
      <c r="Q18" s="12">
        <v>0</v>
      </c>
      <c r="R18" s="12">
        <v>3</v>
      </c>
      <c r="S18" s="12">
        <v>1</v>
      </c>
      <c r="T18" s="12">
        <v>6</v>
      </c>
      <c r="U18" s="12">
        <v>0</v>
      </c>
      <c r="V18" s="12">
        <v>0</v>
      </c>
      <c r="W18" s="12">
        <v>0</v>
      </c>
      <c r="X18" s="12">
        <v>4</v>
      </c>
      <c r="Y18" s="12">
        <v>2</v>
      </c>
      <c r="Z18" s="12">
        <v>11</v>
      </c>
      <c r="AA18" s="12">
        <v>3</v>
      </c>
      <c r="AB18" s="12">
        <v>3</v>
      </c>
      <c r="AC18" s="12">
        <v>2</v>
      </c>
      <c r="AD18" s="12">
        <v>1</v>
      </c>
      <c r="AE18" s="12">
        <v>6</v>
      </c>
      <c r="AF18" s="12">
        <v>0</v>
      </c>
    </row>
    <row r="19" spans="1:32" x14ac:dyDescent="0.25">
      <c r="A19" s="19"/>
      <c r="B19" s="13" t="s">
        <v>237</v>
      </c>
      <c r="C19" s="15" t="s">
        <v>213</v>
      </c>
      <c r="D19" s="15" t="s">
        <v>213</v>
      </c>
      <c r="E19" s="14">
        <v>0.01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5" t="s">
        <v>213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4">
        <v>0.01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4">
        <v>0.01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4">
        <v>0.01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797</v>
      </c>
      <c r="C3" s="18"/>
      <c r="D3" s="18"/>
      <c r="E3" s="18"/>
      <c r="F3" s="18"/>
      <c r="H3" s="18" t="s">
        <v>798</v>
      </c>
      <c r="I3" s="18"/>
      <c r="J3" s="18"/>
      <c r="K3" s="18"/>
      <c r="L3" s="18"/>
    </row>
    <row r="4" spans="1:32" ht="27" customHeight="1" x14ac:dyDescent="0.25">
      <c r="B4" s="18" t="s">
        <v>799</v>
      </c>
      <c r="C4" s="18"/>
      <c r="D4" s="18"/>
      <c r="E4" s="18"/>
      <c r="F4" s="18"/>
      <c r="H4" s="18" t="s">
        <v>800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HYPERLINK("#Content!A80","&lt;&lt;Back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789</v>
      </c>
      <c r="C12" s="12">
        <v>5568</v>
      </c>
      <c r="D12" s="12">
        <v>197</v>
      </c>
      <c r="E12" s="12">
        <v>317</v>
      </c>
      <c r="F12" s="12">
        <v>166</v>
      </c>
      <c r="G12" s="12">
        <v>237</v>
      </c>
      <c r="H12" s="12">
        <v>370</v>
      </c>
      <c r="I12" s="12">
        <v>471</v>
      </c>
      <c r="J12" s="12">
        <v>100</v>
      </c>
      <c r="K12" s="12">
        <v>206</v>
      </c>
      <c r="L12" s="12">
        <v>253</v>
      </c>
      <c r="M12" s="12">
        <v>332</v>
      </c>
      <c r="N12" s="12">
        <v>154</v>
      </c>
      <c r="O12" s="12">
        <v>140</v>
      </c>
      <c r="P12" s="12">
        <v>262</v>
      </c>
      <c r="Q12" s="12">
        <v>216</v>
      </c>
      <c r="R12" s="12">
        <v>131</v>
      </c>
      <c r="S12" s="12">
        <v>231</v>
      </c>
      <c r="T12" s="12">
        <v>185</v>
      </c>
      <c r="U12" s="12">
        <v>113</v>
      </c>
      <c r="V12" s="12">
        <v>180</v>
      </c>
      <c r="W12" s="12">
        <v>164</v>
      </c>
      <c r="X12" s="12">
        <v>237</v>
      </c>
      <c r="Y12" s="12">
        <v>268</v>
      </c>
      <c r="Z12" s="12">
        <v>139</v>
      </c>
      <c r="AA12" s="12">
        <v>144</v>
      </c>
      <c r="AB12" s="12">
        <v>243</v>
      </c>
      <c r="AC12" s="12">
        <v>139</v>
      </c>
      <c r="AD12" s="12">
        <v>196</v>
      </c>
      <c r="AE12" s="12">
        <v>247</v>
      </c>
      <c r="AF12" s="12">
        <v>235</v>
      </c>
    </row>
    <row r="13" spans="1:32" x14ac:dyDescent="0.25">
      <c r="A13" s="19"/>
      <c r="B13" s="13" t="s">
        <v>790</v>
      </c>
      <c r="C13" s="14">
        <v>0.21</v>
      </c>
      <c r="D13" s="14">
        <v>0.19</v>
      </c>
      <c r="E13" s="14">
        <v>0.3</v>
      </c>
      <c r="F13" s="14">
        <v>0.16</v>
      </c>
      <c r="G13" s="14">
        <v>0.23</v>
      </c>
      <c r="H13" s="14">
        <v>0.3</v>
      </c>
      <c r="I13" s="14">
        <v>0.31</v>
      </c>
      <c r="J13" s="14">
        <v>0.34</v>
      </c>
      <c r="K13" s="14">
        <v>0.2</v>
      </c>
      <c r="L13" s="14">
        <v>0.25</v>
      </c>
      <c r="M13" s="14">
        <v>0.33</v>
      </c>
      <c r="N13" s="14">
        <v>0.15</v>
      </c>
      <c r="O13" s="14">
        <v>0.14000000000000001</v>
      </c>
      <c r="P13" s="14">
        <v>0.26</v>
      </c>
      <c r="Q13" s="14">
        <v>0.21</v>
      </c>
      <c r="R13" s="14">
        <v>0.26</v>
      </c>
      <c r="S13" s="14">
        <v>0.23</v>
      </c>
      <c r="T13" s="14">
        <v>0.18</v>
      </c>
      <c r="U13" s="14">
        <v>0.22</v>
      </c>
      <c r="V13" s="14">
        <v>0.18</v>
      </c>
      <c r="W13" s="14">
        <v>0.33</v>
      </c>
      <c r="X13" s="14">
        <v>0.24</v>
      </c>
      <c r="Y13" s="14">
        <v>0.27</v>
      </c>
      <c r="Z13" s="14">
        <v>0.14000000000000001</v>
      </c>
      <c r="AA13" s="14">
        <v>0.14000000000000001</v>
      </c>
      <c r="AB13" s="14">
        <v>0.23</v>
      </c>
      <c r="AC13" s="14">
        <v>0.14000000000000001</v>
      </c>
      <c r="AD13" s="14">
        <v>0.2</v>
      </c>
      <c r="AE13" s="14">
        <v>0.25</v>
      </c>
      <c r="AF13" s="14">
        <v>0.23</v>
      </c>
    </row>
    <row r="14" spans="1:32" x14ac:dyDescent="0.25">
      <c r="A14" s="19"/>
      <c r="B14" s="11" t="s">
        <v>791</v>
      </c>
      <c r="C14" s="12">
        <v>14610</v>
      </c>
      <c r="D14" s="12">
        <v>576</v>
      </c>
      <c r="E14" s="12">
        <v>625</v>
      </c>
      <c r="F14" s="12">
        <v>633</v>
      </c>
      <c r="G14" s="12">
        <v>565</v>
      </c>
      <c r="H14" s="12">
        <v>702</v>
      </c>
      <c r="I14" s="12">
        <v>876</v>
      </c>
      <c r="J14" s="12">
        <v>174</v>
      </c>
      <c r="K14" s="12">
        <v>554</v>
      </c>
      <c r="L14" s="12">
        <v>505</v>
      </c>
      <c r="M14" s="12">
        <v>554</v>
      </c>
      <c r="N14" s="12">
        <v>513</v>
      </c>
      <c r="O14" s="12">
        <v>439</v>
      </c>
      <c r="P14" s="12">
        <v>563</v>
      </c>
      <c r="Q14" s="12">
        <v>584</v>
      </c>
      <c r="R14" s="12">
        <v>230</v>
      </c>
      <c r="S14" s="12">
        <v>540</v>
      </c>
      <c r="T14" s="12">
        <v>615</v>
      </c>
      <c r="U14" s="12">
        <v>242</v>
      </c>
      <c r="V14" s="12">
        <v>681</v>
      </c>
      <c r="W14" s="12">
        <v>247</v>
      </c>
      <c r="X14" s="12">
        <v>535</v>
      </c>
      <c r="Y14" s="12">
        <v>525</v>
      </c>
      <c r="Z14" s="12">
        <v>681</v>
      </c>
      <c r="AA14" s="12">
        <v>591</v>
      </c>
      <c r="AB14" s="12">
        <v>598</v>
      </c>
      <c r="AC14" s="12">
        <v>678</v>
      </c>
      <c r="AD14" s="12">
        <v>676</v>
      </c>
      <c r="AE14" s="12">
        <v>561</v>
      </c>
      <c r="AF14" s="12">
        <v>609</v>
      </c>
    </row>
    <row r="15" spans="1:32" x14ac:dyDescent="0.25">
      <c r="A15" s="19"/>
      <c r="B15" s="13" t="s">
        <v>792</v>
      </c>
      <c r="C15" s="14">
        <v>0.55000000000000004</v>
      </c>
      <c r="D15" s="14">
        <v>0.57000000000000006</v>
      </c>
      <c r="E15" s="14">
        <v>0.6</v>
      </c>
      <c r="F15" s="14">
        <v>0.59</v>
      </c>
      <c r="G15" s="14">
        <v>0.56000000000000005</v>
      </c>
      <c r="H15" s="14">
        <v>0.57000000000000006</v>
      </c>
      <c r="I15" s="14">
        <v>0.57000000000000006</v>
      </c>
      <c r="J15" s="14">
        <v>0.57999999999999996</v>
      </c>
      <c r="K15" s="14">
        <v>0.55000000000000004</v>
      </c>
      <c r="L15" s="14">
        <v>0.5</v>
      </c>
      <c r="M15" s="14">
        <v>0.55000000000000004</v>
      </c>
      <c r="N15" s="14">
        <v>0.51</v>
      </c>
      <c r="O15" s="14">
        <v>0.44</v>
      </c>
      <c r="P15" s="14">
        <v>0.56000000000000005</v>
      </c>
      <c r="Q15" s="14">
        <v>0.57000000000000006</v>
      </c>
      <c r="R15" s="14">
        <v>0.46</v>
      </c>
      <c r="S15" s="14">
        <v>0.54</v>
      </c>
      <c r="T15" s="14">
        <v>0.6</v>
      </c>
      <c r="U15" s="14">
        <v>0.48</v>
      </c>
      <c r="V15" s="14">
        <v>0.66</v>
      </c>
      <c r="W15" s="14">
        <v>0.49</v>
      </c>
      <c r="X15" s="14">
        <v>0.53</v>
      </c>
      <c r="Y15" s="14">
        <v>0.52</v>
      </c>
      <c r="Z15" s="14">
        <v>0.67</v>
      </c>
      <c r="AA15" s="14">
        <v>0.57000000000000006</v>
      </c>
      <c r="AB15" s="14">
        <v>0.57999999999999996</v>
      </c>
      <c r="AC15" s="14">
        <v>0.67</v>
      </c>
      <c r="AD15" s="14">
        <v>0.67</v>
      </c>
      <c r="AE15" s="14">
        <v>0.56000000000000005</v>
      </c>
      <c r="AF15" s="14">
        <v>0.59</v>
      </c>
    </row>
    <row r="16" spans="1:32" x14ac:dyDescent="0.25">
      <c r="A16" s="19"/>
      <c r="B16" s="11" t="s">
        <v>730</v>
      </c>
      <c r="C16" s="12">
        <v>6227</v>
      </c>
      <c r="D16" s="12">
        <v>245</v>
      </c>
      <c r="E16" s="12">
        <v>99</v>
      </c>
      <c r="F16" s="12">
        <v>265</v>
      </c>
      <c r="G16" s="12">
        <v>213</v>
      </c>
      <c r="H16" s="12">
        <v>154</v>
      </c>
      <c r="I16" s="12">
        <v>177</v>
      </c>
      <c r="J16" s="12">
        <v>23</v>
      </c>
      <c r="K16" s="12">
        <v>240</v>
      </c>
      <c r="L16" s="12">
        <v>247</v>
      </c>
      <c r="M16" s="12">
        <v>121</v>
      </c>
      <c r="N16" s="12">
        <v>343</v>
      </c>
      <c r="O16" s="12">
        <v>425</v>
      </c>
      <c r="P16" s="12">
        <v>177</v>
      </c>
      <c r="Q16" s="12">
        <v>230</v>
      </c>
      <c r="R16" s="12">
        <v>139</v>
      </c>
      <c r="S16" s="12">
        <v>232</v>
      </c>
      <c r="T16" s="12">
        <v>221</v>
      </c>
      <c r="U16" s="12">
        <v>153</v>
      </c>
      <c r="V16" s="12">
        <v>165</v>
      </c>
      <c r="W16" s="12">
        <v>91</v>
      </c>
      <c r="X16" s="12">
        <v>235</v>
      </c>
      <c r="Y16" s="12">
        <v>209</v>
      </c>
      <c r="Z16" s="12">
        <v>188</v>
      </c>
      <c r="AA16" s="12">
        <v>300</v>
      </c>
      <c r="AB16" s="12">
        <v>197</v>
      </c>
      <c r="AC16" s="12">
        <v>186</v>
      </c>
      <c r="AD16" s="12">
        <v>130</v>
      </c>
      <c r="AE16" s="12">
        <v>187</v>
      </c>
      <c r="AF16" s="12">
        <v>188</v>
      </c>
    </row>
    <row r="17" spans="1:32" x14ac:dyDescent="0.25">
      <c r="A17" s="19"/>
      <c r="B17" s="13" t="s">
        <v>731</v>
      </c>
      <c r="C17" s="14">
        <v>0.24</v>
      </c>
      <c r="D17" s="14">
        <v>0.24</v>
      </c>
      <c r="E17" s="14">
        <v>0.09</v>
      </c>
      <c r="F17" s="14">
        <v>0.25</v>
      </c>
      <c r="G17" s="14">
        <v>0.21</v>
      </c>
      <c r="H17" s="14">
        <v>0.13</v>
      </c>
      <c r="I17" s="14">
        <v>0.12</v>
      </c>
      <c r="J17" s="14">
        <v>0.08</v>
      </c>
      <c r="K17" s="14">
        <v>0.24</v>
      </c>
      <c r="L17" s="14">
        <v>0.25</v>
      </c>
      <c r="M17" s="14">
        <v>0.12</v>
      </c>
      <c r="N17" s="14">
        <v>0.34</v>
      </c>
      <c r="O17" s="14">
        <v>0.42</v>
      </c>
      <c r="P17" s="14">
        <v>0.18</v>
      </c>
      <c r="Q17" s="14">
        <v>0.22</v>
      </c>
      <c r="R17" s="14">
        <v>0.28000000000000003</v>
      </c>
      <c r="S17" s="14">
        <v>0.23</v>
      </c>
      <c r="T17" s="14">
        <v>0.22</v>
      </c>
      <c r="U17" s="14">
        <v>0.3</v>
      </c>
      <c r="V17" s="14">
        <v>0.16</v>
      </c>
      <c r="W17" s="14">
        <v>0.18</v>
      </c>
      <c r="X17" s="14">
        <v>0.23</v>
      </c>
      <c r="Y17" s="14">
        <v>0.21</v>
      </c>
      <c r="Z17" s="14">
        <v>0.18</v>
      </c>
      <c r="AA17" s="14">
        <v>0.28999999999999998</v>
      </c>
      <c r="AB17" s="14">
        <v>0.19</v>
      </c>
      <c r="AC17" s="14">
        <v>0.19</v>
      </c>
      <c r="AD17" s="14">
        <v>0.13</v>
      </c>
      <c r="AE17" s="14">
        <v>0.19</v>
      </c>
      <c r="AF17" s="14">
        <v>0.18</v>
      </c>
    </row>
    <row r="18" spans="1:32" x14ac:dyDescent="0.25">
      <c r="A18" s="19"/>
      <c r="B18" s="11" t="s">
        <v>224</v>
      </c>
      <c r="C18" s="12">
        <v>48</v>
      </c>
      <c r="D18" s="12">
        <v>3</v>
      </c>
      <c r="E18" s="12">
        <v>5</v>
      </c>
      <c r="F18" s="12">
        <v>0</v>
      </c>
      <c r="G18" s="12">
        <v>1</v>
      </c>
      <c r="H18" s="12">
        <v>3</v>
      </c>
      <c r="I18" s="12">
        <v>3</v>
      </c>
      <c r="J18" s="12">
        <v>0</v>
      </c>
      <c r="K18" s="12">
        <v>6</v>
      </c>
      <c r="L18" s="12">
        <v>1</v>
      </c>
      <c r="M18" s="12">
        <v>0</v>
      </c>
      <c r="N18" s="12">
        <v>1</v>
      </c>
      <c r="O18" s="12">
        <v>0</v>
      </c>
      <c r="P18" s="12">
        <v>1</v>
      </c>
      <c r="Q18" s="12">
        <v>0</v>
      </c>
      <c r="R18" s="12">
        <v>1</v>
      </c>
      <c r="S18" s="12">
        <v>1</v>
      </c>
      <c r="T18" s="12">
        <v>2</v>
      </c>
      <c r="U18" s="12">
        <v>1</v>
      </c>
      <c r="V18" s="12">
        <v>0</v>
      </c>
      <c r="W18" s="12">
        <v>0</v>
      </c>
      <c r="X18" s="12">
        <v>4</v>
      </c>
      <c r="Y18" s="12">
        <v>1</v>
      </c>
      <c r="Z18" s="12">
        <v>9</v>
      </c>
      <c r="AA18" s="12">
        <v>2</v>
      </c>
      <c r="AB18" s="12">
        <v>2</v>
      </c>
      <c r="AC18" s="12">
        <v>2</v>
      </c>
      <c r="AD18" s="12">
        <v>1</v>
      </c>
      <c r="AE18" s="12">
        <v>6</v>
      </c>
      <c r="AF18" s="12">
        <v>0</v>
      </c>
    </row>
    <row r="19" spans="1:32" x14ac:dyDescent="0.25">
      <c r="A19" s="19"/>
      <c r="B19" s="13" t="s">
        <v>237</v>
      </c>
      <c r="C19" s="15" t="s">
        <v>213</v>
      </c>
      <c r="D19" s="15" t="s">
        <v>213</v>
      </c>
      <c r="E19" s="14">
        <v>0.01</v>
      </c>
      <c r="F19" s="15" t="s">
        <v>213</v>
      </c>
      <c r="G19" s="15" t="s">
        <v>213</v>
      </c>
      <c r="H19" s="15" t="s">
        <v>213</v>
      </c>
      <c r="I19" s="15" t="s">
        <v>213</v>
      </c>
      <c r="J19" s="15" t="s">
        <v>213</v>
      </c>
      <c r="K19" s="14">
        <v>0.01</v>
      </c>
      <c r="L19" s="15" t="s">
        <v>213</v>
      </c>
      <c r="M19" s="15" t="s">
        <v>213</v>
      </c>
      <c r="N19" s="15" t="s">
        <v>213</v>
      </c>
      <c r="O19" s="15" t="s">
        <v>213</v>
      </c>
      <c r="P19" s="15" t="s">
        <v>213</v>
      </c>
      <c r="Q19" s="15" t="s">
        <v>213</v>
      </c>
      <c r="R19" s="15" t="s">
        <v>213</v>
      </c>
      <c r="S19" s="15" t="s">
        <v>213</v>
      </c>
      <c r="T19" s="15" t="s">
        <v>213</v>
      </c>
      <c r="U19" s="15" t="s">
        <v>213</v>
      </c>
      <c r="V19" s="15" t="s">
        <v>213</v>
      </c>
      <c r="W19" s="15" t="s">
        <v>213</v>
      </c>
      <c r="X19" s="15" t="s">
        <v>213</v>
      </c>
      <c r="Y19" s="15" t="s">
        <v>213</v>
      </c>
      <c r="Z19" s="14">
        <v>0.01</v>
      </c>
      <c r="AA19" s="15" t="s">
        <v>213</v>
      </c>
      <c r="AB19" s="15" t="s">
        <v>213</v>
      </c>
      <c r="AC19" s="15" t="s">
        <v>213</v>
      </c>
      <c r="AD19" s="15" t="s">
        <v>213</v>
      </c>
      <c r="AE19" s="15" t="s">
        <v>213</v>
      </c>
      <c r="AF19" s="15" t="s">
        <v>213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F1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159</v>
      </c>
      <c r="C3" s="18"/>
      <c r="D3" s="18"/>
      <c r="E3" s="18"/>
      <c r="F3" s="18"/>
      <c r="H3" s="18" t="s">
        <v>160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HYPERLINK("#Content!A81","&lt;&lt;Back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801</v>
      </c>
      <c r="C12" s="12">
        <v>4626</v>
      </c>
      <c r="D12" s="12">
        <v>157</v>
      </c>
      <c r="E12" s="12">
        <v>259</v>
      </c>
      <c r="F12" s="12">
        <v>125</v>
      </c>
      <c r="G12" s="12">
        <v>224</v>
      </c>
      <c r="H12" s="12">
        <v>273</v>
      </c>
      <c r="I12" s="12">
        <v>341</v>
      </c>
      <c r="J12" s="12">
        <v>68</v>
      </c>
      <c r="K12" s="12">
        <v>154</v>
      </c>
      <c r="L12" s="12">
        <v>208</v>
      </c>
      <c r="M12" s="12">
        <v>314</v>
      </c>
      <c r="N12" s="12">
        <v>142</v>
      </c>
      <c r="O12" s="12">
        <v>124</v>
      </c>
      <c r="P12" s="12">
        <v>139</v>
      </c>
      <c r="Q12" s="12">
        <v>189</v>
      </c>
      <c r="R12" s="12">
        <v>87</v>
      </c>
      <c r="S12" s="12">
        <v>169</v>
      </c>
      <c r="T12" s="12">
        <v>152</v>
      </c>
      <c r="U12" s="12">
        <v>117</v>
      </c>
      <c r="V12" s="12">
        <v>170</v>
      </c>
      <c r="W12" s="12">
        <v>119</v>
      </c>
      <c r="X12" s="12">
        <v>285</v>
      </c>
      <c r="Y12" s="12">
        <v>245</v>
      </c>
      <c r="Z12" s="12">
        <v>108</v>
      </c>
      <c r="AA12" s="12">
        <v>136</v>
      </c>
      <c r="AB12" s="12">
        <v>124</v>
      </c>
      <c r="AC12" s="12">
        <v>97</v>
      </c>
      <c r="AD12" s="12">
        <v>214</v>
      </c>
      <c r="AE12" s="12">
        <v>199</v>
      </c>
      <c r="AF12" s="12">
        <v>241</v>
      </c>
    </row>
    <row r="13" spans="1:32" x14ac:dyDescent="0.25">
      <c r="A13" s="19"/>
      <c r="B13" s="13" t="s">
        <v>801</v>
      </c>
      <c r="C13" s="14">
        <v>0.17</v>
      </c>
      <c r="D13" s="14">
        <v>0.16</v>
      </c>
      <c r="E13" s="14">
        <v>0.25</v>
      </c>
      <c r="F13" s="14">
        <v>0.12</v>
      </c>
      <c r="G13" s="14">
        <v>0.22</v>
      </c>
      <c r="H13" s="14">
        <v>0.22</v>
      </c>
      <c r="I13" s="14">
        <v>0.22</v>
      </c>
      <c r="J13" s="14">
        <v>0.23</v>
      </c>
      <c r="K13" s="14">
        <v>0.15</v>
      </c>
      <c r="L13" s="14">
        <v>0.21</v>
      </c>
      <c r="M13" s="14">
        <v>0.31</v>
      </c>
      <c r="N13" s="14">
        <v>0.14000000000000001</v>
      </c>
      <c r="O13" s="14">
        <v>0.12</v>
      </c>
      <c r="P13" s="14">
        <v>0.14000000000000001</v>
      </c>
      <c r="Q13" s="14">
        <v>0.18</v>
      </c>
      <c r="R13" s="14">
        <v>0.18</v>
      </c>
      <c r="S13" s="14">
        <v>0.17</v>
      </c>
      <c r="T13" s="14">
        <v>0.15</v>
      </c>
      <c r="U13" s="14">
        <v>0.23</v>
      </c>
      <c r="V13" s="14">
        <v>0.16</v>
      </c>
      <c r="W13" s="14">
        <v>0.23</v>
      </c>
      <c r="X13" s="14">
        <v>0.28000000000000003</v>
      </c>
      <c r="Y13" s="14">
        <v>0.24</v>
      </c>
      <c r="Z13" s="14">
        <v>0.11</v>
      </c>
      <c r="AA13" s="14">
        <v>0.13</v>
      </c>
      <c r="AB13" s="14">
        <v>0.12</v>
      </c>
      <c r="AC13" s="14">
        <v>0.1</v>
      </c>
      <c r="AD13" s="14">
        <v>0.21</v>
      </c>
      <c r="AE13" s="14">
        <v>0.2</v>
      </c>
      <c r="AF13" s="14">
        <v>0.24</v>
      </c>
    </row>
    <row r="14" spans="1:32" x14ac:dyDescent="0.25">
      <c r="A14" s="19"/>
      <c r="B14" s="11" t="s">
        <v>802</v>
      </c>
      <c r="C14" s="12">
        <v>13197</v>
      </c>
      <c r="D14" s="12">
        <v>533</v>
      </c>
      <c r="E14" s="12">
        <v>574</v>
      </c>
      <c r="F14" s="12">
        <v>572</v>
      </c>
      <c r="G14" s="12">
        <v>477</v>
      </c>
      <c r="H14" s="12">
        <v>725</v>
      </c>
      <c r="I14" s="12">
        <v>885</v>
      </c>
      <c r="J14" s="12">
        <v>160</v>
      </c>
      <c r="K14" s="12">
        <v>494</v>
      </c>
      <c r="L14" s="12">
        <v>424</v>
      </c>
      <c r="M14" s="12">
        <v>490</v>
      </c>
      <c r="N14" s="12">
        <v>399</v>
      </c>
      <c r="O14" s="12">
        <v>359</v>
      </c>
      <c r="P14" s="12">
        <v>557</v>
      </c>
      <c r="Q14" s="12">
        <v>534</v>
      </c>
      <c r="R14" s="12">
        <v>191</v>
      </c>
      <c r="S14" s="12">
        <v>477</v>
      </c>
      <c r="T14" s="12">
        <v>585</v>
      </c>
      <c r="U14" s="12">
        <v>234</v>
      </c>
      <c r="V14" s="12">
        <v>611</v>
      </c>
      <c r="W14" s="12">
        <v>239</v>
      </c>
      <c r="X14" s="12">
        <v>463</v>
      </c>
      <c r="Y14" s="12">
        <v>509</v>
      </c>
      <c r="Z14" s="12">
        <v>641</v>
      </c>
      <c r="AA14" s="12">
        <v>402</v>
      </c>
      <c r="AB14" s="12">
        <v>581</v>
      </c>
      <c r="AC14" s="12">
        <v>590</v>
      </c>
      <c r="AD14" s="12">
        <v>608</v>
      </c>
      <c r="AE14" s="12">
        <v>506</v>
      </c>
      <c r="AF14" s="12">
        <v>537</v>
      </c>
    </row>
    <row r="15" spans="1:32" x14ac:dyDescent="0.25">
      <c r="A15" s="19"/>
      <c r="B15" s="13" t="s">
        <v>802</v>
      </c>
      <c r="C15" s="14">
        <v>0.5</v>
      </c>
      <c r="D15" s="14">
        <v>0.52</v>
      </c>
      <c r="E15" s="14">
        <v>0.55000000000000004</v>
      </c>
      <c r="F15" s="14">
        <v>0.54</v>
      </c>
      <c r="G15" s="14">
        <v>0.47</v>
      </c>
      <c r="H15" s="14">
        <v>0.59</v>
      </c>
      <c r="I15" s="14">
        <v>0.57999999999999996</v>
      </c>
      <c r="J15" s="14">
        <v>0.54</v>
      </c>
      <c r="K15" s="14">
        <v>0.49</v>
      </c>
      <c r="L15" s="14">
        <v>0.42</v>
      </c>
      <c r="M15" s="14">
        <v>0.49</v>
      </c>
      <c r="N15" s="14">
        <v>0.39</v>
      </c>
      <c r="O15" s="14">
        <v>0.36</v>
      </c>
      <c r="P15" s="14">
        <v>0.56000000000000005</v>
      </c>
      <c r="Q15" s="14">
        <v>0.52</v>
      </c>
      <c r="R15" s="14">
        <v>0.38</v>
      </c>
      <c r="S15" s="14">
        <v>0.48</v>
      </c>
      <c r="T15" s="14">
        <v>0.57000000000000006</v>
      </c>
      <c r="U15" s="14">
        <v>0.46</v>
      </c>
      <c r="V15" s="14">
        <v>0.6</v>
      </c>
      <c r="W15" s="14">
        <v>0.48</v>
      </c>
      <c r="X15" s="14">
        <v>0.46</v>
      </c>
      <c r="Y15" s="14">
        <v>0.51</v>
      </c>
      <c r="Z15" s="14">
        <v>0.63</v>
      </c>
      <c r="AA15" s="14">
        <v>0.39</v>
      </c>
      <c r="AB15" s="14">
        <v>0.56000000000000005</v>
      </c>
      <c r="AC15" s="14">
        <v>0.59</v>
      </c>
      <c r="AD15" s="14">
        <v>0.61</v>
      </c>
      <c r="AE15" s="14">
        <v>0.5</v>
      </c>
      <c r="AF15" s="14">
        <v>0.52</v>
      </c>
    </row>
    <row r="16" spans="1:32" x14ac:dyDescent="0.25">
      <c r="A16" s="19"/>
      <c r="B16" s="11" t="s">
        <v>213</v>
      </c>
      <c r="C16" s="12">
        <v>4930</v>
      </c>
      <c r="D16" s="12">
        <v>174</v>
      </c>
      <c r="E16" s="12">
        <v>137</v>
      </c>
      <c r="F16" s="12">
        <v>187</v>
      </c>
      <c r="G16" s="12">
        <v>232</v>
      </c>
      <c r="H16" s="12">
        <v>179</v>
      </c>
      <c r="I16" s="12">
        <v>236</v>
      </c>
      <c r="J16" s="12">
        <v>57</v>
      </c>
      <c r="K16" s="12">
        <v>197</v>
      </c>
      <c r="L16" s="12">
        <v>178</v>
      </c>
      <c r="M16" s="12">
        <v>120</v>
      </c>
      <c r="N16" s="12">
        <v>197</v>
      </c>
      <c r="O16" s="12">
        <v>263</v>
      </c>
      <c r="P16" s="12">
        <v>161</v>
      </c>
      <c r="Q16" s="12">
        <v>185</v>
      </c>
      <c r="R16" s="12">
        <v>96</v>
      </c>
      <c r="S16" s="12">
        <v>175</v>
      </c>
      <c r="T16" s="12">
        <v>129</v>
      </c>
      <c r="U16" s="12">
        <v>105</v>
      </c>
      <c r="V16" s="12">
        <v>160</v>
      </c>
      <c r="W16" s="12">
        <v>84</v>
      </c>
      <c r="X16" s="12">
        <v>220</v>
      </c>
      <c r="Y16" s="12">
        <v>150</v>
      </c>
      <c r="Z16" s="12">
        <v>140</v>
      </c>
      <c r="AA16" s="12">
        <v>240</v>
      </c>
      <c r="AB16" s="12">
        <v>234</v>
      </c>
      <c r="AC16" s="12">
        <v>173</v>
      </c>
      <c r="AD16" s="12">
        <v>100</v>
      </c>
      <c r="AE16" s="12">
        <v>197</v>
      </c>
      <c r="AF16" s="12">
        <v>208</v>
      </c>
    </row>
    <row r="17" spans="1:32" x14ac:dyDescent="0.25">
      <c r="A17" s="19"/>
      <c r="B17" s="13" t="s">
        <v>213</v>
      </c>
      <c r="C17" s="14">
        <v>0.19</v>
      </c>
      <c r="D17" s="14">
        <v>0.17</v>
      </c>
      <c r="E17" s="14">
        <v>0.13</v>
      </c>
      <c r="F17" s="14">
        <v>0.17</v>
      </c>
      <c r="G17" s="14">
        <v>0.23</v>
      </c>
      <c r="H17" s="14">
        <v>0.15</v>
      </c>
      <c r="I17" s="14">
        <v>0.16</v>
      </c>
      <c r="J17" s="14">
        <v>0.19</v>
      </c>
      <c r="K17" s="14">
        <v>0.2</v>
      </c>
      <c r="L17" s="14">
        <v>0.18</v>
      </c>
      <c r="M17" s="14">
        <v>0.12</v>
      </c>
      <c r="N17" s="14">
        <v>0.2</v>
      </c>
      <c r="O17" s="14">
        <v>0.26</v>
      </c>
      <c r="P17" s="14">
        <v>0.16</v>
      </c>
      <c r="Q17" s="14">
        <v>0.18</v>
      </c>
      <c r="R17" s="14">
        <v>0.19</v>
      </c>
      <c r="S17" s="14">
        <v>0.17</v>
      </c>
      <c r="T17" s="14">
        <v>0.13</v>
      </c>
      <c r="U17" s="14">
        <v>0.21</v>
      </c>
      <c r="V17" s="14">
        <v>0.16</v>
      </c>
      <c r="W17" s="14">
        <v>0.17</v>
      </c>
      <c r="X17" s="14">
        <v>0.22</v>
      </c>
      <c r="Y17" s="14">
        <v>0.15</v>
      </c>
      <c r="Z17" s="14">
        <v>0.14000000000000001</v>
      </c>
      <c r="AA17" s="14">
        <v>0.23</v>
      </c>
      <c r="AB17" s="14">
        <v>0.22</v>
      </c>
      <c r="AC17" s="14">
        <v>0.17</v>
      </c>
      <c r="AD17" s="14">
        <v>0.1</v>
      </c>
      <c r="AE17" s="14">
        <v>0.2</v>
      </c>
      <c r="AF17" s="14">
        <v>0.2</v>
      </c>
    </row>
    <row r="18" spans="1:32" x14ac:dyDescent="0.25">
      <c r="A18" s="19"/>
      <c r="B18" s="11" t="s">
        <v>803</v>
      </c>
      <c r="C18" s="12">
        <v>3700</v>
      </c>
      <c r="D18" s="12">
        <v>157</v>
      </c>
      <c r="E18" s="12">
        <v>76</v>
      </c>
      <c r="F18" s="12">
        <v>180</v>
      </c>
      <c r="G18" s="12">
        <v>83</v>
      </c>
      <c r="H18" s="12">
        <v>53</v>
      </c>
      <c r="I18" s="12">
        <v>65</v>
      </c>
      <c r="J18" s="12">
        <v>12</v>
      </c>
      <c r="K18" s="12">
        <v>160</v>
      </c>
      <c r="L18" s="12">
        <v>195</v>
      </c>
      <c r="M18" s="12">
        <v>82</v>
      </c>
      <c r="N18" s="12">
        <v>272</v>
      </c>
      <c r="O18" s="12">
        <v>258</v>
      </c>
      <c r="P18" s="12">
        <v>145</v>
      </c>
      <c r="Q18" s="12">
        <v>122</v>
      </c>
      <c r="R18" s="12">
        <v>127</v>
      </c>
      <c r="S18" s="12">
        <v>183</v>
      </c>
      <c r="T18" s="12">
        <v>156</v>
      </c>
      <c r="U18" s="12">
        <v>52</v>
      </c>
      <c r="V18" s="12">
        <v>85</v>
      </c>
      <c r="W18" s="12">
        <v>60</v>
      </c>
      <c r="X18" s="12">
        <v>43</v>
      </c>
      <c r="Y18" s="12">
        <v>99</v>
      </c>
      <c r="Z18" s="12">
        <v>128</v>
      </c>
      <c r="AA18" s="12">
        <v>260</v>
      </c>
      <c r="AB18" s="12">
        <v>102</v>
      </c>
      <c r="AC18" s="12">
        <v>145</v>
      </c>
      <c r="AD18" s="12">
        <v>81</v>
      </c>
      <c r="AE18" s="12">
        <v>98</v>
      </c>
      <c r="AF18" s="12">
        <v>45</v>
      </c>
    </row>
    <row r="19" spans="1:32" x14ac:dyDescent="0.25">
      <c r="A19" s="19"/>
      <c r="B19" s="13" t="s">
        <v>803</v>
      </c>
      <c r="C19" s="14">
        <v>0.14000000000000001</v>
      </c>
      <c r="D19" s="14">
        <v>0.15</v>
      </c>
      <c r="E19" s="14">
        <v>7.0000000000000007E-2</v>
      </c>
      <c r="F19" s="14">
        <v>0.17</v>
      </c>
      <c r="G19" s="14">
        <v>0.08</v>
      </c>
      <c r="H19" s="14">
        <v>0.04</v>
      </c>
      <c r="I19" s="14">
        <v>0.04</v>
      </c>
      <c r="J19" s="14">
        <v>0.04</v>
      </c>
      <c r="K19" s="14">
        <v>0.16</v>
      </c>
      <c r="L19" s="14">
        <v>0.19</v>
      </c>
      <c r="M19" s="14">
        <v>0.08</v>
      </c>
      <c r="N19" s="14">
        <v>0.27</v>
      </c>
      <c r="O19" s="14">
        <v>0.26</v>
      </c>
      <c r="P19" s="14">
        <v>0.14000000000000001</v>
      </c>
      <c r="Q19" s="14">
        <v>0.12</v>
      </c>
      <c r="R19" s="14">
        <v>0.25</v>
      </c>
      <c r="S19" s="14">
        <v>0.18</v>
      </c>
      <c r="T19" s="14">
        <v>0.15</v>
      </c>
      <c r="U19" s="14">
        <v>0.1</v>
      </c>
      <c r="V19" s="14">
        <v>0.08</v>
      </c>
      <c r="W19" s="14">
        <v>0.12</v>
      </c>
      <c r="X19" s="14">
        <v>0.04</v>
      </c>
      <c r="Y19" s="14">
        <v>0.1</v>
      </c>
      <c r="Z19" s="14">
        <v>0.12</v>
      </c>
      <c r="AA19" s="14">
        <v>0.25</v>
      </c>
      <c r="AB19" s="14">
        <v>0.1</v>
      </c>
      <c r="AC19" s="14">
        <v>0.14000000000000001</v>
      </c>
      <c r="AD19" s="14">
        <v>0.08</v>
      </c>
      <c r="AE19" s="14">
        <v>0.1</v>
      </c>
      <c r="AF19" s="14">
        <v>0.04</v>
      </c>
    </row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36" customHeight="1" x14ac:dyDescent="0.25">
      <c r="B3" s="18" t="s">
        <v>161</v>
      </c>
      <c r="C3" s="18"/>
      <c r="D3" s="18"/>
      <c r="E3" s="18"/>
      <c r="F3" s="18"/>
      <c r="H3" s="18" t="s">
        <v>162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HYPERLINK("#Content!A82","&lt;&lt;Back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707</v>
      </c>
      <c r="C12" s="12">
        <v>1684</v>
      </c>
      <c r="D12" s="12">
        <v>49</v>
      </c>
      <c r="E12" s="12">
        <v>48</v>
      </c>
      <c r="F12" s="12">
        <v>58</v>
      </c>
      <c r="G12" s="12">
        <v>453</v>
      </c>
      <c r="H12" s="12">
        <v>89</v>
      </c>
      <c r="I12" s="12">
        <v>102</v>
      </c>
      <c r="J12" s="12">
        <v>13</v>
      </c>
      <c r="K12" s="12">
        <v>71</v>
      </c>
      <c r="L12" s="12">
        <v>203</v>
      </c>
      <c r="M12" s="12">
        <v>13</v>
      </c>
      <c r="N12" s="12">
        <v>42</v>
      </c>
      <c r="O12" s="12">
        <v>42</v>
      </c>
      <c r="P12" s="12">
        <v>46</v>
      </c>
      <c r="Q12" s="12">
        <v>46</v>
      </c>
      <c r="R12" s="12">
        <v>10</v>
      </c>
      <c r="S12" s="12">
        <v>72</v>
      </c>
      <c r="T12" s="12">
        <v>51</v>
      </c>
      <c r="U12" s="12">
        <v>114</v>
      </c>
      <c r="V12" s="12">
        <v>32</v>
      </c>
      <c r="W12" s="12">
        <v>45</v>
      </c>
      <c r="X12" s="12">
        <v>115</v>
      </c>
      <c r="Y12" s="12">
        <v>150</v>
      </c>
      <c r="Z12" s="12">
        <v>38</v>
      </c>
      <c r="AA12" s="12">
        <v>27</v>
      </c>
      <c r="AB12" s="12">
        <v>43</v>
      </c>
      <c r="AC12" s="12">
        <v>32</v>
      </c>
      <c r="AD12" s="12">
        <v>49</v>
      </c>
      <c r="AE12" s="12">
        <v>170</v>
      </c>
      <c r="AF12" s="12">
        <v>208</v>
      </c>
    </row>
    <row r="13" spans="1:32" x14ac:dyDescent="0.25">
      <c r="A13" s="19"/>
      <c r="B13" s="13" t="s">
        <v>708</v>
      </c>
      <c r="C13" s="14">
        <v>7.0000000000000007E-2</v>
      </c>
      <c r="D13" s="14">
        <v>0.05</v>
      </c>
      <c r="E13" s="14">
        <v>0.05</v>
      </c>
      <c r="F13" s="14">
        <v>0.05</v>
      </c>
      <c r="G13" s="14">
        <v>0.44</v>
      </c>
      <c r="H13" s="14">
        <v>7.0000000000000007E-2</v>
      </c>
      <c r="I13" s="14">
        <v>0.06</v>
      </c>
      <c r="J13" s="14">
        <v>0.04</v>
      </c>
      <c r="K13" s="14">
        <v>7.0000000000000007E-2</v>
      </c>
      <c r="L13" s="14">
        <v>0.2</v>
      </c>
      <c r="M13" s="14">
        <v>0.01</v>
      </c>
      <c r="N13" s="14">
        <v>0.04</v>
      </c>
      <c r="O13" s="14">
        <v>0.04</v>
      </c>
      <c r="P13" s="14">
        <v>0.05</v>
      </c>
      <c r="Q13" s="14">
        <v>0.04</v>
      </c>
      <c r="R13" s="14">
        <v>0.02</v>
      </c>
      <c r="S13" s="14">
        <v>7.0000000000000007E-2</v>
      </c>
      <c r="T13" s="14">
        <v>0.05</v>
      </c>
      <c r="U13" s="14">
        <v>0.22</v>
      </c>
      <c r="V13" s="14">
        <v>0.03</v>
      </c>
      <c r="W13" s="14">
        <v>0.09</v>
      </c>
      <c r="X13" s="14">
        <v>0.12</v>
      </c>
      <c r="Y13" s="14">
        <v>0.15</v>
      </c>
      <c r="Z13" s="14">
        <v>0.04</v>
      </c>
      <c r="AA13" s="14">
        <v>0.03</v>
      </c>
      <c r="AB13" s="14">
        <v>0.04</v>
      </c>
      <c r="AC13" s="14">
        <v>0.03</v>
      </c>
      <c r="AD13" s="14">
        <v>0.05</v>
      </c>
      <c r="AE13" s="14">
        <v>0.17</v>
      </c>
      <c r="AF13" s="14">
        <v>0.2</v>
      </c>
    </row>
    <row r="14" spans="1:32" x14ac:dyDescent="0.25">
      <c r="A14" s="19"/>
      <c r="B14" s="11" t="s">
        <v>709</v>
      </c>
      <c r="C14" s="12">
        <v>13567</v>
      </c>
      <c r="D14" s="12">
        <v>572</v>
      </c>
      <c r="E14" s="12">
        <v>428</v>
      </c>
      <c r="F14" s="12">
        <v>660</v>
      </c>
      <c r="G14" s="12">
        <v>474</v>
      </c>
      <c r="H14" s="12">
        <v>710</v>
      </c>
      <c r="I14" s="12">
        <v>835</v>
      </c>
      <c r="J14" s="12">
        <v>124</v>
      </c>
      <c r="K14" s="12">
        <v>492</v>
      </c>
      <c r="L14" s="12">
        <v>604</v>
      </c>
      <c r="M14" s="12">
        <v>228</v>
      </c>
      <c r="N14" s="12">
        <v>422</v>
      </c>
      <c r="O14" s="12">
        <v>424</v>
      </c>
      <c r="P14" s="12">
        <v>410</v>
      </c>
      <c r="Q14" s="12">
        <v>539</v>
      </c>
      <c r="R14" s="12">
        <v>209</v>
      </c>
      <c r="S14" s="12">
        <v>514</v>
      </c>
      <c r="T14" s="12">
        <v>540</v>
      </c>
      <c r="U14" s="12">
        <v>357</v>
      </c>
      <c r="V14" s="12">
        <v>467</v>
      </c>
      <c r="W14" s="12">
        <v>238</v>
      </c>
      <c r="X14" s="12">
        <v>597</v>
      </c>
      <c r="Y14" s="12">
        <v>463</v>
      </c>
      <c r="Z14" s="12">
        <v>755</v>
      </c>
      <c r="AA14" s="12">
        <v>690</v>
      </c>
      <c r="AB14" s="12">
        <v>402</v>
      </c>
      <c r="AC14" s="12">
        <v>508</v>
      </c>
      <c r="AD14" s="12">
        <v>448</v>
      </c>
      <c r="AE14" s="12">
        <v>656</v>
      </c>
      <c r="AF14" s="12">
        <v>635</v>
      </c>
    </row>
    <row r="15" spans="1:32" x14ac:dyDescent="0.25">
      <c r="A15" s="19"/>
      <c r="B15" s="13" t="s">
        <v>710</v>
      </c>
      <c r="C15" s="14">
        <v>0.51</v>
      </c>
      <c r="D15" s="14">
        <v>0.56000000000000005</v>
      </c>
      <c r="E15" s="14">
        <v>0.41</v>
      </c>
      <c r="F15" s="14">
        <v>0.62</v>
      </c>
      <c r="G15" s="14">
        <v>0.47</v>
      </c>
      <c r="H15" s="14">
        <v>0.57999999999999996</v>
      </c>
      <c r="I15" s="14">
        <v>0.55000000000000004</v>
      </c>
      <c r="J15" s="14">
        <v>0.42</v>
      </c>
      <c r="K15" s="14">
        <v>0.49</v>
      </c>
      <c r="L15" s="14">
        <v>0.6</v>
      </c>
      <c r="M15" s="14">
        <v>0.23</v>
      </c>
      <c r="N15" s="14">
        <v>0.42</v>
      </c>
      <c r="O15" s="14">
        <v>0.42</v>
      </c>
      <c r="P15" s="14">
        <v>0.41</v>
      </c>
      <c r="Q15" s="14">
        <v>0.52</v>
      </c>
      <c r="R15" s="14">
        <v>0.42</v>
      </c>
      <c r="S15" s="14">
        <v>0.51</v>
      </c>
      <c r="T15" s="14">
        <v>0.53</v>
      </c>
      <c r="U15" s="14">
        <v>0.70000000000000007</v>
      </c>
      <c r="V15" s="14">
        <v>0.45</v>
      </c>
      <c r="W15" s="14">
        <v>0.47</v>
      </c>
      <c r="X15" s="14">
        <v>0.59</v>
      </c>
      <c r="Y15" s="14">
        <v>0.46</v>
      </c>
      <c r="Z15" s="14">
        <v>0.74</v>
      </c>
      <c r="AA15" s="14">
        <v>0.66</v>
      </c>
      <c r="AB15" s="14">
        <v>0.39</v>
      </c>
      <c r="AC15" s="14">
        <v>0.51</v>
      </c>
      <c r="AD15" s="14">
        <v>0.45</v>
      </c>
      <c r="AE15" s="14">
        <v>0.65</v>
      </c>
      <c r="AF15" s="14">
        <v>0.62</v>
      </c>
    </row>
    <row r="16" spans="1:32" x14ac:dyDescent="0.25">
      <c r="A16" s="19"/>
      <c r="B16" s="11" t="s">
        <v>711</v>
      </c>
      <c r="C16" s="12">
        <v>7989</v>
      </c>
      <c r="D16" s="12">
        <v>300</v>
      </c>
      <c r="E16" s="12">
        <v>347</v>
      </c>
      <c r="F16" s="12">
        <v>273</v>
      </c>
      <c r="G16" s="12">
        <v>57</v>
      </c>
      <c r="H16" s="12">
        <v>353</v>
      </c>
      <c r="I16" s="12">
        <v>477</v>
      </c>
      <c r="J16" s="12">
        <v>124</v>
      </c>
      <c r="K16" s="12">
        <v>284</v>
      </c>
      <c r="L16" s="12">
        <v>123</v>
      </c>
      <c r="M16" s="12">
        <v>395</v>
      </c>
      <c r="N16" s="12">
        <v>362</v>
      </c>
      <c r="O16" s="12">
        <v>361</v>
      </c>
      <c r="P16" s="12">
        <v>418</v>
      </c>
      <c r="Q16" s="12">
        <v>327</v>
      </c>
      <c r="R16" s="12">
        <v>192</v>
      </c>
      <c r="S16" s="12">
        <v>290</v>
      </c>
      <c r="T16" s="12">
        <v>349</v>
      </c>
      <c r="U16" s="12">
        <v>30</v>
      </c>
      <c r="V16" s="12">
        <v>313</v>
      </c>
      <c r="W16" s="12">
        <v>186</v>
      </c>
      <c r="X16" s="12">
        <v>245</v>
      </c>
      <c r="Y16" s="12">
        <v>269</v>
      </c>
      <c r="Z16" s="12">
        <v>150</v>
      </c>
      <c r="AA16" s="12">
        <v>277</v>
      </c>
      <c r="AB16" s="12">
        <v>439</v>
      </c>
      <c r="AC16" s="12">
        <v>367</v>
      </c>
      <c r="AD16" s="12">
        <v>378</v>
      </c>
      <c r="AE16" s="12">
        <v>124</v>
      </c>
      <c r="AF16" s="12">
        <v>162</v>
      </c>
    </row>
    <row r="17" spans="1:32" x14ac:dyDescent="0.25">
      <c r="A17" s="19"/>
      <c r="B17" s="13" t="s">
        <v>712</v>
      </c>
      <c r="C17" s="14">
        <v>0.3</v>
      </c>
      <c r="D17" s="14">
        <v>0.28999999999999998</v>
      </c>
      <c r="E17" s="14">
        <v>0.33</v>
      </c>
      <c r="F17" s="14">
        <v>0.26</v>
      </c>
      <c r="G17" s="14">
        <v>0.06</v>
      </c>
      <c r="H17" s="14">
        <v>0.28999999999999998</v>
      </c>
      <c r="I17" s="14">
        <v>0.31</v>
      </c>
      <c r="J17" s="14">
        <v>0.42</v>
      </c>
      <c r="K17" s="14">
        <v>0.28000000000000003</v>
      </c>
      <c r="L17" s="14">
        <v>0.12</v>
      </c>
      <c r="M17" s="14">
        <v>0.39</v>
      </c>
      <c r="N17" s="14">
        <v>0.36</v>
      </c>
      <c r="O17" s="14">
        <v>0.36</v>
      </c>
      <c r="P17" s="14">
        <v>0.42</v>
      </c>
      <c r="Q17" s="14">
        <v>0.32</v>
      </c>
      <c r="R17" s="14">
        <v>0.38</v>
      </c>
      <c r="S17" s="14">
        <v>0.28999999999999998</v>
      </c>
      <c r="T17" s="14">
        <v>0.34</v>
      </c>
      <c r="U17" s="14">
        <v>0.06</v>
      </c>
      <c r="V17" s="14">
        <v>0.31</v>
      </c>
      <c r="W17" s="14">
        <v>0.37</v>
      </c>
      <c r="X17" s="14">
        <v>0.24</v>
      </c>
      <c r="Y17" s="14">
        <v>0.27</v>
      </c>
      <c r="Z17" s="14">
        <v>0.15</v>
      </c>
      <c r="AA17" s="14">
        <v>0.27</v>
      </c>
      <c r="AB17" s="14">
        <v>0.42</v>
      </c>
      <c r="AC17" s="14">
        <v>0.37</v>
      </c>
      <c r="AD17" s="14">
        <v>0.38</v>
      </c>
      <c r="AE17" s="14">
        <v>0.12</v>
      </c>
      <c r="AF17" s="14">
        <v>0.16</v>
      </c>
    </row>
    <row r="18" spans="1:32" x14ac:dyDescent="0.25">
      <c r="A18" s="19"/>
      <c r="B18" s="11" t="s">
        <v>713</v>
      </c>
      <c r="C18" s="12">
        <v>2741</v>
      </c>
      <c r="D18" s="12">
        <v>94</v>
      </c>
      <c r="E18" s="12">
        <v>209</v>
      </c>
      <c r="F18" s="12">
        <v>59</v>
      </c>
      <c r="G18" s="12">
        <v>28</v>
      </c>
      <c r="H18" s="12">
        <v>71</v>
      </c>
      <c r="I18" s="12">
        <v>103</v>
      </c>
      <c r="J18" s="12">
        <v>32</v>
      </c>
      <c r="K18" s="12">
        <v>117</v>
      </c>
      <c r="L18" s="12">
        <v>45</v>
      </c>
      <c r="M18" s="12">
        <v>362</v>
      </c>
      <c r="N18" s="12">
        <v>159</v>
      </c>
      <c r="O18" s="12">
        <v>146</v>
      </c>
      <c r="P18" s="12">
        <v>113</v>
      </c>
      <c r="Q18" s="12">
        <v>110</v>
      </c>
      <c r="R18" s="12">
        <v>80</v>
      </c>
      <c r="S18" s="12">
        <v>85</v>
      </c>
      <c r="T18" s="12">
        <v>47</v>
      </c>
      <c r="U18" s="12">
        <v>4</v>
      </c>
      <c r="V18" s="12">
        <v>191</v>
      </c>
      <c r="W18" s="12">
        <v>31</v>
      </c>
      <c r="X18" s="12">
        <v>51</v>
      </c>
      <c r="Y18" s="12">
        <v>108</v>
      </c>
      <c r="Z18" s="12">
        <v>33</v>
      </c>
      <c r="AA18" s="12">
        <v>28</v>
      </c>
      <c r="AB18" s="12">
        <v>136</v>
      </c>
      <c r="AC18" s="12">
        <v>84</v>
      </c>
      <c r="AD18" s="12">
        <v>124</v>
      </c>
      <c r="AE18" s="12">
        <v>16</v>
      </c>
      <c r="AF18" s="12">
        <v>23</v>
      </c>
    </row>
    <row r="19" spans="1:32" x14ac:dyDescent="0.25">
      <c r="A19" s="19"/>
      <c r="B19" s="13" t="s">
        <v>714</v>
      </c>
      <c r="C19" s="14">
        <v>0.1</v>
      </c>
      <c r="D19" s="14">
        <v>0.09</v>
      </c>
      <c r="E19" s="14">
        <v>0.2</v>
      </c>
      <c r="F19" s="14">
        <v>0.06</v>
      </c>
      <c r="G19" s="14">
        <v>0.03</v>
      </c>
      <c r="H19" s="14">
        <v>0.06</v>
      </c>
      <c r="I19" s="14">
        <v>7.0000000000000007E-2</v>
      </c>
      <c r="J19" s="14">
        <v>0.11</v>
      </c>
      <c r="K19" s="14">
        <v>0.12</v>
      </c>
      <c r="L19" s="14">
        <v>0.05</v>
      </c>
      <c r="M19" s="14">
        <v>0.36</v>
      </c>
      <c r="N19" s="14">
        <v>0.16</v>
      </c>
      <c r="O19" s="14">
        <v>0.15</v>
      </c>
      <c r="P19" s="14">
        <v>0.11</v>
      </c>
      <c r="Q19" s="14">
        <v>0.11</v>
      </c>
      <c r="R19" s="14">
        <v>0.16</v>
      </c>
      <c r="S19" s="14">
        <v>0.09</v>
      </c>
      <c r="T19" s="14">
        <v>0.05</v>
      </c>
      <c r="U19" s="14">
        <v>0.01</v>
      </c>
      <c r="V19" s="14">
        <v>0.19</v>
      </c>
      <c r="W19" s="14">
        <v>0.06</v>
      </c>
      <c r="X19" s="14">
        <v>0.05</v>
      </c>
      <c r="Y19" s="14">
        <v>0.11</v>
      </c>
      <c r="Z19" s="14">
        <v>0.03</v>
      </c>
      <c r="AA19" s="14">
        <v>0.03</v>
      </c>
      <c r="AB19" s="14">
        <v>0.13</v>
      </c>
      <c r="AC19" s="14">
        <v>0.08</v>
      </c>
      <c r="AD19" s="14">
        <v>0.12</v>
      </c>
      <c r="AE19" s="14">
        <v>0.02</v>
      </c>
      <c r="AF19" s="14">
        <v>0.02</v>
      </c>
    </row>
    <row r="20" spans="1:32" x14ac:dyDescent="0.25">
      <c r="A20" s="19"/>
      <c r="B20" s="11" t="s">
        <v>224</v>
      </c>
      <c r="C20" s="12">
        <v>472</v>
      </c>
      <c r="D20" s="12">
        <v>5</v>
      </c>
      <c r="E20" s="12">
        <v>14</v>
      </c>
      <c r="F20" s="12">
        <v>14</v>
      </c>
      <c r="G20" s="12">
        <v>3</v>
      </c>
      <c r="H20" s="12">
        <v>7</v>
      </c>
      <c r="I20" s="12">
        <v>11</v>
      </c>
      <c r="J20" s="12">
        <v>3</v>
      </c>
      <c r="K20" s="12">
        <v>40</v>
      </c>
      <c r="L20" s="12">
        <v>30</v>
      </c>
      <c r="M20" s="12">
        <v>10</v>
      </c>
      <c r="N20" s="12">
        <v>27</v>
      </c>
      <c r="O20" s="12">
        <v>31</v>
      </c>
      <c r="P20" s="12">
        <v>15</v>
      </c>
      <c r="Q20" s="12">
        <v>10</v>
      </c>
      <c r="R20" s="12">
        <v>10</v>
      </c>
      <c r="S20" s="12">
        <v>43</v>
      </c>
      <c r="T20" s="12">
        <v>36</v>
      </c>
      <c r="U20" s="12">
        <v>4</v>
      </c>
      <c r="V20" s="12">
        <v>24</v>
      </c>
      <c r="W20" s="12">
        <v>2</v>
      </c>
      <c r="X20" s="12">
        <v>2</v>
      </c>
      <c r="Y20" s="12">
        <v>14</v>
      </c>
      <c r="Z20" s="12">
        <v>40</v>
      </c>
      <c r="AA20" s="12">
        <v>14</v>
      </c>
      <c r="AB20" s="12">
        <v>20</v>
      </c>
      <c r="AC20" s="12">
        <v>15</v>
      </c>
      <c r="AD20" s="12">
        <v>4</v>
      </c>
      <c r="AE20" s="12">
        <v>36</v>
      </c>
      <c r="AF20" s="12">
        <v>2</v>
      </c>
    </row>
    <row r="21" spans="1:32" x14ac:dyDescent="0.25">
      <c r="A21" s="19"/>
      <c r="B21" s="13" t="s">
        <v>237</v>
      </c>
      <c r="C21" s="14">
        <v>0.02</v>
      </c>
      <c r="D21" s="14">
        <v>0.01</v>
      </c>
      <c r="E21" s="14">
        <v>0.01</v>
      </c>
      <c r="F21" s="14">
        <v>0.01</v>
      </c>
      <c r="G21" s="15" t="s">
        <v>213</v>
      </c>
      <c r="H21" s="15" t="s">
        <v>213</v>
      </c>
      <c r="I21" s="14">
        <v>0.01</v>
      </c>
      <c r="J21" s="14">
        <v>0.01</v>
      </c>
      <c r="K21" s="14">
        <v>0.04</v>
      </c>
      <c r="L21" s="14">
        <v>0.03</v>
      </c>
      <c r="M21" s="14">
        <v>0.01</v>
      </c>
      <c r="N21" s="14">
        <v>0.02</v>
      </c>
      <c r="O21" s="14">
        <v>0.03</v>
      </c>
      <c r="P21" s="14">
        <v>0.01</v>
      </c>
      <c r="Q21" s="14">
        <v>0.01</v>
      </c>
      <c r="R21" s="14">
        <v>0.02</v>
      </c>
      <c r="S21" s="14">
        <v>0.04</v>
      </c>
      <c r="T21" s="14">
        <v>0.03</v>
      </c>
      <c r="U21" s="14">
        <v>0.01</v>
      </c>
      <c r="V21" s="14">
        <v>0.02</v>
      </c>
      <c r="W21" s="14">
        <v>0.01</v>
      </c>
      <c r="X21" s="15" t="s">
        <v>213</v>
      </c>
      <c r="Y21" s="14">
        <v>0.01</v>
      </c>
      <c r="Z21" s="14">
        <v>0.04</v>
      </c>
      <c r="AA21" s="14">
        <v>0.01</v>
      </c>
      <c r="AB21" s="14">
        <v>0.02</v>
      </c>
      <c r="AC21" s="14">
        <v>0.01</v>
      </c>
      <c r="AD21" s="15" t="s">
        <v>213</v>
      </c>
      <c r="AE21" s="14">
        <v>0.04</v>
      </c>
      <c r="AF21" s="15" t="s">
        <v>213</v>
      </c>
    </row>
    <row r="22" spans="1:32" x14ac:dyDescent="0.25">
      <c r="A22" s="19"/>
      <c r="B22" s="11" t="s">
        <v>804</v>
      </c>
      <c r="C22" s="12">
        <v>15251</v>
      </c>
      <c r="D22" s="12">
        <v>621</v>
      </c>
      <c r="E22" s="12">
        <v>476</v>
      </c>
      <c r="F22" s="12">
        <v>718</v>
      </c>
      <c r="G22" s="12">
        <v>927</v>
      </c>
      <c r="H22" s="12">
        <v>799</v>
      </c>
      <c r="I22" s="12">
        <v>937</v>
      </c>
      <c r="J22" s="12">
        <v>137</v>
      </c>
      <c r="K22" s="12">
        <v>563</v>
      </c>
      <c r="L22" s="12">
        <v>807</v>
      </c>
      <c r="M22" s="12">
        <v>241</v>
      </c>
      <c r="N22" s="12">
        <v>464</v>
      </c>
      <c r="O22" s="12">
        <v>466</v>
      </c>
      <c r="P22" s="12">
        <v>456</v>
      </c>
      <c r="Q22" s="12">
        <v>585</v>
      </c>
      <c r="R22" s="12">
        <v>219</v>
      </c>
      <c r="S22" s="12">
        <v>586</v>
      </c>
      <c r="T22" s="12">
        <v>591</v>
      </c>
      <c r="U22" s="12">
        <v>471</v>
      </c>
      <c r="V22" s="12">
        <v>499</v>
      </c>
      <c r="W22" s="12">
        <v>283</v>
      </c>
      <c r="X22" s="12">
        <v>712</v>
      </c>
      <c r="Y22" s="12">
        <v>613</v>
      </c>
      <c r="Z22" s="12">
        <v>793</v>
      </c>
      <c r="AA22" s="12">
        <v>717</v>
      </c>
      <c r="AB22" s="12">
        <v>445</v>
      </c>
      <c r="AC22" s="12">
        <v>540</v>
      </c>
      <c r="AD22" s="12">
        <v>497</v>
      </c>
      <c r="AE22" s="12">
        <v>826</v>
      </c>
      <c r="AF22" s="12">
        <v>843</v>
      </c>
    </row>
    <row r="23" spans="1:32" x14ac:dyDescent="0.25">
      <c r="A23" s="19"/>
      <c r="B23" s="13" t="s">
        <v>805</v>
      </c>
      <c r="C23" s="14">
        <v>0.57999999999999996</v>
      </c>
      <c r="D23" s="14">
        <v>0.61</v>
      </c>
      <c r="E23" s="14">
        <v>0.46</v>
      </c>
      <c r="F23" s="14">
        <v>0.67</v>
      </c>
      <c r="G23" s="14">
        <v>0.91</v>
      </c>
      <c r="H23" s="14">
        <v>0.65</v>
      </c>
      <c r="I23" s="14">
        <v>0.61</v>
      </c>
      <c r="J23" s="14">
        <v>0.46</v>
      </c>
      <c r="K23" s="14">
        <v>0.56000000000000005</v>
      </c>
      <c r="L23" s="14">
        <v>0.8</v>
      </c>
      <c r="M23" s="14">
        <v>0.24</v>
      </c>
      <c r="N23" s="14">
        <v>0.46</v>
      </c>
      <c r="O23" s="14">
        <v>0.46</v>
      </c>
      <c r="P23" s="14">
        <v>0.46</v>
      </c>
      <c r="Q23" s="14">
        <v>0.56000000000000005</v>
      </c>
      <c r="R23" s="14">
        <v>0.44</v>
      </c>
      <c r="S23" s="14">
        <v>0.57999999999999996</v>
      </c>
      <c r="T23" s="14">
        <v>0.57999999999999996</v>
      </c>
      <c r="U23" s="14">
        <v>0.92</v>
      </c>
      <c r="V23" s="14">
        <v>0.48</v>
      </c>
      <c r="W23" s="14">
        <v>0.56000000000000005</v>
      </c>
      <c r="X23" s="14">
        <v>0.71</v>
      </c>
      <c r="Y23" s="14">
        <v>0.61</v>
      </c>
      <c r="Z23" s="14">
        <v>0.78</v>
      </c>
      <c r="AA23" s="14">
        <v>0.69000000000000006</v>
      </c>
      <c r="AB23" s="14">
        <v>0.43</v>
      </c>
      <c r="AC23" s="14">
        <v>0.54</v>
      </c>
      <c r="AD23" s="14">
        <v>0.5</v>
      </c>
      <c r="AE23" s="14">
        <v>0.82000000000000006</v>
      </c>
      <c r="AF23" s="14">
        <v>0.82000000000000006</v>
      </c>
    </row>
    <row r="24" spans="1:32" x14ac:dyDescent="0.25">
      <c r="A24" s="19"/>
      <c r="B24" s="11" t="s">
        <v>806</v>
      </c>
      <c r="C24" s="12">
        <v>10730</v>
      </c>
      <c r="D24" s="12">
        <v>394</v>
      </c>
      <c r="E24" s="12">
        <v>556</v>
      </c>
      <c r="F24" s="12">
        <v>332</v>
      </c>
      <c r="G24" s="12">
        <v>85</v>
      </c>
      <c r="H24" s="12">
        <v>424</v>
      </c>
      <c r="I24" s="12">
        <v>580</v>
      </c>
      <c r="J24" s="12">
        <v>156</v>
      </c>
      <c r="K24" s="12">
        <v>401</v>
      </c>
      <c r="L24" s="12">
        <v>168</v>
      </c>
      <c r="M24" s="12">
        <v>757</v>
      </c>
      <c r="N24" s="12">
        <v>521</v>
      </c>
      <c r="O24" s="12">
        <v>507</v>
      </c>
      <c r="P24" s="12">
        <v>531</v>
      </c>
      <c r="Q24" s="12">
        <v>437</v>
      </c>
      <c r="R24" s="12">
        <v>272</v>
      </c>
      <c r="S24" s="12">
        <v>375</v>
      </c>
      <c r="T24" s="12">
        <v>396</v>
      </c>
      <c r="U24" s="12">
        <v>34</v>
      </c>
      <c r="V24" s="12">
        <v>504</v>
      </c>
      <c r="W24" s="12">
        <v>217</v>
      </c>
      <c r="X24" s="12">
        <v>296</v>
      </c>
      <c r="Y24" s="12">
        <v>377</v>
      </c>
      <c r="Z24" s="12">
        <v>183</v>
      </c>
      <c r="AA24" s="12">
        <v>305</v>
      </c>
      <c r="AB24" s="12">
        <v>575</v>
      </c>
      <c r="AC24" s="12">
        <v>451</v>
      </c>
      <c r="AD24" s="12">
        <v>502</v>
      </c>
      <c r="AE24" s="12">
        <v>140</v>
      </c>
      <c r="AF24" s="12">
        <v>185</v>
      </c>
    </row>
    <row r="25" spans="1:32" x14ac:dyDescent="0.25">
      <c r="A25" s="19"/>
      <c r="B25" s="13" t="s">
        <v>807</v>
      </c>
      <c r="C25" s="14">
        <v>0.4</v>
      </c>
      <c r="D25" s="14">
        <v>0.38</v>
      </c>
      <c r="E25" s="14">
        <v>0.53</v>
      </c>
      <c r="F25" s="14">
        <v>0.32</v>
      </c>
      <c r="G25" s="14">
        <v>0.09</v>
      </c>
      <c r="H25" s="14">
        <v>0.35</v>
      </c>
      <c r="I25" s="14">
        <v>0.38</v>
      </c>
      <c r="J25" s="14">
        <v>0.53</v>
      </c>
      <c r="K25" s="14">
        <v>0.4</v>
      </c>
      <c r="L25" s="14">
        <v>0.17</v>
      </c>
      <c r="M25" s="14">
        <v>0.75</v>
      </c>
      <c r="N25" s="14">
        <v>0.52</v>
      </c>
      <c r="O25" s="14">
        <v>0.51</v>
      </c>
      <c r="P25" s="14">
        <v>0.53</v>
      </c>
      <c r="Q25" s="14">
        <v>0.43</v>
      </c>
      <c r="R25" s="14">
        <v>0.54</v>
      </c>
      <c r="S25" s="14">
        <v>0.38</v>
      </c>
      <c r="T25" s="14">
        <v>0.39</v>
      </c>
      <c r="U25" s="14">
        <v>7.0000000000000007E-2</v>
      </c>
      <c r="V25" s="14">
        <v>0.5</v>
      </c>
      <c r="W25" s="14">
        <v>0.43</v>
      </c>
      <c r="X25" s="14">
        <v>0.28999999999999998</v>
      </c>
      <c r="Y25" s="14">
        <v>0.38</v>
      </c>
      <c r="Z25" s="14">
        <v>0.18</v>
      </c>
      <c r="AA25" s="14">
        <v>0.3</v>
      </c>
      <c r="AB25" s="14">
        <v>0.55000000000000004</v>
      </c>
      <c r="AC25" s="14">
        <v>0.45</v>
      </c>
      <c r="AD25" s="14">
        <v>0.5</v>
      </c>
      <c r="AE25" s="14">
        <v>0.14000000000000001</v>
      </c>
      <c r="AF25" s="14">
        <v>0.18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163</v>
      </c>
      <c r="C3" s="18"/>
      <c r="D3" s="18"/>
      <c r="E3" s="18"/>
      <c r="F3" s="18"/>
      <c r="H3" s="18" t="s">
        <v>164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HYPERLINK("#Content!A83","&lt;&lt;Back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707</v>
      </c>
      <c r="C12" s="12">
        <v>1104</v>
      </c>
      <c r="D12" s="12">
        <v>27</v>
      </c>
      <c r="E12" s="12">
        <v>113</v>
      </c>
      <c r="F12" s="12">
        <v>51</v>
      </c>
      <c r="G12" s="12">
        <v>137</v>
      </c>
      <c r="H12" s="12">
        <v>45</v>
      </c>
      <c r="I12" s="12">
        <v>52</v>
      </c>
      <c r="J12" s="12">
        <v>7</v>
      </c>
      <c r="K12" s="12">
        <v>59</v>
      </c>
      <c r="L12" s="12">
        <v>153</v>
      </c>
      <c r="M12" s="12">
        <v>16</v>
      </c>
      <c r="N12" s="12">
        <v>30</v>
      </c>
      <c r="O12" s="12">
        <v>26</v>
      </c>
      <c r="P12" s="12">
        <v>54</v>
      </c>
      <c r="Q12" s="12">
        <v>40</v>
      </c>
      <c r="R12" s="12">
        <v>9</v>
      </c>
      <c r="S12" s="12">
        <v>72</v>
      </c>
      <c r="T12" s="12">
        <v>55</v>
      </c>
      <c r="U12" s="12">
        <v>39</v>
      </c>
      <c r="V12" s="12">
        <v>36</v>
      </c>
      <c r="W12" s="12">
        <v>48</v>
      </c>
      <c r="X12" s="12">
        <v>36</v>
      </c>
      <c r="Y12" s="12">
        <v>125</v>
      </c>
      <c r="Z12" s="12">
        <v>52</v>
      </c>
      <c r="AA12" s="12">
        <v>45</v>
      </c>
      <c r="AB12" s="12">
        <v>57</v>
      </c>
      <c r="AC12" s="12">
        <v>25</v>
      </c>
      <c r="AD12" s="12">
        <v>65</v>
      </c>
      <c r="AE12" s="12">
        <v>27</v>
      </c>
      <c r="AF12" s="12">
        <v>39</v>
      </c>
    </row>
    <row r="13" spans="1:32" x14ac:dyDescent="0.25">
      <c r="A13" s="19"/>
      <c r="B13" s="13" t="s">
        <v>708</v>
      </c>
      <c r="C13" s="14">
        <v>0.04</v>
      </c>
      <c r="D13" s="14">
        <v>0.03</v>
      </c>
      <c r="E13" s="14">
        <v>0.11</v>
      </c>
      <c r="F13" s="14">
        <v>0.05</v>
      </c>
      <c r="G13" s="14">
        <v>0.13</v>
      </c>
      <c r="H13" s="14">
        <v>0.04</v>
      </c>
      <c r="I13" s="14">
        <v>0.03</v>
      </c>
      <c r="J13" s="14">
        <v>0.02</v>
      </c>
      <c r="K13" s="14">
        <v>0.06</v>
      </c>
      <c r="L13" s="14">
        <v>0.15</v>
      </c>
      <c r="M13" s="14">
        <v>0.02</v>
      </c>
      <c r="N13" s="14">
        <v>0.03</v>
      </c>
      <c r="O13" s="14">
        <v>0.03</v>
      </c>
      <c r="P13" s="14">
        <v>0.05</v>
      </c>
      <c r="Q13" s="14">
        <v>0.04</v>
      </c>
      <c r="R13" s="14">
        <v>0.02</v>
      </c>
      <c r="S13" s="14">
        <v>7.0000000000000007E-2</v>
      </c>
      <c r="T13" s="14">
        <v>0.05</v>
      </c>
      <c r="U13" s="14">
        <v>0.08</v>
      </c>
      <c r="V13" s="14">
        <v>0.04</v>
      </c>
      <c r="W13" s="14">
        <v>0.1</v>
      </c>
      <c r="X13" s="14">
        <v>0.04</v>
      </c>
      <c r="Y13" s="14">
        <v>0.13</v>
      </c>
      <c r="Z13" s="14">
        <v>0.05</v>
      </c>
      <c r="AA13" s="14">
        <v>0.04</v>
      </c>
      <c r="AB13" s="14">
        <v>0.06</v>
      </c>
      <c r="AC13" s="14">
        <v>0.02</v>
      </c>
      <c r="AD13" s="14">
        <v>0.06</v>
      </c>
      <c r="AE13" s="14">
        <v>0.03</v>
      </c>
      <c r="AF13" s="14">
        <v>0.04</v>
      </c>
    </row>
    <row r="14" spans="1:32" x14ac:dyDescent="0.25">
      <c r="A14" s="19"/>
      <c r="B14" s="11" t="s">
        <v>709</v>
      </c>
      <c r="C14" s="12">
        <v>13227</v>
      </c>
      <c r="D14" s="12">
        <v>531</v>
      </c>
      <c r="E14" s="12">
        <v>453</v>
      </c>
      <c r="F14" s="12">
        <v>589</v>
      </c>
      <c r="G14" s="12">
        <v>650</v>
      </c>
      <c r="H14" s="12">
        <v>634</v>
      </c>
      <c r="I14" s="12">
        <v>743</v>
      </c>
      <c r="J14" s="12">
        <v>109</v>
      </c>
      <c r="K14" s="12">
        <v>452</v>
      </c>
      <c r="L14" s="12">
        <v>607</v>
      </c>
      <c r="M14" s="12">
        <v>294</v>
      </c>
      <c r="N14" s="12">
        <v>437</v>
      </c>
      <c r="O14" s="12">
        <v>395</v>
      </c>
      <c r="P14" s="12">
        <v>482</v>
      </c>
      <c r="Q14" s="12">
        <v>565</v>
      </c>
      <c r="R14" s="12">
        <v>242</v>
      </c>
      <c r="S14" s="12">
        <v>534</v>
      </c>
      <c r="T14" s="12">
        <v>597</v>
      </c>
      <c r="U14" s="12">
        <v>287</v>
      </c>
      <c r="V14" s="12">
        <v>556</v>
      </c>
      <c r="W14" s="12">
        <v>258</v>
      </c>
      <c r="X14" s="12">
        <v>593</v>
      </c>
      <c r="Y14" s="12">
        <v>384</v>
      </c>
      <c r="Z14" s="12">
        <v>688</v>
      </c>
      <c r="AA14" s="12">
        <v>645</v>
      </c>
      <c r="AB14" s="12">
        <v>465</v>
      </c>
      <c r="AC14" s="12">
        <v>480</v>
      </c>
      <c r="AD14" s="12">
        <v>513</v>
      </c>
      <c r="AE14" s="12">
        <v>577</v>
      </c>
      <c r="AF14" s="12">
        <v>595</v>
      </c>
    </row>
    <row r="15" spans="1:32" x14ac:dyDescent="0.25">
      <c r="A15" s="19"/>
      <c r="B15" s="13" t="s">
        <v>710</v>
      </c>
      <c r="C15" s="14">
        <v>0.5</v>
      </c>
      <c r="D15" s="14">
        <v>0.52</v>
      </c>
      <c r="E15" s="14">
        <v>0.43</v>
      </c>
      <c r="F15" s="14">
        <v>0.55000000000000004</v>
      </c>
      <c r="G15" s="14">
        <v>0.64</v>
      </c>
      <c r="H15" s="14">
        <v>0.51</v>
      </c>
      <c r="I15" s="14">
        <v>0.49</v>
      </c>
      <c r="J15" s="14">
        <v>0.37</v>
      </c>
      <c r="K15" s="14">
        <v>0.45</v>
      </c>
      <c r="L15" s="14">
        <v>0.6</v>
      </c>
      <c r="M15" s="14">
        <v>0.28999999999999998</v>
      </c>
      <c r="N15" s="14">
        <v>0.43</v>
      </c>
      <c r="O15" s="14">
        <v>0.39</v>
      </c>
      <c r="P15" s="14">
        <v>0.48</v>
      </c>
      <c r="Q15" s="14">
        <v>0.55000000000000004</v>
      </c>
      <c r="R15" s="14">
        <v>0.48</v>
      </c>
      <c r="S15" s="14">
        <v>0.53</v>
      </c>
      <c r="T15" s="14">
        <v>0.57999999999999996</v>
      </c>
      <c r="U15" s="14">
        <v>0.57000000000000006</v>
      </c>
      <c r="V15" s="14">
        <v>0.54</v>
      </c>
      <c r="W15" s="14">
        <v>0.51</v>
      </c>
      <c r="X15" s="14">
        <v>0.59</v>
      </c>
      <c r="Y15" s="14">
        <v>0.38</v>
      </c>
      <c r="Z15" s="14">
        <v>0.68</v>
      </c>
      <c r="AA15" s="14">
        <v>0.62</v>
      </c>
      <c r="AB15" s="14">
        <v>0.45</v>
      </c>
      <c r="AC15" s="14">
        <v>0.48</v>
      </c>
      <c r="AD15" s="14">
        <v>0.51</v>
      </c>
      <c r="AE15" s="14">
        <v>0.57999999999999996</v>
      </c>
      <c r="AF15" s="14">
        <v>0.57999999999999996</v>
      </c>
    </row>
    <row r="16" spans="1:32" x14ac:dyDescent="0.25">
      <c r="A16" s="19"/>
      <c r="B16" s="11" t="s">
        <v>711</v>
      </c>
      <c r="C16" s="12">
        <v>8427</v>
      </c>
      <c r="D16" s="12">
        <v>344</v>
      </c>
      <c r="E16" s="12">
        <v>226</v>
      </c>
      <c r="F16" s="12">
        <v>294</v>
      </c>
      <c r="G16" s="12">
        <v>148</v>
      </c>
      <c r="H16" s="12">
        <v>451</v>
      </c>
      <c r="I16" s="12">
        <v>592</v>
      </c>
      <c r="J16" s="12">
        <v>141</v>
      </c>
      <c r="K16" s="12">
        <v>269</v>
      </c>
      <c r="L16" s="12">
        <v>143</v>
      </c>
      <c r="M16" s="12">
        <v>393</v>
      </c>
      <c r="N16" s="12">
        <v>358</v>
      </c>
      <c r="O16" s="12">
        <v>365</v>
      </c>
      <c r="P16" s="12">
        <v>347</v>
      </c>
      <c r="Q16" s="12">
        <v>313</v>
      </c>
      <c r="R16" s="12">
        <v>165</v>
      </c>
      <c r="S16" s="12">
        <v>223</v>
      </c>
      <c r="T16" s="12">
        <v>230</v>
      </c>
      <c r="U16" s="12">
        <v>124</v>
      </c>
      <c r="V16" s="12">
        <v>318</v>
      </c>
      <c r="W16" s="12">
        <v>138</v>
      </c>
      <c r="X16" s="12">
        <v>298</v>
      </c>
      <c r="Y16" s="12">
        <v>293</v>
      </c>
      <c r="Z16" s="12">
        <v>177</v>
      </c>
      <c r="AA16" s="12">
        <v>268</v>
      </c>
      <c r="AB16" s="12">
        <v>337</v>
      </c>
      <c r="AC16" s="12">
        <v>384</v>
      </c>
      <c r="AD16" s="12">
        <v>286</v>
      </c>
      <c r="AE16" s="12">
        <v>284</v>
      </c>
      <c r="AF16" s="12">
        <v>295</v>
      </c>
    </row>
    <row r="17" spans="1:32" x14ac:dyDescent="0.25">
      <c r="A17" s="19"/>
      <c r="B17" s="13" t="s">
        <v>712</v>
      </c>
      <c r="C17" s="14">
        <v>0.32</v>
      </c>
      <c r="D17" s="14">
        <v>0.34</v>
      </c>
      <c r="E17" s="14">
        <v>0.22</v>
      </c>
      <c r="F17" s="14">
        <v>0.28000000000000003</v>
      </c>
      <c r="G17" s="14">
        <v>0.15</v>
      </c>
      <c r="H17" s="14">
        <v>0.37</v>
      </c>
      <c r="I17" s="14">
        <v>0.39</v>
      </c>
      <c r="J17" s="14">
        <v>0.47</v>
      </c>
      <c r="K17" s="14">
        <v>0.27</v>
      </c>
      <c r="L17" s="14">
        <v>0.14000000000000001</v>
      </c>
      <c r="M17" s="14">
        <v>0.39</v>
      </c>
      <c r="N17" s="14">
        <v>0.36</v>
      </c>
      <c r="O17" s="14">
        <v>0.36</v>
      </c>
      <c r="P17" s="14">
        <v>0.35</v>
      </c>
      <c r="Q17" s="14">
        <v>0.3</v>
      </c>
      <c r="R17" s="14">
        <v>0.33</v>
      </c>
      <c r="S17" s="14">
        <v>0.22</v>
      </c>
      <c r="T17" s="14">
        <v>0.23</v>
      </c>
      <c r="U17" s="14">
        <v>0.24</v>
      </c>
      <c r="V17" s="14">
        <v>0.31</v>
      </c>
      <c r="W17" s="14">
        <v>0.28000000000000003</v>
      </c>
      <c r="X17" s="14">
        <v>0.28999999999999998</v>
      </c>
      <c r="Y17" s="14">
        <v>0.28999999999999998</v>
      </c>
      <c r="Z17" s="14">
        <v>0.17</v>
      </c>
      <c r="AA17" s="14">
        <v>0.26</v>
      </c>
      <c r="AB17" s="14">
        <v>0.32</v>
      </c>
      <c r="AC17" s="14">
        <v>0.38</v>
      </c>
      <c r="AD17" s="14">
        <v>0.28999999999999998</v>
      </c>
      <c r="AE17" s="14">
        <v>0.28000000000000003</v>
      </c>
      <c r="AF17" s="14">
        <v>0.28000000000000003</v>
      </c>
    </row>
    <row r="18" spans="1:32" x14ac:dyDescent="0.25">
      <c r="A18" s="19"/>
      <c r="B18" s="11" t="s">
        <v>713</v>
      </c>
      <c r="C18" s="12">
        <v>2400</v>
      </c>
      <c r="D18" s="12">
        <v>113</v>
      </c>
      <c r="E18" s="12">
        <v>167</v>
      </c>
      <c r="F18" s="12">
        <v>99</v>
      </c>
      <c r="G18" s="12">
        <v>42</v>
      </c>
      <c r="H18" s="12">
        <v>70</v>
      </c>
      <c r="I18" s="12">
        <v>102</v>
      </c>
      <c r="J18" s="12">
        <v>32</v>
      </c>
      <c r="K18" s="12">
        <v>88</v>
      </c>
      <c r="L18" s="12">
        <v>48</v>
      </c>
      <c r="M18" s="12">
        <v>266</v>
      </c>
      <c r="N18" s="12">
        <v>115</v>
      </c>
      <c r="O18" s="12">
        <v>136</v>
      </c>
      <c r="P18" s="12">
        <v>67</v>
      </c>
      <c r="Q18" s="12">
        <v>78</v>
      </c>
      <c r="R18" s="12">
        <v>56</v>
      </c>
      <c r="S18" s="12">
        <v>67</v>
      </c>
      <c r="T18" s="12">
        <v>23</v>
      </c>
      <c r="U18" s="12">
        <v>50</v>
      </c>
      <c r="V18" s="12">
        <v>80</v>
      </c>
      <c r="W18" s="12">
        <v>31</v>
      </c>
      <c r="X18" s="12">
        <v>57</v>
      </c>
      <c r="Y18" s="12">
        <v>168</v>
      </c>
      <c r="Z18" s="12">
        <v>40</v>
      </c>
      <c r="AA18" s="12">
        <v>17</v>
      </c>
      <c r="AB18" s="12">
        <v>128</v>
      </c>
      <c r="AC18" s="12">
        <v>85</v>
      </c>
      <c r="AD18" s="12">
        <v>89</v>
      </c>
      <c r="AE18" s="12">
        <v>36</v>
      </c>
      <c r="AF18" s="12">
        <v>51</v>
      </c>
    </row>
    <row r="19" spans="1:32" x14ac:dyDescent="0.25">
      <c r="A19" s="19"/>
      <c r="B19" s="13" t="s">
        <v>714</v>
      </c>
      <c r="C19" s="14">
        <v>0.09</v>
      </c>
      <c r="D19" s="14">
        <v>0.11</v>
      </c>
      <c r="E19" s="14">
        <v>0.16</v>
      </c>
      <c r="F19" s="14">
        <v>0.09</v>
      </c>
      <c r="G19" s="14">
        <v>0.04</v>
      </c>
      <c r="H19" s="14">
        <v>0.06</v>
      </c>
      <c r="I19" s="14">
        <v>7.0000000000000007E-2</v>
      </c>
      <c r="J19" s="14">
        <v>0.11</v>
      </c>
      <c r="K19" s="14">
        <v>0.08</v>
      </c>
      <c r="L19" s="14">
        <v>0.05</v>
      </c>
      <c r="M19" s="14">
        <v>0.26</v>
      </c>
      <c r="N19" s="14">
        <v>0.11</v>
      </c>
      <c r="O19" s="14">
        <v>0.14000000000000001</v>
      </c>
      <c r="P19" s="14">
        <v>7.0000000000000007E-2</v>
      </c>
      <c r="Q19" s="14">
        <v>0.08</v>
      </c>
      <c r="R19" s="14">
        <v>0.11</v>
      </c>
      <c r="S19" s="14">
        <v>7.0000000000000007E-2</v>
      </c>
      <c r="T19" s="14">
        <v>0.02</v>
      </c>
      <c r="U19" s="14">
        <v>0.1</v>
      </c>
      <c r="V19" s="14">
        <v>0.08</v>
      </c>
      <c r="W19" s="14">
        <v>0.06</v>
      </c>
      <c r="X19" s="14">
        <v>0.06</v>
      </c>
      <c r="Y19" s="14">
        <v>0.17</v>
      </c>
      <c r="Z19" s="14">
        <v>0.04</v>
      </c>
      <c r="AA19" s="14">
        <v>0.02</v>
      </c>
      <c r="AB19" s="14">
        <v>0.12</v>
      </c>
      <c r="AC19" s="14">
        <v>0.09</v>
      </c>
      <c r="AD19" s="14">
        <v>0.09</v>
      </c>
      <c r="AE19" s="14">
        <v>0.03</v>
      </c>
      <c r="AF19" s="14">
        <v>0.05</v>
      </c>
    </row>
    <row r="20" spans="1:32" x14ac:dyDescent="0.25">
      <c r="A20" s="19"/>
      <c r="B20" s="11" t="s">
        <v>224</v>
      </c>
      <c r="C20" s="12">
        <v>1295</v>
      </c>
      <c r="D20" s="12">
        <v>6</v>
      </c>
      <c r="E20" s="12">
        <v>88</v>
      </c>
      <c r="F20" s="12">
        <v>31</v>
      </c>
      <c r="G20" s="12">
        <v>39</v>
      </c>
      <c r="H20" s="12">
        <v>30</v>
      </c>
      <c r="I20" s="12">
        <v>39</v>
      </c>
      <c r="J20" s="12">
        <v>9</v>
      </c>
      <c r="K20" s="12">
        <v>138</v>
      </c>
      <c r="L20" s="12">
        <v>56</v>
      </c>
      <c r="M20" s="12">
        <v>37</v>
      </c>
      <c r="N20" s="12">
        <v>71</v>
      </c>
      <c r="O20" s="12">
        <v>82</v>
      </c>
      <c r="P20" s="12">
        <v>52</v>
      </c>
      <c r="Q20" s="12">
        <v>35</v>
      </c>
      <c r="R20" s="12">
        <v>28</v>
      </c>
      <c r="S20" s="12">
        <v>108</v>
      </c>
      <c r="T20" s="12">
        <v>119</v>
      </c>
      <c r="U20" s="12">
        <v>7</v>
      </c>
      <c r="V20" s="12">
        <v>36</v>
      </c>
      <c r="W20" s="12">
        <v>27</v>
      </c>
      <c r="X20" s="12">
        <v>25</v>
      </c>
      <c r="Y20" s="12">
        <v>33</v>
      </c>
      <c r="Z20" s="12">
        <v>58</v>
      </c>
      <c r="AA20" s="12">
        <v>62</v>
      </c>
      <c r="AB20" s="12">
        <v>53</v>
      </c>
      <c r="AC20" s="12">
        <v>30</v>
      </c>
      <c r="AD20" s="12">
        <v>50</v>
      </c>
      <c r="AE20" s="12">
        <v>77</v>
      </c>
      <c r="AF20" s="12">
        <v>52</v>
      </c>
    </row>
    <row r="21" spans="1:32" x14ac:dyDescent="0.25">
      <c r="A21" s="19"/>
      <c r="B21" s="13" t="s">
        <v>237</v>
      </c>
      <c r="C21" s="14">
        <v>0.05</v>
      </c>
      <c r="D21" s="15" t="s">
        <v>213</v>
      </c>
      <c r="E21" s="14">
        <v>0.08</v>
      </c>
      <c r="F21" s="14">
        <v>0.03</v>
      </c>
      <c r="G21" s="14">
        <v>0.04</v>
      </c>
      <c r="H21" s="14">
        <v>0.02</v>
      </c>
      <c r="I21" s="14">
        <v>0.02</v>
      </c>
      <c r="J21" s="14">
        <v>0.03</v>
      </c>
      <c r="K21" s="14">
        <v>0.14000000000000001</v>
      </c>
      <c r="L21" s="14">
        <v>0.06</v>
      </c>
      <c r="M21" s="14">
        <v>0.04</v>
      </c>
      <c r="N21" s="14">
        <v>7.0000000000000007E-2</v>
      </c>
      <c r="O21" s="14">
        <v>0.08</v>
      </c>
      <c r="P21" s="14">
        <v>0.05</v>
      </c>
      <c r="Q21" s="14">
        <v>0.03</v>
      </c>
      <c r="R21" s="14">
        <v>0.06</v>
      </c>
      <c r="S21" s="14">
        <v>0.11</v>
      </c>
      <c r="T21" s="14">
        <v>0.12</v>
      </c>
      <c r="U21" s="14">
        <v>0.01</v>
      </c>
      <c r="V21" s="14">
        <v>0.03</v>
      </c>
      <c r="W21" s="14">
        <v>0.05</v>
      </c>
      <c r="X21" s="14">
        <v>0.02</v>
      </c>
      <c r="Y21" s="14">
        <v>0.03</v>
      </c>
      <c r="Z21" s="14">
        <v>0.06</v>
      </c>
      <c r="AA21" s="14">
        <v>0.06</v>
      </c>
      <c r="AB21" s="14">
        <v>0.05</v>
      </c>
      <c r="AC21" s="14">
        <v>0.03</v>
      </c>
      <c r="AD21" s="14">
        <v>0.05</v>
      </c>
      <c r="AE21" s="14">
        <v>0.08</v>
      </c>
      <c r="AF21" s="14">
        <v>0.05</v>
      </c>
    </row>
    <row r="22" spans="1:32" x14ac:dyDescent="0.25">
      <c r="A22" s="19"/>
      <c r="B22" s="11" t="s">
        <v>804</v>
      </c>
      <c r="C22" s="12">
        <v>14331</v>
      </c>
      <c r="D22" s="12">
        <v>558</v>
      </c>
      <c r="E22" s="12">
        <v>566</v>
      </c>
      <c r="F22" s="12">
        <v>640</v>
      </c>
      <c r="G22" s="12">
        <v>787</v>
      </c>
      <c r="H22" s="12">
        <v>679</v>
      </c>
      <c r="I22" s="12">
        <v>795</v>
      </c>
      <c r="J22" s="12">
        <v>116</v>
      </c>
      <c r="K22" s="12">
        <v>511</v>
      </c>
      <c r="L22" s="12">
        <v>760</v>
      </c>
      <c r="M22" s="12">
        <v>310</v>
      </c>
      <c r="N22" s="12">
        <v>467</v>
      </c>
      <c r="O22" s="12">
        <v>421</v>
      </c>
      <c r="P22" s="12">
        <v>536</v>
      </c>
      <c r="Q22" s="12">
        <v>605</v>
      </c>
      <c r="R22" s="12">
        <v>251</v>
      </c>
      <c r="S22" s="12">
        <v>606</v>
      </c>
      <c r="T22" s="12">
        <v>652</v>
      </c>
      <c r="U22" s="12">
        <v>326</v>
      </c>
      <c r="V22" s="12">
        <v>592</v>
      </c>
      <c r="W22" s="12">
        <v>306</v>
      </c>
      <c r="X22" s="12">
        <v>629</v>
      </c>
      <c r="Y22" s="12">
        <v>509</v>
      </c>
      <c r="Z22" s="12">
        <v>740</v>
      </c>
      <c r="AA22" s="12">
        <v>690</v>
      </c>
      <c r="AB22" s="12">
        <v>522</v>
      </c>
      <c r="AC22" s="12">
        <v>505</v>
      </c>
      <c r="AD22" s="12">
        <v>578</v>
      </c>
      <c r="AE22" s="12">
        <v>604</v>
      </c>
      <c r="AF22" s="12">
        <v>634</v>
      </c>
    </row>
    <row r="23" spans="1:32" x14ac:dyDescent="0.25">
      <c r="A23" s="19"/>
      <c r="B23" s="13" t="s">
        <v>805</v>
      </c>
      <c r="C23" s="14">
        <v>0.54</v>
      </c>
      <c r="D23" s="14">
        <v>0.55000000000000004</v>
      </c>
      <c r="E23" s="14">
        <v>0.54</v>
      </c>
      <c r="F23" s="14">
        <v>0.6</v>
      </c>
      <c r="G23" s="14">
        <v>0.77</v>
      </c>
      <c r="H23" s="14">
        <v>0.55000000000000004</v>
      </c>
      <c r="I23" s="14">
        <v>0.52</v>
      </c>
      <c r="J23" s="14">
        <v>0.39</v>
      </c>
      <c r="K23" s="14">
        <v>0.51</v>
      </c>
      <c r="L23" s="14">
        <v>0.75</v>
      </c>
      <c r="M23" s="14">
        <v>0.31</v>
      </c>
      <c r="N23" s="14">
        <v>0.46</v>
      </c>
      <c r="O23" s="14">
        <v>0.42</v>
      </c>
      <c r="P23" s="14">
        <v>0.53</v>
      </c>
      <c r="Q23" s="14">
        <v>0.59</v>
      </c>
      <c r="R23" s="14">
        <v>0.5</v>
      </c>
      <c r="S23" s="14">
        <v>0.6</v>
      </c>
      <c r="T23" s="14">
        <v>0.63</v>
      </c>
      <c r="U23" s="14">
        <v>0.65</v>
      </c>
      <c r="V23" s="14">
        <v>0.57999999999999996</v>
      </c>
      <c r="W23" s="14">
        <v>0.61</v>
      </c>
      <c r="X23" s="14">
        <v>0.63</v>
      </c>
      <c r="Y23" s="14">
        <v>0.51</v>
      </c>
      <c r="Z23" s="14">
        <v>0.73</v>
      </c>
      <c r="AA23" s="14">
        <v>0.66</v>
      </c>
      <c r="AB23" s="14">
        <v>0.51</v>
      </c>
      <c r="AC23" s="14">
        <v>0.5</v>
      </c>
      <c r="AD23" s="14">
        <v>0.57000000000000006</v>
      </c>
      <c r="AE23" s="14">
        <v>0.61</v>
      </c>
      <c r="AF23" s="14">
        <v>0.62</v>
      </c>
    </row>
    <row r="24" spans="1:32" x14ac:dyDescent="0.25">
      <c r="A24" s="19"/>
      <c r="B24" s="11" t="s">
        <v>806</v>
      </c>
      <c r="C24" s="12">
        <v>10827</v>
      </c>
      <c r="D24" s="12">
        <v>457</v>
      </c>
      <c r="E24" s="12">
        <v>393</v>
      </c>
      <c r="F24" s="12">
        <v>393</v>
      </c>
      <c r="G24" s="12">
        <v>190</v>
      </c>
      <c r="H24" s="12">
        <v>521</v>
      </c>
      <c r="I24" s="12">
        <v>694</v>
      </c>
      <c r="J24" s="12">
        <v>173</v>
      </c>
      <c r="K24" s="12">
        <v>357</v>
      </c>
      <c r="L24" s="12">
        <v>191</v>
      </c>
      <c r="M24" s="12">
        <v>659</v>
      </c>
      <c r="N24" s="12">
        <v>473</v>
      </c>
      <c r="O24" s="12">
        <v>501</v>
      </c>
      <c r="P24" s="12">
        <v>414</v>
      </c>
      <c r="Q24" s="12">
        <v>391</v>
      </c>
      <c r="R24" s="12">
        <v>221</v>
      </c>
      <c r="S24" s="12">
        <v>290</v>
      </c>
      <c r="T24" s="12">
        <v>253</v>
      </c>
      <c r="U24" s="12">
        <v>174</v>
      </c>
      <c r="V24" s="12">
        <v>398</v>
      </c>
      <c r="W24" s="12">
        <v>169</v>
      </c>
      <c r="X24" s="12">
        <v>355</v>
      </c>
      <c r="Y24" s="12">
        <v>461</v>
      </c>
      <c r="Z24" s="12">
        <v>217</v>
      </c>
      <c r="AA24" s="12">
        <v>285</v>
      </c>
      <c r="AB24" s="12">
        <v>465</v>
      </c>
      <c r="AC24" s="12">
        <v>469</v>
      </c>
      <c r="AD24" s="12">
        <v>375</v>
      </c>
      <c r="AE24" s="12">
        <v>320</v>
      </c>
      <c r="AF24" s="12">
        <v>346</v>
      </c>
    </row>
    <row r="25" spans="1:32" x14ac:dyDescent="0.25">
      <c r="A25" s="19"/>
      <c r="B25" s="13" t="s">
        <v>808</v>
      </c>
      <c r="C25" s="14">
        <v>0.41</v>
      </c>
      <c r="D25" s="14">
        <v>0.45</v>
      </c>
      <c r="E25" s="14">
        <v>0.38</v>
      </c>
      <c r="F25" s="14">
        <v>0.37</v>
      </c>
      <c r="G25" s="14">
        <v>0.19</v>
      </c>
      <c r="H25" s="14">
        <v>0.43</v>
      </c>
      <c r="I25" s="14">
        <v>0.46</v>
      </c>
      <c r="J25" s="14">
        <v>0.57999999999999996</v>
      </c>
      <c r="K25" s="14">
        <v>0.35</v>
      </c>
      <c r="L25" s="14">
        <v>0.19</v>
      </c>
      <c r="M25" s="14">
        <v>0.65</v>
      </c>
      <c r="N25" s="14">
        <v>0.47</v>
      </c>
      <c r="O25" s="14">
        <v>0.5</v>
      </c>
      <c r="P25" s="14">
        <v>0.42</v>
      </c>
      <c r="Q25" s="14">
        <v>0.38</v>
      </c>
      <c r="R25" s="14">
        <v>0.44</v>
      </c>
      <c r="S25" s="14">
        <v>0.28999999999999998</v>
      </c>
      <c r="T25" s="14">
        <v>0.25</v>
      </c>
      <c r="U25" s="14">
        <v>0.34</v>
      </c>
      <c r="V25" s="14">
        <v>0.39</v>
      </c>
      <c r="W25" s="14">
        <v>0.34</v>
      </c>
      <c r="X25" s="14">
        <v>0.35</v>
      </c>
      <c r="Y25" s="14">
        <v>0.46</v>
      </c>
      <c r="Z25" s="14">
        <v>0.21</v>
      </c>
      <c r="AA25" s="14">
        <v>0.28000000000000003</v>
      </c>
      <c r="AB25" s="14">
        <v>0.44</v>
      </c>
      <c r="AC25" s="14">
        <v>0.47</v>
      </c>
      <c r="AD25" s="14">
        <v>0.38</v>
      </c>
      <c r="AE25" s="14">
        <v>0.31</v>
      </c>
      <c r="AF25" s="14">
        <v>0.33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809</v>
      </c>
      <c r="C3" s="18"/>
      <c r="D3" s="18"/>
      <c r="E3" s="18"/>
      <c r="F3" s="18"/>
      <c r="H3" s="18" t="s">
        <v>810</v>
      </c>
      <c r="I3" s="18"/>
      <c r="J3" s="18"/>
      <c r="K3" s="18"/>
      <c r="L3" s="18"/>
    </row>
    <row r="4" spans="1:32" ht="27" customHeight="1" x14ac:dyDescent="0.25">
      <c r="B4" s="18" t="s">
        <v>811</v>
      </c>
      <c r="C4" s="18"/>
      <c r="D4" s="18"/>
      <c r="E4" s="18"/>
      <c r="F4" s="18"/>
      <c r="H4" s="18" t="s">
        <v>812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HYPERLINK("#Content!A84","&lt;&lt;Back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3138</v>
      </c>
      <c r="D12" s="12">
        <v>79</v>
      </c>
      <c r="E12" s="12">
        <v>123</v>
      </c>
      <c r="F12" s="12">
        <v>64</v>
      </c>
      <c r="G12" s="12">
        <v>355</v>
      </c>
      <c r="H12" s="12">
        <v>286</v>
      </c>
      <c r="I12" s="12">
        <v>314</v>
      </c>
      <c r="J12" s="12">
        <v>29</v>
      </c>
      <c r="K12" s="12">
        <v>15</v>
      </c>
      <c r="L12" s="12">
        <v>114</v>
      </c>
      <c r="M12" s="12">
        <v>49</v>
      </c>
      <c r="N12" s="12">
        <v>47</v>
      </c>
      <c r="O12" s="12">
        <v>81</v>
      </c>
      <c r="P12" s="12">
        <v>230</v>
      </c>
      <c r="Q12" s="12">
        <v>66</v>
      </c>
      <c r="R12" s="12">
        <v>17</v>
      </c>
      <c r="S12" s="12">
        <v>40</v>
      </c>
      <c r="T12" s="12">
        <v>31</v>
      </c>
      <c r="U12" s="12">
        <v>70</v>
      </c>
      <c r="V12" s="12">
        <v>69</v>
      </c>
      <c r="W12" s="12">
        <v>47</v>
      </c>
      <c r="X12" s="12">
        <v>227</v>
      </c>
      <c r="Y12" s="12">
        <v>245</v>
      </c>
      <c r="Z12" s="12">
        <v>92</v>
      </c>
      <c r="AA12" s="12">
        <v>132</v>
      </c>
      <c r="AB12" s="12">
        <v>69</v>
      </c>
      <c r="AC12" s="12">
        <v>84</v>
      </c>
      <c r="AD12" s="12">
        <v>206</v>
      </c>
      <c r="AE12" s="12">
        <v>152</v>
      </c>
      <c r="AF12" s="12">
        <v>280</v>
      </c>
    </row>
    <row r="13" spans="1:32" x14ac:dyDescent="0.25">
      <c r="A13" s="19"/>
      <c r="B13" s="13" t="s">
        <v>327</v>
      </c>
      <c r="C13" s="14">
        <v>0.12</v>
      </c>
      <c r="D13" s="14">
        <v>0.08</v>
      </c>
      <c r="E13" s="14">
        <v>0.12</v>
      </c>
      <c r="F13" s="14">
        <v>0.06</v>
      </c>
      <c r="G13" s="14">
        <v>0.35</v>
      </c>
      <c r="H13" s="14">
        <v>0.23</v>
      </c>
      <c r="I13" s="14">
        <v>0.21</v>
      </c>
      <c r="J13" s="14">
        <v>0.1</v>
      </c>
      <c r="K13" s="14">
        <v>0.01</v>
      </c>
      <c r="L13" s="14">
        <v>0.12</v>
      </c>
      <c r="M13" s="14">
        <v>0.05</v>
      </c>
      <c r="N13" s="14">
        <v>0.05</v>
      </c>
      <c r="O13" s="14">
        <v>0.08</v>
      </c>
      <c r="P13" s="14">
        <v>0.23</v>
      </c>
      <c r="Q13" s="14">
        <v>0.06</v>
      </c>
      <c r="R13" s="14">
        <v>0.03</v>
      </c>
      <c r="S13" s="14">
        <v>0.04</v>
      </c>
      <c r="T13" s="14">
        <v>0.03</v>
      </c>
      <c r="U13" s="14">
        <v>0.14000000000000001</v>
      </c>
      <c r="V13" s="14">
        <v>7.0000000000000007E-2</v>
      </c>
      <c r="W13" s="14">
        <v>0.09</v>
      </c>
      <c r="X13" s="14">
        <v>0.22</v>
      </c>
      <c r="Y13" s="14">
        <v>0.24</v>
      </c>
      <c r="Z13" s="14">
        <v>0.09</v>
      </c>
      <c r="AA13" s="14">
        <v>0.13</v>
      </c>
      <c r="AB13" s="14">
        <v>0.06</v>
      </c>
      <c r="AC13" s="14">
        <v>0.09</v>
      </c>
      <c r="AD13" s="14">
        <v>0.21</v>
      </c>
      <c r="AE13" s="14">
        <v>0.15</v>
      </c>
      <c r="AF13" s="14">
        <v>0.27</v>
      </c>
    </row>
    <row r="14" spans="1:32" x14ac:dyDescent="0.25">
      <c r="A14" s="19"/>
      <c r="B14" s="11" t="s">
        <v>328</v>
      </c>
      <c r="C14" s="12">
        <v>9456</v>
      </c>
      <c r="D14" s="12">
        <v>386</v>
      </c>
      <c r="E14" s="12">
        <v>363</v>
      </c>
      <c r="F14" s="12">
        <v>318</v>
      </c>
      <c r="G14" s="12">
        <v>375</v>
      </c>
      <c r="H14" s="12">
        <v>483</v>
      </c>
      <c r="I14" s="12">
        <v>576</v>
      </c>
      <c r="J14" s="12">
        <v>93</v>
      </c>
      <c r="K14" s="12">
        <v>180</v>
      </c>
      <c r="L14" s="12">
        <v>384</v>
      </c>
      <c r="M14" s="12">
        <v>177</v>
      </c>
      <c r="N14" s="12">
        <v>360</v>
      </c>
      <c r="O14" s="12">
        <v>336</v>
      </c>
      <c r="P14" s="12">
        <v>423</v>
      </c>
      <c r="Q14" s="12">
        <v>320</v>
      </c>
      <c r="R14" s="12">
        <v>106</v>
      </c>
      <c r="S14" s="12">
        <v>267</v>
      </c>
      <c r="T14" s="12">
        <v>313</v>
      </c>
      <c r="U14" s="12">
        <v>225</v>
      </c>
      <c r="V14" s="12">
        <v>351</v>
      </c>
      <c r="W14" s="12">
        <v>168</v>
      </c>
      <c r="X14" s="12">
        <v>435</v>
      </c>
      <c r="Y14" s="12">
        <v>311</v>
      </c>
      <c r="Z14" s="12">
        <v>483</v>
      </c>
      <c r="AA14" s="12">
        <v>370</v>
      </c>
      <c r="AB14" s="12">
        <v>373</v>
      </c>
      <c r="AC14" s="12">
        <v>305</v>
      </c>
      <c r="AD14" s="12">
        <v>360</v>
      </c>
      <c r="AE14" s="12">
        <v>349</v>
      </c>
      <c r="AF14" s="12">
        <v>416</v>
      </c>
    </row>
    <row r="15" spans="1:32" x14ac:dyDescent="0.25">
      <c r="A15" s="19"/>
      <c r="B15" s="13" t="s">
        <v>329</v>
      </c>
      <c r="C15" s="14">
        <v>0.36</v>
      </c>
      <c r="D15" s="14">
        <v>0.38</v>
      </c>
      <c r="E15" s="14">
        <v>0.35</v>
      </c>
      <c r="F15" s="14">
        <v>0.3</v>
      </c>
      <c r="G15" s="14">
        <v>0.37</v>
      </c>
      <c r="H15" s="14">
        <v>0.39</v>
      </c>
      <c r="I15" s="14">
        <v>0.38</v>
      </c>
      <c r="J15" s="14">
        <v>0.31</v>
      </c>
      <c r="K15" s="14">
        <v>0.18</v>
      </c>
      <c r="L15" s="14">
        <v>0.38</v>
      </c>
      <c r="M15" s="14">
        <v>0.18</v>
      </c>
      <c r="N15" s="14">
        <v>0.36</v>
      </c>
      <c r="O15" s="14">
        <v>0.33</v>
      </c>
      <c r="P15" s="14">
        <v>0.42</v>
      </c>
      <c r="Q15" s="14">
        <v>0.31</v>
      </c>
      <c r="R15" s="14">
        <v>0.21</v>
      </c>
      <c r="S15" s="14">
        <v>0.26</v>
      </c>
      <c r="T15" s="14">
        <v>0.31</v>
      </c>
      <c r="U15" s="14">
        <v>0.44</v>
      </c>
      <c r="V15" s="14">
        <v>0.34</v>
      </c>
      <c r="W15" s="14">
        <v>0.33</v>
      </c>
      <c r="X15" s="14">
        <v>0.43</v>
      </c>
      <c r="Y15" s="14">
        <v>0.31</v>
      </c>
      <c r="Z15" s="14">
        <v>0.48</v>
      </c>
      <c r="AA15" s="14">
        <v>0.36</v>
      </c>
      <c r="AB15" s="14">
        <v>0.36</v>
      </c>
      <c r="AC15" s="14">
        <v>0.3</v>
      </c>
      <c r="AD15" s="14">
        <v>0.36</v>
      </c>
      <c r="AE15" s="14">
        <v>0.35</v>
      </c>
      <c r="AF15" s="14">
        <v>0.41</v>
      </c>
    </row>
    <row r="16" spans="1:32" x14ac:dyDescent="0.25">
      <c r="A16" s="19"/>
      <c r="B16" s="11" t="s">
        <v>330</v>
      </c>
      <c r="C16" s="12">
        <v>8144</v>
      </c>
      <c r="D16" s="12">
        <v>374</v>
      </c>
      <c r="E16" s="12">
        <v>266</v>
      </c>
      <c r="F16" s="12">
        <v>370</v>
      </c>
      <c r="G16" s="12">
        <v>179</v>
      </c>
      <c r="H16" s="12">
        <v>270</v>
      </c>
      <c r="I16" s="12">
        <v>388</v>
      </c>
      <c r="J16" s="12">
        <v>118</v>
      </c>
      <c r="K16" s="12">
        <v>381</v>
      </c>
      <c r="L16" s="12">
        <v>285</v>
      </c>
      <c r="M16" s="12">
        <v>426</v>
      </c>
      <c r="N16" s="12">
        <v>337</v>
      </c>
      <c r="O16" s="12">
        <v>298</v>
      </c>
      <c r="P16" s="12">
        <v>230</v>
      </c>
      <c r="Q16" s="12">
        <v>390</v>
      </c>
      <c r="R16" s="12">
        <v>165</v>
      </c>
      <c r="S16" s="12">
        <v>379</v>
      </c>
      <c r="T16" s="12">
        <v>301</v>
      </c>
      <c r="U16" s="12">
        <v>96</v>
      </c>
      <c r="V16" s="12">
        <v>293</v>
      </c>
      <c r="W16" s="12">
        <v>199</v>
      </c>
      <c r="X16" s="12">
        <v>242</v>
      </c>
      <c r="Y16" s="12">
        <v>227</v>
      </c>
      <c r="Z16" s="12">
        <v>320</v>
      </c>
      <c r="AA16" s="12">
        <v>408</v>
      </c>
      <c r="AB16" s="12">
        <v>355</v>
      </c>
      <c r="AC16" s="12">
        <v>331</v>
      </c>
      <c r="AD16" s="12">
        <v>297</v>
      </c>
      <c r="AE16" s="12">
        <v>335</v>
      </c>
      <c r="AF16" s="12">
        <v>220</v>
      </c>
    </row>
    <row r="17" spans="1:32" x14ac:dyDescent="0.25">
      <c r="A17" s="19"/>
      <c r="B17" s="13" t="s">
        <v>331</v>
      </c>
      <c r="C17" s="14">
        <v>0.31</v>
      </c>
      <c r="D17" s="14">
        <v>0.37</v>
      </c>
      <c r="E17" s="14">
        <v>0.25</v>
      </c>
      <c r="F17" s="14">
        <v>0.35</v>
      </c>
      <c r="G17" s="14">
        <v>0.18</v>
      </c>
      <c r="H17" s="14">
        <v>0.22</v>
      </c>
      <c r="I17" s="14">
        <v>0.25</v>
      </c>
      <c r="J17" s="14">
        <v>0.4</v>
      </c>
      <c r="K17" s="14">
        <v>0.38</v>
      </c>
      <c r="L17" s="14">
        <v>0.28000000000000003</v>
      </c>
      <c r="M17" s="14">
        <v>0.42</v>
      </c>
      <c r="N17" s="14">
        <v>0.33</v>
      </c>
      <c r="O17" s="14">
        <v>0.3</v>
      </c>
      <c r="P17" s="14">
        <v>0.23</v>
      </c>
      <c r="Q17" s="14">
        <v>0.38</v>
      </c>
      <c r="R17" s="14">
        <v>0.33</v>
      </c>
      <c r="S17" s="14">
        <v>0.38</v>
      </c>
      <c r="T17" s="14">
        <v>0.28999999999999998</v>
      </c>
      <c r="U17" s="14">
        <v>0.19</v>
      </c>
      <c r="V17" s="14">
        <v>0.28000000000000003</v>
      </c>
      <c r="W17" s="14">
        <v>0.4</v>
      </c>
      <c r="X17" s="14">
        <v>0.24</v>
      </c>
      <c r="Y17" s="14">
        <v>0.23</v>
      </c>
      <c r="Z17" s="14">
        <v>0.31</v>
      </c>
      <c r="AA17" s="14">
        <v>0.39</v>
      </c>
      <c r="AB17" s="14">
        <v>0.34</v>
      </c>
      <c r="AC17" s="14">
        <v>0.33</v>
      </c>
      <c r="AD17" s="14">
        <v>0.3</v>
      </c>
      <c r="AE17" s="14">
        <v>0.34</v>
      </c>
      <c r="AF17" s="14">
        <v>0.21</v>
      </c>
    </row>
    <row r="18" spans="1:32" x14ac:dyDescent="0.25">
      <c r="A18" s="19"/>
      <c r="B18" s="11" t="s">
        <v>332</v>
      </c>
      <c r="C18" s="12">
        <v>4952</v>
      </c>
      <c r="D18" s="12">
        <v>168</v>
      </c>
      <c r="E18" s="12">
        <v>234</v>
      </c>
      <c r="F18" s="12">
        <v>294</v>
      </c>
      <c r="G18" s="12">
        <v>76</v>
      </c>
      <c r="H18" s="12">
        <v>146</v>
      </c>
      <c r="I18" s="12">
        <v>197</v>
      </c>
      <c r="J18" s="12">
        <v>51</v>
      </c>
      <c r="K18" s="12">
        <v>369</v>
      </c>
      <c r="L18" s="12">
        <v>170</v>
      </c>
      <c r="M18" s="12">
        <v>340</v>
      </c>
      <c r="N18" s="12">
        <v>231</v>
      </c>
      <c r="O18" s="12">
        <v>247</v>
      </c>
      <c r="P18" s="12">
        <v>93</v>
      </c>
      <c r="Q18" s="12">
        <v>238</v>
      </c>
      <c r="R18" s="12">
        <v>192</v>
      </c>
      <c r="S18" s="12">
        <v>270</v>
      </c>
      <c r="T18" s="12">
        <v>280</v>
      </c>
      <c r="U18" s="12">
        <v>98</v>
      </c>
      <c r="V18" s="12">
        <v>294</v>
      </c>
      <c r="W18" s="12">
        <v>79</v>
      </c>
      <c r="X18" s="12">
        <v>96</v>
      </c>
      <c r="Y18" s="12">
        <v>195</v>
      </c>
      <c r="Z18" s="12">
        <v>89</v>
      </c>
      <c r="AA18" s="12">
        <v>111</v>
      </c>
      <c r="AB18" s="12">
        <v>227</v>
      </c>
      <c r="AC18" s="12">
        <v>244</v>
      </c>
      <c r="AD18" s="12">
        <v>114</v>
      </c>
      <c r="AE18" s="12">
        <v>151</v>
      </c>
      <c r="AF18" s="12">
        <v>96</v>
      </c>
    </row>
    <row r="19" spans="1:32" x14ac:dyDescent="0.25">
      <c r="A19" s="19"/>
      <c r="B19" s="13" t="s">
        <v>333</v>
      </c>
      <c r="C19" s="14">
        <v>0.18</v>
      </c>
      <c r="D19" s="14">
        <v>0.16</v>
      </c>
      <c r="E19" s="14">
        <v>0.22</v>
      </c>
      <c r="F19" s="14">
        <v>0.27</v>
      </c>
      <c r="G19" s="14">
        <v>7.0000000000000007E-2</v>
      </c>
      <c r="H19" s="14">
        <v>0.12</v>
      </c>
      <c r="I19" s="14">
        <v>0.13</v>
      </c>
      <c r="J19" s="14">
        <v>0.17</v>
      </c>
      <c r="K19" s="14">
        <v>0.37</v>
      </c>
      <c r="L19" s="14">
        <v>0.17</v>
      </c>
      <c r="M19" s="14">
        <v>0.34</v>
      </c>
      <c r="N19" s="14">
        <v>0.23</v>
      </c>
      <c r="O19" s="14">
        <v>0.25</v>
      </c>
      <c r="P19" s="14">
        <v>0.09</v>
      </c>
      <c r="Q19" s="14">
        <v>0.23</v>
      </c>
      <c r="R19" s="14">
        <v>0.39</v>
      </c>
      <c r="S19" s="14">
        <v>0.27</v>
      </c>
      <c r="T19" s="14">
        <v>0.27</v>
      </c>
      <c r="U19" s="14">
        <v>0.19</v>
      </c>
      <c r="V19" s="14">
        <v>0.28999999999999998</v>
      </c>
      <c r="W19" s="14">
        <v>0.16</v>
      </c>
      <c r="X19" s="14">
        <v>0.1</v>
      </c>
      <c r="Y19" s="14">
        <v>0.2</v>
      </c>
      <c r="Z19" s="14">
        <v>0.09</v>
      </c>
      <c r="AA19" s="14">
        <v>0.11</v>
      </c>
      <c r="AB19" s="14">
        <v>0.22</v>
      </c>
      <c r="AC19" s="14">
        <v>0.24</v>
      </c>
      <c r="AD19" s="14">
        <v>0.11</v>
      </c>
      <c r="AE19" s="14">
        <v>0.15</v>
      </c>
      <c r="AF19" s="14">
        <v>0.09</v>
      </c>
    </row>
    <row r="20" spans="1:32" x14ac:dyDescent="0.25">
      <c r="A20" s="19"/>
      <c r="B20" s="11" t="s">
        <v>224</v>
      </c>
      <c r="C20" s="12">
        <v>763</v>
      </c>
      <c r="D20" s="12">
        <v>14</v>
      </c>
      <c r="E20" s="12">
        <v>60</v>
      </c>
      <c r="F20" s="12">
        <v>18</v>
      </c>
      <c r="G20" s="12">
        <v>31</v>
      </c>
      <c r="H20" s="12">
        <v>45</v>
      </c>
      <c r="I20" s="12">
        <v>51</v>
      </c>
      <c r="J20" s="12">
        <v>6</v>
      </c>
      <c r="K20" s="12">
        <v>61</v>
      </c>
      <c r="L20" s="12">
        <v>53</v>
      </c>
      <c r="M20" s="12">
        <v>15</v>
      </c>
      <c r="N20" s="12">
        <v>35</v>
      </c>
      <c r="O20" s="12">
        <v>42</v>
      </c>
      <c r="P20" s="12">
        <v>26</v>
      </c>
      <c r="Q20" s="12">
        <v>17</v>
      </c>
      <c r="R20" s="12">
        <v>21</v>
      </c>
      <c r="S20" s="12">
        <v>48</v>
      </c>
      <c r="T20" s="12">
        <v>98</v>
      </c>
      <c r="U20" s="12">
        <v>19</v>
      </c>
      <c r="V20" s="12">
        <v>20</v>
      </c>
      <c r="W20" s="12">
        <v>9</v>
      </c>
      <c r="X20" s="12">
        <v>10</v>
      </c>
      <c r="Y20" s="12">
        <v>25</v>
      </c>
      <c r="Z20" s="12">
        <v>32</v>
      </c>
      <c r="AA20" s="12">
        <v>16</v>
      </c>
      <c r="AB20" s="12">
        <v>18</v>
      </c>
      <c r="AC20" s="12">
        <v>41</v>
      </c>
      <c r="AD20" s="12">
        <v>26</v>
      </c>
      <c r="AE20" s="12">
        <v>14</v>
      </c>
      <c r="AF20" s="12">
        <v>18</v>
      </c>
    </row>
    <row r="21" spans="1:32" x14ac:dyDescent="0.25">
      <c r="A21" s="19"/>
      <c r="B21" s="13" t="s">
        <v>237</v>
      </c>
      <c r="C21" s="14">
        <v>0.03</v>
      </c>
      <c r="D21" s="14">
        <v>0.01</v>
      </c>
      <c r="E21" s="14">
        <v>0.06</v>
      </c>
      <c r="F21" s="14">
        <v>0.02</v>
      </c>
      <c r="G21" s="14">
        <v>0.03</v>
      </c>
      <c r="H21" s="14">
        <v>0.04</v>
      </c>
      <c r="I21" s="14">
        <v>0.03</v>
      </c>
      <c r="J21" s="14">
        <v>0.02</v>
      </c>
      <c r="K21" s="14">
        <v>0.06</v>
      </c>
      <c r="L21" s="14">
        <v>0.05</v>
      </c>
      <c r="M21" s="14">
        <v>0.01</v>
      </c>
      <c r="N21" s="14">
        <v>0.03</v>
      </c>
      <c r="O21" s="14">
        <v>0.04</v>
      </c>
      <c r="P21" s="14">
        <v>0.03</v>
      </c>
      <c r="Q21" s="14">
        <v>0.02</v>
      </c>
      <c r="R21" s="14">
        <v>0.04</v>
      </c>
      <c r="S21" s="14">
        <v>0.05</v>
      </c>
      <c r="T21" s="14">
        <v>0.1</v>
      </c>
      <c r="U21" s="14">
        <v>0.04</v>
      </c>
      <c r="V21" s="14">
        <v>0.02</v>
      </c>
      <c r="W21" s="14">
        <v>0.02</v>
      </c>
      <c r="X21" s="14">
        <v>0.01</v>
      </c>
      <c r="Y21" s="14">
        <v>0.02</v>
      </c>
      <c r="Z21" s="14">
        <v>0.03</v>
      </c>
      <c r="AA21" s="14">
        <v>0.01</v>
      </c>
      <c r="AB21" s="14">
        <v>0.02</v>
      </c>
      <c r="AC21" s="14">
        <v>0.04</v>
      </c>
      <c r="AD21" s="14">
        <v>0.02</v>
      </c>
      <c r="AE21" s="14">
        <v>0.01</v>
      </c>
      <c r="AF21" s="14">
        <v>0.02</v>
      </c>
    </row>
    <row r="22" spans="1:32" x14ac:dyDescent="0.25">
      <c r="A22" s="19"/>
      <c r="B22" s="11" t="s">
        <v>334</v>
      </c>
      <c r="C22" s="12">
        <v>12594</v>
      </c>
      <c r="D22" s="12">
        <v>465</v>
      </c>
      <c r="E22" s="12">
        <v>486</v>
      </c>
      <c r="F22" s="12">
        <v>382</v>
      </c>
      <c r="G22" s="12">
        <v>730</v>
      </c>
      <c r="H22" s="12">
        <v>769</v>
      </c>
      <c r="I22" s="12">
        <v>890</v>
      </c>
      <c r="J22" s="12">
        <v>122</v>
      </c>
      <c r="K22" s="12">
        <v>195</v>
      </c>
      <c r="L22" s="12">
        <v>498</v>
      </c>
      <c r="M22" s="12">
        <v>226</v>
      </c>
      <c r="N22" s="12">
        <v>407</v>
      </c>
      <c r="O22" s="12">
        <v>417</v>
      </c>
      <c r="P22" s="12">
        <v>653</v>
      </c>
      <c r="Q22" s="12">
        <v>386</v>
      </c>
      <c r="R22" s="12">
        <v>123</v>
      </c>
      <c r="S22" s="12">
        <v>307</v>
      </c>
      <c r="T22" s="12">
        <v>344</v>
      </c>
      <c r="U22" s="12">
        <v>295</v>
      </c>
      <c r="V22" s="12">
        <v>420</v>
      </c>
      <c r="W22" s="12">
        <v>215</v>
      </c>
      <c r="X22" s="12">
        <v>662</v>
      </c>
      <c r="Y22" s="12">
        <v>556</v>
      </c>
      <c r="Z22" s="12">
        <v>575</v>
      </c>
      <c r="AA22" s="12">
        <v>502</v>
      </c>
      <c r="AB22" s="12">
        <v>442</v>
      </c>
      <c r="AC22" s="12">
        <v>389</v>
      </c>
      <c r="AD22" s="12">
        <v>566</v>
      </c>
      <c r="AE22" s="12">
        <v>501</v>
      </c>
      <c r="AF22" s="12">
        <v>696</v>
      </c>
    </row>
    <row r="23" spans="1:32" x14ac:dyDescent="0.25">
      <c r="A23" s="19"/>
      <c r="B23" s="13" t="s">
        <v>335</v>
      </c>
      <c r="C23" s="14">
        <v>0.48</v>
      </c>
      <c r="D23" s="14">
        <v>0.46</v>
      </c>
      <c r="E23" s="14">
        <v>0.47</v>
      </c>
      <c r="F23" s="14">
        <v>0.36</v>
      </c>
      <c r="G23" s="14">
        <v>0.72</v>
      </c>
      <c r="H23" s="14">
        <v>0.62</v>
      </c>
      <c r="I23" s="14">
        <v>0.59</v>
      </c>
      <c r="J23" s="14">
        <v>0.41</v>
      </c>
      <c r="K23" s="14">
        <v>0.19</v>
      </c>
      <c r="L23" s="14">
        <v>0.5</v>
      </c>
      <c r="M23" s="14">
        <v>0.23</v>
      </c>
      <c r="N23" s="14">
        <v>0.41</v>
      </c>
      <c r="O23" s="14">
        <v>0.41</v>
      </c>
      <c r="P23" s="14">
        <v>0.65</v>
      </c>
      <c r="Q23" s="14">
        <v>0.37</v>
      </c>
      <c r="R23" s="14">
        <v>0.24</v>
      </c>
      <c r="S23" s="14">
        <v>0.3</v>
      </c>
      <c r="T23" s="14">
        <v>0.34</v>
      </c>
      <c r="U23" s="14">
        <v>0.57999999999999996</v>
      </c>
      <c r="V23" s="14">
        <v>0.41</v>
      </c>
      <c r="W23" s="14">
        <v>0.42</v>
      </c>
      <c r="X23" s="14">
        <v>0.65</v>
      </c>
      <c r="Y23" s="14">
        <v>0.55000000000000004</v>
      </c>
      <c r="Z23" s="14">
        <v>0.57000000000000006</v>
      </c>
      <c r="AA23" s="14">
        <v>0.49</v>
      </c>
      <c r="AB23" s="14">
        <v>0.42</v>
      </c>
      <c r="AC23" s="14">
        <v>0.39</v>
      </c>
      <c r="AD23" s="14">
        <v>0.57000000000000006</v>
      </c>
      <c r="AE23" s="14">
        <v>0.5</v>
      </c>
      <c r="AF23" s="14">
        <v>0.68</v>
      </c>
    </row>
    <row r="24" spans="1:32" x14ac:dyDescent="0.25">
      <c r="A24" s="19"/>
      <c r="B24" s="11" t="s">
        <v>336</v>
      </c>
      <c r="C24" s="12">
        <v>13096</v>
      </c>
      <c r="D24" s="12">
        <v>542</v>
      </c>
      <c r="E24" s="12">
        <v>500</v>
      </c>
      <c r="F24" s="12">
        <v>664</v>
      </c>
      <c r="G24" s="12">
        <v>255</v>
      </c>
      <c r="H24" s="12">
        <v>416</v>
      </c>
      <c r="I24" s="12">
        <v>585</v>
      </c>
      <c r="J24" s="12">
        <v>169</v>
      </c>
      <c r="K24" s="12">
        <v>750</v>
      </c>
      <c r="L24" s="12">
        <v>455</v>
      </c>
      <c r="M24" s="12">
        <v>766</v>
      </c>
      <c r="N24" s="12">
        <v>568</v>
      </c>
      <c r="O24" s="12">
        <v>545</v>
      </c>
      <c r="P24" s="12">
        <v>323</v>
      </c>
      <c r="Q24" s="12">
        <v>628</v>
      </c>
      <c r="R24" s="12">
        <v>357</v>
      </c>
      <c r="S24" s="12">
        <v>649</v>
      </c>
      <c r="T24" s="12">
        <v>581</v>
      </c>
      <c r="U24" s="12">
        <v>194</v>
      </c>
      <c r="V24" s="12">
        <v>587</v>
      </c>
      <c r="W24" s="12">
        <v>278</v>
      </c>
      <c r="X24" s="12">
        <v>338</v>
      </c>
      <c r="Y24" s="12">
        <v>422</v>
      </c>
      <c r="Z24" s="12">
        <v>409</v>
      </c>
      <c r="AA24" s="12">
        <v>519</v>
      </c>
      <c r="AB24" s="12">
        <v>582</v>
      </c>
      <c r="AC24" s="12">
        <v>575</v>
      </c>
      <c r="AD24" s="12">
        <v>411</v>
      </c>
      <c r="AE24" s="12">
        <v>486</v>
      </c>
      <c r="AF24" s="12">
        <v>316</v>
      </c>
    </row>
    <row r="25" spans="1:32" x14ac:dyDescent="0.25">
      <c r="A25" s="19"/>
      <c r="B25" s="13" t="s">
        <v>337</v>
      </c>
      <c r="C25" s="14">
        <v>0.49</v>
      </c>
      <c r="D25" s="14">
        <v>0.53</v>
      </c>
      <c r="E25" s="14">
        <v>0.47</v>
      </c>
      <c r="F25" s="14">
        <v>0.62</v>
      </c>
      <c r="G25" s="14">
        <v>0.25</v>
      </c>
      <c r="H25" s="14">
        <v>0.34</v>
      </c>
      <c r="I25" s="14">
        <v>0.38</v>
      </c>
      <c r="J25" s="14">
        <v>0.57000000000000006</v>
      </c>
      <c r="K25" s="14">
        <v>0.75</v>
      </c>
      <c r="L25" s="14">
        <v>0.45</v>
      </c>
      <c r="M25" s="14">
        <v>0.76</v>
      </c>
      <c r="N25" s="14">
        <v>0.56000000000000005</v>
      </c>
      <c r="O25" s="14">
        <v>0.55000000000000004</v>
      </c>
      <c r="P25" s="14">
        <v>0.32</v>
      </c>
      <c r="Q25" s="14">
        <v>0.61</v>
      </c>
      <c r="R25" s="14">
        <v>0.72</v>
      </c>
      <c r="S25" s="14">
        <v>0.65</v>
      </c>
      <c r="T25" s="14">
        <v>0.56000000000000005</v>
      </c>
      <c r="U25" s="14">
        <v>0.38</v>
      </c>
      <c r="V25" s="14">
        <v>0.57000000000000006</v>
      </c>
      <c r="W25" s="14">
        <v>0.56000000000000005</v>
      </c>
      <c r="X25" s="14">
        <v>0.34</v>
      </c>
      <c r="Y25" s="14">
        <v>0.43</v>
      </c>
      <c r="Z25" s="14">
        <v>0.4</v>
      </c>
      <c r="AA25" s="14">
        <v>0.5</v>
      </c>
      <c r="AB25" s="14">
        <v>0.56000000000000005</v>
      </c>
      <c r="AC25" s="14">
        <v>0.57000000000000006</v>
      </c>
      <c r="AD25" s="14">
        <v>0.41</v>
      </c>
      <c r="AE25" s="14">
        <v>0.49</v>
      </c>
      <c r="AF25" s="14">
        <v>0.3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813</v>
      </c>
      <c r="C3" s="18"/>
      <c r="D3" s="18"/>
      <c r="E3" s="18"/>
      <c r="F3" s="18"/>
      <c r="H3" s="18" t="s">
        <v>814</v>
      </c>
      <c r="I3" s="18"/>
      <c r="J3" s="18"/>
      <c r="K3" s="18"/>
      <c r="L3" s="18"/>
    </row>
    <row r="4" spans="1:32" ht="27" customHeight="1" x14ac:dyDescent="0.25">
      <c r="B4" s="18" t="s">
        <v>815</v>
      </c>
      <c r="C4" s="18"/>
      <c r="D4" s="18"/>
      <c r="E4" s="18"/>
      <c r="F4" s="18"/>
      <c r="H4" s="18" t="s">
        <v>816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HYPERLINK("#Content!A85","&lt;&lt;Back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5308</v>
      </c>
      <c r="D12" s="12">
        <v>125</v>
      </c>
      <c r="E12" s="12">
        <v>161</v>
      </c>
      <c r="F12" s="12">
        <v>136</v>
      </c>
      <c r="G12" s="12">
        <v>649</v>
      </c>
      <c r="H12" s="12">
        <v>436</v>
      </c>
      <c r="I12" s="12">
        <v>492</v>
      </c>
      <c r="J12" s="12">
        <v>56</v>
      </c>
      <c r="K12" s="12">
        <v>57</v>
      </c>
      <c r="L12" s="12">
        <v>191</v>
      </c>
      <c r="M12" s="12">
        <v>70</v>
      </c>
      <c r="N12" s="12">
        <v>83</v>
      </c>
      <c r="O12" s="12">
        <v>162</v>
      </c>
      <c r="P12" s="12">
        <v>352</v>
      </c>
      <c r="Q12" s="12">
        <v>72</v>
      </c>
      <c r="R12" s="12">
        <v>15</v>
      </c>
      <c r="S12" s="12">
        <v>112</v>
      </c>
      <c r="T12" s="12">
        <v>46</v>
      </c>
      <c r="U12" s="12">
        <v>108</v>
      </c>
      <c r="V12" s="12">
        <v>113</v>
      </c>
      <c r="W12" s="12">
        <v>57</v>
      </c>
      <c r="X12" s="12">
        <v>405</v>
      </c>
      <c r="Y12" s="12">
        <v>362</v>
      </c>
      <c r="Z12" s="12">
        <v>176</v>
      </c>
      <c r="AA12" s="12">
        <v>193</v>
      </c>
      <c r="AB12" s="12">
        <v>116</v>
      </c>
      <c r="AC12" s="12">
        <v>162</v>
      </c>
      <c r="AD12" s="12">
        <v>361</v>
      </c>
      <c r="AE12" s="12">
        <v>386</v>
      </c>
      <c r="AF12" s="12">
        <v>646</v>
      </c>
    </row>
    <row r="13" spans="1:32" x14ac:dyDescent="0.25">
      <c r="A13" s="19"/>
      <c r="B13" s="13" t="s">
        <v>327</v>
      </c>
      <c r="C13" s="14">
        <v>0.2</v>
      </c>
      <c r="D13" s="14">
        <v>0.12</v>
      </c>
      <c r="E13" s="14">
        <v>0.15</v>
      </c>
      <c r="F13" s="14">
        <v>0.13</v>
      </c>
      <c r="G13" s="14">
        <v>0.64</v>
      </c>
      <c r="H13" s="14">
        <v>0.35</v>
      </c>
      <c r="I13" s="14">
        <v>0.32</v>
      </c>
      <c r="J13" s="14">
        <v>0.19</v>
      </c>
      <c r="K13" s="14">
        <v>0.06</v>
      </c>
      <c r="L13" s="14">
        <v>0.19</v>
      </c>
      <c r="M13" s="14">
        <v>7.0000000000000007E-2</v>
      </c>
      <c r="N13" s="14">
        <v>0.08</v>
      </c>
      <c r="O13" s="14">
        <v>0.16</v>
      </c>
      <c r="P13" s="14">
        <v>0.35</v>
      </c>
      <c r="Q13" s="14">
        <v>7.0000000000000007E-2</v>
      </c>
      <c r="R13" s="14">
        <v>0.03</v>
      </c>
      <c r="S13" s="14">
        <v>0.11</v>
      </c>
      <c r="T13" s="14">
        <v>0.05</v>
      </c>
      <c r="U13" s="14">
        <v>0.21</v>
      </c>
      <c r="V13" s="14">
        <v>0.11</v>
      </c>
      <c r="W13" s="14">
        <v>0.11</v>
      </c>
      <c r="X13" s="14">
        <v>0.4</v>
      </c>
      <c r="Y13" s="14">
        <v>0.36</v>
      </c>
      <c r="Z13" s="14">
        <v>0.17</v>
      </c>
      <c r="AA13" s="14">
        <v>0.18</v>
      </c>
      <c r="AB13" s="14">
        <v>0.11</v>
      </c>
      <c r="AC13" s="14">
        <v>0.16</v>
      </c>
      <c r="AD13" s="14">
        <v>0.36</v>
      </c>
      <c r="AE13" s="14">
        <v>0.39</v>
      </c>
      <c r="AF13" s="14">
        <v>0.63</v>
      </c>
    </row>
    <row r="14" spans="1:32" x14ac:dyDescent="0.25">
      <c r="A14" s="19"/>
      <c r="B14" s="11" t="s">
        <v>328</v>
      </c>
      <c r="C14" s="12">
        <v>11029</v>
      </c>
      <c r="D14" s="12">
        <v>465</v>
      </c>
      <c r="E14" s="12">
        <v>423</v>
      </c>
      <c r="F14" s="12">
        <v>512</v>
      </c>
      <c r="G14" s="12">
        <v>287</v>
      </c>
      <c r="H14" s="12">
        <v>503</v>
      </c>
      <c r="I14" s="12">
        <v>625</v>
      </c>
      <c r="J14" s="12">
        <v>122</v>
      </c>
      <c r="K14" s="12">
        <v>349</v>
      </c>
      <c r="L14" s="12">
        <v>490</v>
      </c>
      <c r="M14" s="12">
        <v>190</v>
      </c>
      <c r="N14" s="12">
        <v>419</v>
      </c>
      <c r="O14" s="12">
        <v>422</v>
      </c>
      <c r="P14" s="12">
        <v>444</v>
      </c>
      <c r="Q14" s="12">
        <v>397</v>
      </c>
      <c r="R14" s="12">
        <v>153</v>
      </c>
      <c r="S14" s="12">
        <v>354</v>
      </c>
      <c r="T14" s="12">
        <v>360</v>
      </c>
      <c r="U14" s="12">
        <v>243</v>
      </c>
      <c r="V14" s="12">
        <v>381</v>
      </c>
      <c r="W14" s="12">
        <v>193</v>
      </c>
      <c r="X14" s="12">
        <v>424</v>
      </c>
      <c r="Y14" s="12">
        <v>389</v>
      </c>
      <c r="Z14" s="12">
        <v>626</v>
      </c>
      <c r="AA14" s="12">
        <v>417</v>
      </c>
      <c r="AB14" s="12">
        <v>391</v>
      </c>
      <c r="AC14" s="12">
        <v>437</v>
      </c>
      <c r="AD14" s="12">
        <v>408</v>
      </c>
      <c r="AE14" s="12">
        <v>444</v>
      </c>
      <c r="AF14" s="12">
        <v>317</v>
      </c>
    </row>
    <row r="15" spans="1:32" x14ac:dyDescent="0.25">
      <c r="A15" s="19"/>
      <c r="B15" s="13" t="s">
        <v>329</v>
      </c>
      <c r="C15" s="14">
        <v>0.42</v>
      </c>
      <c r="D15" s="14">
        <v>0.46</v>
      </c>
      <c r="E15" s="14">
        <v>0.41</v>
      </c>
      <c r="F15" s="14">
        <v>0.48</v>
      </c>
      <c r="G15" s="14">
        <v>0.28000000000000003</v>
      </c>
      <c r="H15" s="14">
        <v>0.41</v>
      </c>
      <c r="I15" s="14">
        <v>0.41</v>
      </c>
      <c r="J15" s="14">
        <v>0.41</v>
      </c>
      <c r="K15" s="14">
        <v>0.35</v>
      </c>
      <c r="L15" s="14">
        <v>0.49</v>
      </c>
      <c r="M15" s="14">
        <v>0.19</v>
      </c>
      <c r="N15" s="14">
        <v>0.41</v>
      </c>
      <c r="O15" s="14">
        <v>0.42</v>
      </c>
      <c r="P15" s="14">
        <v>0.44</v>
      </c>
      <c r="Q15" s="14">
        <v>0.38</v>
      </c>
      <c r="R15" s="14">
        <v>0.31</v>
      </c>
      <c r="S15" s="14">
        <v>0.36</v>
      </c>
      <c r="T15" s="14">
        <v>0.35</v>
      </c>
      <c r="U15" s="14">
        <v>0.48</v>
      </c>
      <c r="V15" s="14">
        <v>0.37</v>
      </c>
      <c r="W15" s="14">
        <v>0.39</v>
      </c>
      <c r="X15" s="14">
        <v>0.42</v>
      </c>
      <c r="Y15" s="14">
        <v>0.39</v>
      </c>
      <c r="Z15" s="14">
        <v>0.62</v>
      </c>
      <c r="AA15" s="14">
        <v>0.4</v>
      </c>
      <c r="AB15" s="14">
        <v>0.38</v>
      </c>
      <c r="AC15" s="14">
        <v>0.43</v>
      </c>
      <c r="AD15" s="14">
        <v>0.41</v>
      </c>
      <c r="AE15" s="14">
        <v>0.44</v>
      </c>
      <c r="AF15" s="14">
        <v>0.31</v>
      </c>
    </row>
    <row r="16" spans="1:32" x14ac:dyDescent="0.25">
      <c r="A16" s="19"/>
      <c r="B16" s="11" t="s">
        <v>330</v>
      </c>
      <c r="C16" s="12">
        <v>6146</v>
      </c>
      <c r="D16" s="12">
        <v>284</v>
      </c>
      <c r="E16" s="12">
        <v>263</v>
      </c>
      <c r="F16" s="12">
        <v>281</v>
      </c>
      <c r="G16" s="12">
        <v>52</v>
      </c>
      <c r="H16" s="12">
        <v>161</v>
      </c>
      <c r="I16" s="12">
        <v>249</v>
      </c>
      <c r="J16" s="12">
        <v>88</v>
      </c>
      <c r="K16" s="12">
        <v>345</v>
      </c>
      <c r="L16" s="12">
        <v>195</v>
      </c>
      <c r="M16" s="12">
        <v>405</v>
      </c>
      <c r="N16" s="12">
        <v>295</v>
      </c>
      <c r="O16" s="12">
        <v>229</v>
      </c>
      <c r="P16" s="12">
        <v>141</v>
      </c>
      <c r="Q16" s="12">
        <v>346</v>
      </c>
      <c r="R16" s="12">
        <v>153</v>
      </c>
      <c r="S16" s="12">
        <v>333</v>
      </c>
      <c r="T16" s="12">
        <v>321</v>
      </c>
      <c r="U16" s="12">
        <v>90</v>
      </c>
      <c r="V16" s="12">
        <v>281</v>
      </c>
      <c r="W16" s="12">
        <v>187</v>
      </c>
      <c r="X16" s="12">
        <v>116</v>
      </c>
      <c r="Y16" s="12">
        <v>138</v>
      </c>
      <c r="Z16" s="12">
        <v>168</v>
      </c>
      <c r="AA16" s="12">
        <v>352</v>
      </c>
      <c r="AB16" s="12">
        <v>345</v>
      </c>
      <c r="AC16" s="12">
        <v>256</v>
      </c>
      <c r="AD16" s="12">
        <v>161</v>
      </c>
      <c r="AE16" s="12">
        <v>119</v>
      </c>
      <c r="AF16" s="12">
        <v>46</v>
      </c>
    </row>
    <row r="17" spans="1:32" x14ac:dyDescent="0.25">
      <c r="A17" s="19"/>
      <c r="B17" s="13" t="s">
        <v>331</v>
      </c>
      <c r="C17" s="14">
        <v>0.23</v>
      </c>
      <c r="D17" s="14">
        <v>0.28000000000000003</v>
      </c>
      <c r="E17" s="14">
        <v>0.25</v>
      </c>
      <c r="F17" s="14">
        <v>0.26</v>
      </c>
      <c r="G17" s="14">
        <v>0.05</v>
      </c>
      <c r="H17" s="14">
        <v>0.13</v>
      </c>
      <c r="I17" s="14">
        <v>0.16</v>
      </c>
      <c r="J17" s="14">
        <v>0.3</v>
      </c>
      <c r="K17" s="14">
        <v>0.34</v>
      </c>
      <c r="L17" s="14">
        <v>0.19</v>
      </c>
      <c r="M17" s="14">
        <v>0.4</v>
      </c>
      <c r="N17" s="14">
        <v>0.28999999999999998</v>
      </c>
      <c r="O17" s="14">
        <v>0.23</v>
      </c>
      <c r="P17" s="14">
        <v>0.14000000000000001</v>
      </c>
      <c r="Q17" s="14">
        <v>0.34</v>
      </c>
      <c r="R17" s="14">
        <v>0.3</v>
      </c>
      <c r="S17" s="14">
        <v>0.33</v>
      </c>
      <c r="T17" s="14">
        <v>0.31</v>
      </c>
      <c r="U17" s="14">
        <v>0.18</v>
      </c>
      <c r="V17" s="14">
        <v>0.27</v>
      </c>
      <c r="W17" s="14">
        <v>0.37</v>
      </c>
      <c r="X17" s="14">
        <v>0.11</v>
      </c>
      <c r="Y17" s="14">
        <v>0.14000000000000001</v>
      </c>
      <c r="Z17" s="14">
        <v>0.16</v>
      </c>
      <c r="AA17" s="14">
        <v>0.34</v>
      </c>
      <c r="AB17" s="14">
        <v>0.33</v>
      </c>
      <c r="AC17" s="14">
        <v>0.26</v>
      </c>
      <c r="AD17" s="14">
        <v>0.16</v>
      </c>
      <c r="AE17" s="14">
        <v>0.12</v>
      </c>
      <c r="AF17" s="14">
        <v>0.04</v>
      </c>
    </row>
    <row r="18" spans="1:32" x14ac:dyDescent="0.25">
      <c r="A18" s="19"/>
      <c r="B18" s="11" t="s">
        <v>332</v>
      </c>
      <c r="C18" s="12">
        <v>3499</v>
      </c>
      <c r="D18" s="12">
        <v>143</v>
      </c>
      <c r="E18" s="12">
        <v>158</v>
      </c>
      <c r="F18" s="12">
        <v>121</v>
      </c>
      <c r="G18" s="12">
        <v>17</v>
      </c>
      <c r="H18" s="12">
        <v>99</v>
      </c>
      <c r="I18" s="12">
        <v>127</v>
      </c>
      <c r="J18" s="12">
        <v>28</v>
      </c>
      <c r="K18" s="12">
        <v>209</v>
      </c>
      <c r="L18" s="12">
        <v>106</v>
      </c>
      <c r="M18" s="12">
        <v>335</v>
      </c>
      <c r="N18" s="12">
        <v>197</v>
      </c>
      <c r="O18" s="12">
        <v>161</v>
      </c>
      <c r="P18" s="12">
        <v>54</v>
      </c>
      <c r="Q18" s="12">
        <v>203</v>
      </c>
      <c r="R18" s="12">
        <v>171</v>
      </c>
      <c r="S18" s="12">
        <v>182</v>
      </c>
      <c r="T18" s="12">
        <v>241</v>
      </c>
      <c r="U18" s="12">
        <v>55</v>
      </c>
      <c r="V18" s="12">
        <v>242</v>
      </c>
      <c r="W18" s="12">
        <v>57</v>
      </c>
      <c r="X18" s="12">
        <v>59</v>
      </c>
      <c r="Y18" s="12">
        <v>105</v>
      </c>
      <c r="Z18" s="12">
        <v>31</v>
      </c>
      <c r="AA18" s="12">
        <v>68</v>
      </c>
      <c r="AB18" s="12">
        <v>174</v>
      </c>
      <c r="AC18" s="12">
        <v>133</v>
      </c>
      <c r="AD18" s="12">
        <v>51</v>
      </c>
      <c r="AE18" s="12">
        <v>45</v>
      </c>
      <c r="AF18" s="12">
        <v>21</v>
      </c>
    </row>
    <row r="19" spans="1:32" x14ac:dyDescent="0.25">
      <c r="A19" s="19"/>
      <c r="B19" s="13" t="s">
        <v>333</v>
      </c>
      <c r="C19" s="14">
        <v>0.13</v>
      </c>
      <c r="D19" s="14">
        <v>0.14000000000000001</v>
      </c>
      <c r="E19" s="14">
        <v>0.15</v>
      </c>
      <c r="F19" s="14">
        <v>0.11</v>
      </c>
      <c r="G19" s="14">
        <v>0.02</v>
      </c>
      <c r="H19" s="14">
        <v>0.08</v>
      </c>
      <c r="I19" s="14">
        <v>0.09</v>
      </c>
      <c r="J19" s="14">
        <v>0.09</v>
      </c>
      <c r="K19" s="14">
        <v>0.21</v>
      </c>
      <c r="L19" s="14">
        <v>0.11</v>
      </c>
      <c r="M19" s="14">
        <v>0.33</v>
      </c>
      <c r="N19" s="14">
        <v>0.2</v>
      </c>
      <c r="O19" s="14">
        <v>0.16</v>
      </c>
      <c r="P19" s="14">
        <v>0.06</v>
      </c>
      <c r="Q19" s="14">
        <v>0.2</v>
      </c>
      <c r="R19" s="14">
        <v>0.34</v>
      </c>
      <c r="S19" s="14">
        <v>0.18</v>
      </c>
      <c r="T19" s="14">
        <v>0.24</v>
      </c>
      <c r="U19" s="14">
        <v>0.11</v>
      </c>
      <c r="V19" s="14">
        <v>0.24</v>
      </c>
      <c r="W19" s="14">
        <v>0.11</v>
      </c>
      <c r="X19" s="14">
        <v>0.06</v>
      </c>
      <c r="Y19" s="14">
        <v>0.1</v>
      </c>
      <c r="Z19" s="14">
        <v>0.03</v>
      </c>
      <c r="AA19" s="14">
        <v>7.0000000000000007E-2</v>
      </c>
      <c r="AB19" s="14">
        <v>0.17</v>
      </c>
      <c r="AC19" s="14">
        <v>0.13</v>
      </c>
      <c r="AD19" s="14">
        <v>0.05</v>
      </c>
      <c r="AE19" s="14">
        <v>0.04</v>
      </c>
      <c r="AF19" s="14">
        <v>0.02</v>
      </c>
    </row>
    <row r="20" spans="1:32" x14ac:dyDescent="0.25">
      <c r="A20" s="19"/>
      <c r="B20" s="11" t="s">
        <v>224</v>
      </c>
      <c r="C20" s="12">
        <v>470</v>
      </c>
      <c r="D20" s="12">
        <v>4</v>
      </c>
      <c r="E20" s="12">
        <v>41</v>
      </c>
      <c r="F20" s="12">
        <v>15</v>
      </c>
      <c r="G20" s="12">
        <v>12</v>
      </c>
      <c r="H20" s="12">
        <v>31</v>
      </c>
      <c r="I20" s="12">
        <v>33</v>
      </c>
      <c r="J20" s="12">
        <v>3</v>
      </c>
      <c r="K20" s="12">
        <v>46</v>
      </c>
      <c r="L20" s="12">
        <v>24</v>
      </c>
      <c r="M20" s="12">
        <v>7</v>
      </c>
      <c r="N20" s="12">
        <v>17</v>
      </c>
      <c r="O20" s="12">
        <v>31</v>
      </c>
      <c r="P20" s="12">
        <v>12</v>
      </c>
      <c r="Q20" s="12">
        <v>14</v>
      </c>
      <c r="R20" s="12">
        <v>10</v>
      </c>
      <c r="S20" s="12">
        <v>23</v>
      </c>
      <c r="T20" s="12">
        <v>54</v>
      </c>
      <c r="U20" s="12">
        <v>13</v>
      </c>
      <c r="V20" s="12">
        <v>9</v>
      </c>
      <c r="W20" s="12">
        <v>8</v>
      </c>
      <c r="X20" s="12">
        <v>6</v>
      </c>
      <c r="Y20" s="12">
        <v>9</v>
      </c>
      <c r="Z20" s="12">
        <v>16</v>
      </c>
      <c r="AA20" s="12">
        <v>7</v>
      </c>
      <c r="AB20" s="12">
        <v>16</v>
      </c>
      <c r="AC20" s="12">
        <v>17</v>
      </c>
      <c r="AD20" s="12">
        <v>22</v>
      </c>
      <c r="AE20" s="12">
        <v>7</v>
      </c>
      <c r="AF20" s="12">
        <v>1</v>
      </c>
    </row>
    <row r="21" spans="1:32" x14ac:dyDescent="0.25">
      <c r="A21" s="19"/>
      <c r="B21" s="13" t="s">
        <v>237</v>
      </c>
      <c r="C21" s="14">
        <v>0.02</v>
      </c>
      <c r="D21" s="15" t="s">
        <v>213</v>
      </c>
      <c r="E21" s="14">
        <v>0.04</v>
      </c>
      <c r="F21" s="14">
        <v>0.02</v>
      </c>
      <c r="G21" s="14">
        <v>0.01</v>
      </c>
      <c r="H21" s="14">
        <v>0.03</v>
      </c>
      <c r="I21" s="14">
        <v>0.02</v>
      </c>
      <c r="J21" s="14">
        <v>0.01</v>
      </c>
      <c r="K21" s="14">
        <v>0.04</v>
      </c>
      <c r="L21" s="14">
        <v>0.02</v>
      </c>
      <c r="M21" s="14">
        <v>0.01</v>
      </c>
      <c r="N21" s="14">
        <v>0.02</v>
      </c>
      <c r="O21" s="14">
        <v>0.03</v>
      </c>
      <c r="P21" s="14">
        <v>0.01</v>
      </c>
      <c r="Q21" s="14">
        <v>0.01</v>
      </c>
      <c r="R21" s="14">
        <v>0.02</v>
      </c>
      <c r="S21" s="14">
        <v>0.02</v>
      </c>
      <c r="T21" s="14">
        <v>0.05</v>
      </c>
      <c r="U21" s="14">
        <v>0.02</v>
      </c>
      <c r="V21" s="14">
        <v>0.01</v>
      </c>
      <c r="W21" s="14">
        <v>0.02</v>
      </c>
      <c r="X21" s="14">
        <v>0.01</v>
      </c>
      <c r="Y21" s="14">
        <v>0.01</v>
      </c>
      <c r="Z21" s="14">
        <v>0.02</v>
      </c>
      <c r="AA21" s="14">
        <v>0.01</v>
      </c>
      <c r="AB21" s="14">
        <v>0.01</v>
      </c>
      <c r="AC21" s="14">
        <v>0.02</v>
      </c>
      <c r="AD21" s="14">
        <v>0.02</v>
      </c>
      <c r="AE21" s="14">
        <v>0.01</v>
      </c>
      <c r="AF21" s="15" t="s">
        <v>213</v>
      </c>
    </row>
    <row r="22" spans="1:32" x14ac:dyDescent="0.25">
      <c r="A22" s="19"/>
      <c r="B22" s="11" t="s">
        <v>334</v>
      </c>
      <c r="C22" s="12">
        <v>16337</v>
      </c>
      <c r="D22" s="12">
        <v>590</v>
      </c>
      <c r="E22" s="12">
        <v>584</v>
      </c>
      <c r="F22" s="12">
        <v>648</v>
      </c>
      <c r="G22" s="12">
        <v>936</v>
      </c>
      <c r="H22" s="12">
        <v>939</v>
      </c>
      <c r="I22" s="12">
        <v>1117</v>
      </c>
      <c r="J22" s="12">
        <v>178</v>
      </c>
      <c r="K22" s="12">
        <v>406</v>
      </c>
      <c r="L22" s="12">
        <v>681</v>
      </c>
      <c r="M22" s="12">
        <v>260</v>
      </c>
      <c r="N22" s="12">
        <v>502</v>
      </c>
      <c r="O22" s="12">
        <v>584</v>
      </c>
      <c r="P22" s="12">
        <v>796</v>
      </c>
      <c r="Q22" s="12">
        <v>469</v>
      </c>
      <c r="R22" s="12">
        <v>168</v>
      </c>
      <c r="S22" s="12">
        <v>466</v>
      </c>
      <c r="T22" s="12">
        <v>406</v>
      </c>
      <c r="U22" s="12">
        <v>351</v>
      </c>
      <c r="V22" s="12">
        <v>494</v>
      </c>
      <c r="W22" s="12">
        <v>250</v>
      </c>
      <c r="X22" s="12">
        <v>829</v>
      </c>
      <c r="Y22" s="12">
        <v>751</v>
      </c>
      <c r="Z22" s="12">
        <v>802</v>
      </c>
      <c r="AA22" s="12">
        <v>610</v>
      </c>
      <c r="AB22" s="12">
        <v>507</v>
      </c>
      <c r="AC22" s="12">
        <v>599</v>
      </c>
      <c r="AD22" s="12">
        <v>769</v>
      </c>
      <c r="AE22" s="12">
        <v>830</v>
      </c>
      <c r="AF22" s="12">
        <v>963</v>
      </c>
    </row>
    <row r="23" spans="1:32" x14ac:dyDescent="0.25">
      <c r="A23" s="19"/>
      <c r="B23" s="13" t="s">
        <v>335</v>
      </c>
      <c r="C23" s="14">
        <v>0.62</v>
      </c>
      <c r="D23" s="14">
        <v>0.57999999999999996</v>
      </c>
      <c r="E23" s="14">
        <v>0.56000000000000005</v>
      </c>
      <c r="F23" s="14">
        <v>0.61</v>
      </c>
      <c r="G23" s="14">
        <v>0.92</v>
      </c>
      <c r="H23" s="14">
        <v>0.76</v>
      </c>
      <c r="I23" s="14">
        <v>0.73</v>
      </c>
      <c r="J23" s="14">
        <v>0.6</v>
      </c>
      <c r="K23" s="14">
        <v>0.41</v>
      </c>
      <c r="L23" s="14">
        <v>0.68</v>
      </c>
      <c r="M23" s="14">
        <v>0.26</v>
      </c>
      <c r="N23" s="14">
        <v>0.49</v>
      </c>
      <c r="O23" s="14">
        <v>0.57999999999999996</v>
      </c>
      <c r="P23" s="14">
        <v>0.79</v>
      </c>
      <c r="Q23" s="14">
        <v>0.45</v>
      </c>
      <c r="R23" s="14">
        <v>0.34</v>
      </c>
      <c r="S23" s="14">
        <v>0.47</v>
      </c>
      <c r="T23" s="14">
        <v>0.4</v>
      </c>
      <c r="U23" s="14">
        <v>0.69000000000000006</v>
      </c>
      <c r="V23" s="14">
        <v>0.48</v>
      </c>
      <c r="W23" s="14">
        <v>0.5</v>
      </c>
      <c r="X23" s="14">
        <v>0.82000000000000006</v>
      </c>
      <c r="Y23" s="14">
        <v>0.75</v>
      </c>
      <c r="Z23" s="14">
        <v>0.79</v>
      </c>
      <c r="AA23" s="14">
        <v>0.57999999999999996</v>
      </c>
      <c r="AB23" s="14">
        <v>0.49</v>
      </c>
      <c r="AC23" s="14">
        <v>0.59</v>
      </c>
      <c r="AD23" s="14">
        <v>0.77</v>
      </c>
      <c r="AE23" s="14">
        <v>0.83000000000000007</v>
      </c>
      <c r="AF23" s="14">
        <v>0.94000000000000006</v>
      </c>
    </row>
    <row r="24" spans="1:32" x14ac:dyDescent="0.25">
      <c r="A24" s="19"/>
      <c r="B24" s="11" t="s">
        <v>336</v>
      </c>
      <c r="C24" s="12">
        <v>9645</v>
      </c>
      <c r="D24" s="12">
        <v>427</v>
      </c>
      <c r="E24" s="12">
        <v>421</v>
      </c>
      <c r="F24" s="12">
        <v>402</v>
      </c>
      <c r="G24" s="12">
        <v>69</v>
      </c>
      <c r="H24" s="12">
        <v>260</v>
      </c>
      <c r="I24" s="12">
        <v>376</v>
      </c>
      <c r="J24" s="12">
        <v>116</v>
      </c>
      <c r="K24" s="12">
        <v>554</v>
      </c>
      <c r="L24" s="12">
        <v>301</v>
      </c>
      <c r="M24" s="12">
        <v>740</v>
      </c>
      <c r="N24" s="12">
        <v>492</v>
      </c>
      <c r="O24" s="12">
        <v>390</v>
      </c>
      <c r="P24" s="12">
        <v>195</v>
      </c>
      <c r="Q24" s="12">
        <v>549</v>
      </c>
      <c r="R24" s="12">
        <v>324</v>
      </c>
      <c r="S24" s="12">
        <v>515</v>
      </c>
      <c r="T24" s="12">
        <v>562</v>
      </c>
      <c r="U24" s="12">
        <v>145</v>
      </c>
      <c r="V24" s="12">
        <v>523</v>
      </c>
      <c r="W24" s="12">
        <v>244</v>
      </c>
      <c r="X24" s="12">
        <v>175</v>
      </c>
      <c r="Y24" s="12">
        <v>243</v>
      </c>
      <c r="Z24" s="12">
        <v>199</v>
      </c>
      <c r="AA24" s="12">
        <v>420</v>
      </c>
      <c r="AB24" s="12">
        <v>519</v>
      </c>
      <c r="AC24" s="12">
        <v>389</v>
      </c>
      <c r="AD24" s="12">
        <v>212</v>
      </c>
      <c r="AE24" s="12">
        <v>164</v>
      </c>
      <c r="AF24" s="12">
        <v>67</v>
      </c>
    </row>
    <row r="25" spans="1:32" x14ac:dyDescent="0.25">
      <c r="A25" s="19"/>
      <c r="B25" s="13" t="s">
        <v>337</v>
      </c>
      <c r="C25" s="14">
        <v>0.36</v>
      </c>
      <c r="D25" s="14">
        <v>0.42</v>
      </c>
      <c r="E25" s="14">
        <v>0.4</v>
      </c>
      <c r="F25" s="14">
        <v>0.37</v>
      </c>
      <c r="G25" s="14">
        <v>7.0000000000000007E-2</v>
      </c>
      <c r="H25" s="14">
        <v>0.21</v>
      </c>
      <c r="I25" s="14">
        <v>0.25</v>
      </c>
      <c r="J25" s="14">
        <v>0.39</v>
      </c>
      <c r="K25" s="14">
        <v>0.55000000000000004</v>
      </c>
      <c r="L25" s="14">
        <v>0.3</v>
      </c>
      <c r="M25" s="14">
        <v>0.73</v>
      </c>
      <c r="N25" s="14">
        <v>0.49</v>
      </c>
      <c r="O25" s="14">
        <v>0.39</v>
      </c>
      <c r="P25" s="14">
        <v>0.2</v>
      </c>
      <c r="Q25" s="14">
        <v>0.54</v>
      </c>
      <c r="R25" s="14">
        <v>0.64</v>
      </c>
      <c r="S25" s="14">
        <v>0.51</v>
      </c>
      <c r="T25" s="14">
        <v>0.55000000000000004</v>
      </c>
      <c r="U25" s="14">
        <v>0.28999999999999998</v>
      </c>
      <c r="V25" s="14">
        <v>0.51</v>
      </c>
      <c r="W25" s="14">
        <v>0.48</v>
      </c>
      <c r="X25" s="14">
        <v>0.17</v>
      </c>
      <c r="Y25" s="14">
        <v>0.24</v>
      </c>
      <c r="Z25" s="14">
        <v>0.19</v>
      </c>
      <c r="AA25" s="14">
        <v>0.41</v>
      </c>
      <c r="AB25" s="14">
        <v>0.5</v>
      </c>
      <c r="AC25" s="14">
        <v>0.39</v>
      </c>
      <c r="AD25" s="14">
        <v>0.21</v>
      </c>
      <c r="AE25" s="14">
        <v>0.16</v>
      </c>
      <c r="AF25" s="14">
        <v>0.06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F25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24" customHeight="1" x14ac:dyDescent="0.25">
      <c r="B3" s="18" t="s">
        <v>817</v>
      </c>
      <c r="C3" s="18"/>
      <c r="D3" s="18"/>
      <c r="E3" s="18"/>
      <c r="F3" s="18"/>
      <c r="H3" s="18" t="s">
        <v>818</v>
      </c>
      <c r="I3" s="18"/>
      <c r="J3" s="18"/>
      <c r="K3" s="18"/>
      <c r="L3" s="18"/>
    </row>
    <row r="4" spans="1:32" ht="27" customHeight="1" x14ac:dyDescent="0.25">
      <c r="B4" s="18" t="s">
        <v>819</v>
      </c>
      <c r="C4" s="18"/>
      <c r="D4" s="18"/>
      <c r="E4" s="18"/>
      <c r="F4" s="18"/>
      <c r="H4" s="18" t="s">
        <v>820</v>
      </c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HYPERLINK("#Content!A86","&lt;&lt;Back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326</v>
      </c>
      <c r="C12" s="12">
        <v>5210</v>
      </c>
      <c r="D12" s="12">
        <v>131</v>
      </c>
      <c r="E12" s="12">
        <v>118</v>
      </c>
      <c r="F12" s="12">
        <v>119</v>
      </c>
      <c r="G12" s="12">
        <v>489</v>
      </c>
      <c r="H12" s="12">
        <v>451</v>
      </c>
      <c r="I12" s="12">
        <v>515</v>
      </c>
      <c r="J12" s="12">
        <v>64</v>
      </c>
      <c r="K12" s="12">
        <v>86</v>
      </c>
      <c r="L12" s="12">
        <v>218</v>
      </c>
      <c r="M12" s="12">
        <v>79</v>
      </c>
      <c r="N12" s="12">
        <v>136</v>
      </c>
      <c r="O12" s="12">
        <v>158</v>
      </c>
      <c r="P12" s="12">
        <v>261</v>
      </c>
      <c r="Q12" s="12">
        <v>134</v>
      </c>
      <c r="R12" s="12">
        <v>16</v>
      </c>
      <c r="S12" s="12">
        <v>82</v>
      </c>
      <c r="T12" s="12">
        <v>68</v>
      </c>
      <c r="U12" s="12">
        <v>109</v>
      </c>
      <c r="V12" s="12">
        <v>128</v>
      </c>
      <c r="W12" s="12">
        <v>97</v>
      </c>
      <c r="X12" s="12">
        <v>334</v>
      </c>
      <c r="Y12" s="12">
        <v>282</v>
      </c>
      <c r="Z12" s="12">
        <v>142</v>
      </c>
      <c r="AA12" s="12">
        <v>260</v>
      </c>
      <c r="AB12" s="12">
        <v>94</v>
      </c>
      <c r="AC12" s="12">
        <v>88</v>
      </c>
      <c r="AD12" s="12">
        <v>220</v>
      </c>
      <c r="AE12" s="12">
        <v>204</v>
      </c>
      <c r="AF12" s="12">
        <v>358</v>
      </c>
    </row>
    <row r="13" spans="1:32" x14ac:dyDescent="0.25">
      <c r="A13" s="19"/>
      <c r="B13" s="13" t="s">
        <v>327</v>
      </c>
      <c r="C13" s="14">
        <v>0.2</v>
      </c>
      <c r="D13" s="14">
        <v>0.13</v>
      </c>
      <c r="E13" s="14">
        <v>0.11</v>
      </c>
      <c r="F13" s="14">
        <v>0.11</v>
      </c>
      <c r="G13" s="14">
        <v>0.48</v>
      </c>
      <c r="H13" s="14">
        <v>0.37</v>
      </c>
      <c r="I13" s="14">
        <v>0.34</v>
      </c>
      <c r="J13" s="14">
        <v>0.22</v>
      </c>
      <c r="K13" s="14">
        <v>0.09</v>
      </c>
      <c r="L13" s="14">
        <v>0.22</v>
      </c>
      <c r="M13" s="14">
        <v>0.08</v>
      </c>
      <c r="N13" s="14">
        <v>0.13</v>
      </c>
      <c r="O13" s="14">
        <v>0.16</v>
      </c>
      <c r="P13" s="14">
        <v>0.26</v>
      </c>
      <c r="Q13" s="14">
        <v>0.13</v>
      </c>
      <c r="R13" s="14">
        <v>0.03</v>
      </c>
      <c r="S13" s="14">
        <v>0.08</v>
      </c>
      <c r="T13" s="14">
        <v>7.0000000000000007E-2</v>
      </c>
      <c r="U13" s="14">
        <v>0.21</v>
      </c>
      <c r="V13" s="14">
        <v>0.12</v>
      </c>
      <c r="W13" s="14">
        <v>0.19</v>
      </c>
      <c r="X13" s="14">
        <v>0.33</v>
      </c>
      <c r="Y13" s="14">
        <v>0.28000000000000003</v>
      </c>
      <c r="Z13" s="14">
        <v>0.14000000000000001</v>
      </c>
      <c r="AA13" s="14">
        <v>0.25</v>
      </c>
      <c r="AB13" s="14">
        <v>0.09</v>
      </c>
      <c r="AC13" s="14">
        <v>0.09</v>
      </c>
      <c r="AD13" s="14">
        <v>0.22</v>
      </c>
      <c r="AE13" s="14">
        <v>0.2</v>
      </c>
      <c r="AF13" s="14">
        <v>0.35</v>
      </c>
    </row>
    <row r="14" spans="1:32" x14ac:dyDescent="0.25">
      <c r="A14" s="19"/>
      <c r="B14" s="11" t="s">
        <v>328</v>
      </c>
      <c r="C14" s="12">
        <v>12819</v>
      </c>
      <c r="D14" s="12">
        <v>517</v>
      </c>
      <c r="E14" s="12">
        <v>413</v>
      </c>
      <c r="F14" s="12">
        <v>419</v>
      </c>
      <c r="G14" s="12">
        <v>396</v>
      </c>
      <c r="H14" s="12">
        <v>599</v>
      </c>
      <c r="I14" s="12">
        <v>741</v>
      </c>
      <c r="J14" s="12">
        <v>142</v>
      </c>
      <c r="K14" s="12">
        <v>516</v>
      </c>
      <c r="L14" s="12">
        <v>536</v>
      </c>
      <c r="M14" s="12">
        <v>281</v>
      </c>
      <c r="N14" s="12">
        <v>490</v>
      </c>
      <c r="O14" s="12">
        <v>515</v>
      </c>
      <c r="P14" s="12">
        <v>490</v>
      </c>
      <c r="Q14" s="12">
        <v>463</v>
      </c>
      <c r="R14" s="12">
        <v>158</v>
      </c>
      <c r="S14" s="12">
        <v>484</v>
      </c>
      <c r="T14" s="12">
        <v>536</v>
      </c>
      <c r="U14" s="12">
        <v>292</v>
      </c>
      <c r="V14" s="12">
        <v>416</v>
      </c>
      <c r="W14" s="12">
        <v>283</v>
      </c>
      <c r="X14" s="12">
        <v>472</v>
      </c>
      <c r="Y14" s="12">
        <v>391</v>
      </c>
      <c r="Z14" s="12">
        <v>633</v>
      </c>
      <c r="AA14" s="12">
        <v>617</v>
      </c>
      <c r="AB14" s="12">
        <v>473</v>
      </c>
      <c r="AC14" s="12">
        <v>407</v>
      </c>
      <c r="AD14" s="12">
        <v>464</v>
      </c>
      <c r="AE14" s="12">
        <v>541</v>
      </c>
      <c r="AF14" s="12">
        <v>521</v>
      </c>
    </row>
    <row r="15" spans="1:32" x14ac:dyDescent="0.25">
      <c r="A15" s="19"/>
      <c r="B15" s="13" t="s">
        <v>329</v>
      </c>
      <c r="C15" s="14">
        <v>0.48</v>
      </c>
      <c r="D15" s="14">
        <v>0.51</v>
      </c>
      <c r="E15" s="14">
        <v>0.39</v>
      </c>
      <c r="F15" s="14">
        <v>0.4</v>
      </c>
      <c r="G15" s="14">
        <v>0.39</v>
      </c>
      <c r="H15" s="14">
        <v>0.49</v>
      </c>
      <c r="I15" s="14">
        <v>0.48</v>
      </c>
      <c r="J15" s="14">
        <v>0.48</v>
      </c>
      <c r="K15" s="14">
        <v>0.51</v>
      </c>
      <c r="L15" s="14">
        <v>0.53</v>
      </c>
      <c r="M15" s="14">
        <v>0.28000000000000003</v>
      </c>
      <c r="N15" s="14">
        <v>0.48</v>
      </c>
      <c r="O15" s="14">
        <v>0.51</v>
      </c>
      <c r="P15" s="14">
        <v>0.49</v>
      </c>
      <c r="Q15" s="14">
        <v>0.45</v>
      </c>
      <c r="R15" s="14">
        <v>0.31</v>
      </c>
      <c r="S15" s="14">
        <v>0.48</v>
      </c>
      <c r="T15" s="14">
        <v>0.52</v>
      </c>
      <c r="U15" s="14">
        <v>0.57000000000000006</v>
      </c>
      <c r="V15" s="14">
        <v>0.41</v>
      </c>
      <c r="W15" s="14">
        <v>0.56000000000000005</v>
      </c>
      <c r="X15" s="14">
        <v>0.47</v>
      </c>
      <c r="Y15" s="14">
        <v>0.39</v>
      </c>
      <c r="Z15" s="14">
        <v>0.62</v>
      </c>
      <c r="AA15" s="14">
        <v>0.59</v>
      </c>
      <c r="AB15" s="14">
        <v>0.45</v>
      </c>
      <c r="AC15" s="14">
        <v>0.4</v>
      </c>
      <c r="AD15" s="14">
        <v>0.46</v>
      </c>
      <c r="AE15" s="14">
        <v>0.54</v>
      </c>
      <c r="AF15" s="14">
        <v>0.5</v>
      </c>
    </row>
    <row r="16" spans="1:32" x14ac:dyDescent="0.25">
      <c r="A16" s="19"/>
      <c r="B16" s="11" t="s">
        <v>330</v>
      </c>
      <c r="C16" s="12">
        <v>5595</v>
      </c>
      <c r="D16" s="12">
        <v>267</v>
      </c>
      <c r="E16" s="12">
        <v>290</v>
      </c>
      <c r="F16" s="12">
        <v>383</v>
      </c>
      <c r="G16" s="12">
        <v>88</v>
      </c>
      <c r="H16" s="12">
        <v>101</v>
      </c>
      <c r="I16" s="12">
        <v>171</v>
      </c>
      <c r="J16" s="12">
        <v>70</v>
      </c>
      <c r="K16" s="12">
        <v>256</v>
      </c>
      <c r="L16" s="12">
        <v>154</v>
      </c>
      <c r="M16" s="12">
        <v>396</v>
      </c>
      <c r="N16" s="12">
        <v>248</v>
      </c>
      <c r="O16" s="12">
        <v>205</v>
      </c>
      <c r="P16" s="12">
        <v>159</v>
      </c>
      <c r="Q16" s="12">
        <v>306</v>
      </c>
      <c r="R16" s="12">
        <v>170</v>
      </c>
      <c r="S16" s="12">
        <v>322</v>
      </c>
      <c r="T16" s="12">
        <v>296</v>
      </c>
      <c r="U16" s="12">
        <v>66</v>
      </c>
      <c r="V16" s="12">
        <v>307</v>
      </c>
      <c r="W16" s="12">
        <v>86</v>
      </c>
      <c r="X16" s="12">
        <v>150</v>
      </c>
      <c r="Y16" s="12">
        <v>224</v>
      </c>
      <c r="Z16" s="12">
        <v>176</v>
      </c>
      <c r="AA16" s="12">
        <v>119</v>
      </c>
      <c r="AB16" s="12">
        <v>312</v>
      </c>
      <c r="AC16" s="12">
        <v>339</v>
      </c>
      <c r="AD16" s="12">
        <v>222</v>
      </c>
      <c r="AE16" s="12">
        <v>186</v>
      </c>
      <c r="AF16" s="12">
        <v>118</v>
      </c>
    </row>
    <row r="17" spans="1:32" x14ac:dyDescent="0.25">
      <c r="A17" s="19"/>
      <c r="B17" s="13" t="s">
        <v>331</v>
      </c>
      <c r="C17" s="14">
        <v>0.21</v>
      </c>
      <c r="D17" s="14">
        <v>0.26</v>
      </c>
      <c r="E17" s="14">
        <v>0.28000000000000003</v>
      </c>
      <c r="F17" s="14">
        <v>0.36</v>
      </c>
      <c r="G17" s="14">
        <v>0.09</v>
      </c>
      <c r="H17" s="14">
        <v>0.08</v>
      </c>
      <c r="I17" s="14">
        <v>0.11</v>
      </c>
      <c r="J17" s="14">
        <v>0.23</v>
      </c>
      <c r="K17" s="14">
        <v>0.25</v>
      </c>
      <c r="L17" s="14">
        <v>0.15</v>
      </c>
      <c r="M17" s="14">
        <v>0.39</v>
      </c>
      <c r="N17" s="14">
        <v>0.25</v>
      </c>
      <c r="O17" s="14">
        <v>0.2</v>
      </c>
      <c r="P17" s="14">
        <v>0.16</v>
      </c>
      <c r="Q17" s="14">
        <v>0.3</v>
      </c>
      <c r="R17" s="14">
        <v>0.34</v>
      </c>
      <c r="S17" s="14">
        <v>0.32</v>
      </c>
      <c r="T17" s="14">
        <v>0.28999999999999998</v>
      </c>
      <c r="U17" s="14">
        <v>0.13</v>
      </c>
      <c r="V17" s="14">
        <v>0.3</v>
      </c>
      <c r="W17" s="14">
        <v>0.17</v>
      </c>
      <c r="X17" s="14">
        <v>0.15</v>
      </c>
      <c r="Y17" s="14">
        <v>0.22</v>
      </c>
      <c r="Z17" s="14">
        <v>0.17</v>
      </c>
      <c r="AA17" s="14">
        <v>0.12</v>
      </c>
      <c r="AB17" s="14">
        <v>0.3</v>
      </c>
      <c r="AC17" s="14">
        <v>0.34</v>
      </c>
      <c r="AD17" s="14">
        <v>0.22</v>
      </c>
      <c r="AE17" s="14">
        <v>0.19</v>
      </c>
      <c r="AF17" s="14">
        <v>0.11</v>
      </c>
    </row>
    <row r="18" spans="1:32" x14ac:dyDescent="0.25">
      <c r="A18" s="19"/>
      <c r="B18" s="11" t="s">
        <v>332</v>
      </c>
      <c r="C18" s="12">
        <v>2154</v>
      </c>
      <c r="D18" s="12">
        <v>95</v>
      </c>
      <c r="E18" s="12">
        <v>173</v>
      </c>
      <c r="F18" s="12">
        <v>129</v>
      </c>
      <c r="G18" s="12">
        <v>21</v>
      </c>
      <c r="H18" s="12">
        <v>52</v>
      </c>
      <c r="I18" s="12">
        <v>70</v>
      </c>
      <c r="J18" s="12">
        <v>18</v>
      </c>
      <c r="K18" s="12">
        <v>105</v>
      </c>
      <c r="L18" s="12">
        <v>63</v>
      </c>
      <c r="M18" s="12">
        <v>239</v>
      </c>
      <c r="N18" s="12">
        <v>99</v>
      </c>
      <c r="O18" s="12">
        <v>85</v>
      </c>
      <c r="P18" s="12">
        <v>54</v>
      </c>
      <c r="Q18" s="12">
        <v>112</v>
      </c>
      <c r="R18" s="12">
        <v>130</v>
      </c>
      <c r="S18" s="12">
        <v>73</v>
      </c>
      <c r="T18" s="12">
        <v>68</v>
      </c>
      <c r="U18" s="12">
        <v>23</v>
      </c>
      <c r="V18" s="12">
        <v>167</v>
      </c>
      <c r="W18" s="12">
        <v>33</v>
      </c>
      <c r="X18" s="12">
        <v>48</v>
      </c>
      <c r="Y18" s="12">
        <v>77</v>
      </c>
      <c r="Z18" s="12">
        <v>37</v>
      </c>
      <c r="AA18" s="12">
        <v>26</v>
      </c>
      <c r="AB18" s="12">
        <v>125</v>
      </c>
      <c r="AC18" s="12">
        <v>146</v>
      </c>
      <c r="AD18" s="12">
        <v>78</v>
      </c>
      <c r="AE18" s="12">
        <v>55</v>
      </c>
      <c r="AF18" s="12">
        <v>28</v>
      </c>
    </row>
    <row r="19" spans="1:32" x14ac:dyDescent="0.25">
      <c r="A19" s="19"/>
      <c r="B19" s="13" t="s">
        <v>333</v>
      </c>
      <c r="C19" s="14">
        <v>0.08</v>
      </c>
      <c r="D19" s="14">
        <v>0.09</v>
      </c>
      <c r="E19" s="14">
        <v>0.17</v>
      </c>
      <c r="F19" s="14">
        <v>0.12</v>
      </c>
      <c r="G19" s="14">
        <v>0.02</v>
      </c>
      <c r="H19" s="14">
        <v>0.04</v>
      </c>
      <c r="I19" s="14">
        <v>0.05</v>
      </c>
      <c r="J19" s="14">
        <v>0.06</v>
      </c>
      <c r="K19" s="14">
        <v>0.11</v>
      </c>
      <c r="L19" s="14">
        <v>0.06</v>
      </c>
      <c r="M19" s="14">
        <v>0.24</v>
      </c>
      <c r="N19" s="14">
        <v>0.1</v>
      </c>
      <c r="O19" s="14">
        <v>0.09</v>
      </c>
      <c r="P19" s="14">
        <v>0.05</v>
      </c>
      <c r="Q19" s="14">
        <v>0.11</v>
      </c>
      <c r="R19" s="14">
        <v>0.26</v>
      </c>
      <c r="S19" s="14">
        <v>7.0000000000000007E-2</v>
      </c>
      <c r="T19" s="14">
        <v>7.0000000000000007E-2</v>
      </c>
      <c r="U19" s="14">
        <v>0.05</v>
      </c>
      <c r="V19" s="14">
        <v>0.16</v>
      </c>
      <c r="W19" s="14">
        <v>7.0000000000000007E-2</v>
      </c>
      <c r="X19" s="14">
        <v>0.05</v>
      </c>
      <c r="Y19" s="14">
        <v>0.08</v>
      </c>
      <c r="Z19" s="14">
        <v>0.04</v>
      </c>
      <c r="AA19" s="14">
        <v>0.03</v>
      </c>
      <c r="AB19" s="14">
        <v>0.12</v>
      </c>
      <c r="AC19" s="14">
        <v>0.14000000000000001</v>
      </c>
      <c r="AD19" s="14">
        <v>0.08</v>
      </c>
      <c r="AE19" s="14">
        <v>0.06</v>
      </c>
      <c r="AF19" s="14">
        <v>0.03</v>
      </c>
    </row>
    <row r="20" spans="1:32" x14ac:dyDescent="0.25">
      <c r="A20" s="19"/>
      <c r="B20" s="11" t="s">
        <v>224</v>
      </c>
      <c r="C20" s="12">
        <v>675</v>
      </c>
      <c r="D20" s="12">
        <v>11</v>
      </c>
      <c r="E20" s="12">
        <v>52</v>
      </c>
      <c r="F20" s="12">
        <v>14</v>
      </c>
      <c r="G20" s="12">
        <v>22</v>
      </c>
      <c r="H20" s="12">
        <v>27</v>
      </c>
      <c r="I20" s="12">
        <v>31</v>
      </c>
      <c r="J20" s="12">
        <v>3</v>
      </c>
      <c r="K20" s="12">
        <v>43</v>
      </c>
      <c r="L20" s="12">
        <v>35</v>
      </c>
      <c r="M20" s="12">
        <v>11</v>
      </c>
      <c r="N20" s="12">
        <v>38</v>
      </c>
      <c r="O20" s="12">
        <v>42</v>
      </c>
      <c r="P20" s="12">
        <v>40</v>
      </c>
      <c r="Q20" s="12">
        <v>17</v>
      </c>
      <c r="R20" s="12">
        <v>28</v>
      </c>
      <c r="S20" s="12">
        <v>43</v>
      </c>
      <c r="T20" s="12">
        <v>56</v>
      </c>
      <c r="U20" s="12">
        <v>19</v>
      </c>
      <c r="V20" s="12">
        <v>9</v>
      </c>
      <c r="W20" s="12">
        <v>4</v>
      </c>
      <c r="X20" s="12">
        <v>7</v>
      </c>
      <c r="Y20" s="12">
        <v>28</v>
      </c>
      <c r="Z20" s="12">
        <v>28</v>
      </c>
      <c r="AA20" s="12">
        <v>15</v>
      </c>
      <c r="AB20" s="12">
        <v>36</v>
      </c>
      <c r="AC20" s="12">
        <v>26</v>
      </c>
      <c r="AD20" s="12">
        <v>20</v>
      </c>
      <c r="AE20" s="12">
        <v>14</v>
      </c>
      <c r="AF20" s="12">
        <v>6</v>
      </c>
    </row>
    <row r="21" spans="1:32" x14ac:dyDescent="0.25">
      <c r="A21" s="19"/>
      <c r="B21" s="13" t="s">
        <v>237</v>
      </c>
      <c r="C21" s="14">
        <v>0.03</v>
      </c>
      <c r="D21" s="14">
        <v>0.01</v>
      </c>
      <c r="E21" s="14">
        <v>0.05</v>
      </c>
      <c r="F21" s="14">
        <v>0.01</v>
      </c>
      <c r="G21" s="14">
        <v>0.02</v>
      </c>
      <c r="H21" s="14">
        <v>0.02</v>
      </c>
      <c r="I21" s="14">
        <v>0.02</v>
      </c>
      <c r="J21" s="14">
        <v>0.01</v>
      </c>
      <c r="K21" s="14">
        <v>0.04</v>
      </c>
      <c r="L21" s="14">
        <v>0.04</v>
      </c>
      <c r="M21" s="14">
        <v>0.01</v>
      </c>
      <c r="N21" s="14">
        <v>0.04</v>
      </c>
      <c r="O21" s="14">
        <v>0.04</v>
      </c>
      <c r="P21" s="14">
        <v>0.04</v>
      </c>
      <c r="Q21" s="14">
        <v>0.01</v>
      </c>
      <c r="R21" s="14">
        <v>0.06</v>
      </c>
      <c r="S21" s="14">
        <v>0.05</v>
      </c>
      <c r="T21" s="14">
        <v>0.05</v>
      </c>
      <c r="U21" s="14">
        <v>0.04</v>
      </c>
      <c r="V21" s="14">
        <v>0.01</v>
      </c>
      <c r="W21" s="14">
        <v>0.01</v>
      </c>
      <c r="X21" s="15" t="s">
        <v>213</v>
      </c>
      <c r="Y21" s="14">
        <v>0.03</v>
      </c>
      <c r="Z21" s="14">
        <v>0.03</v>
      </c>
      <c r="AA21" s="14">
        <v>0.01</v>
      </c>
      <c r="AB21" s="14">
        <v>0.04</v>
      </c>
      <c r="AC21" s="14">
        <v>0.03</v>
      </c>
      <c r="AD21" s="14">
        <v>0.02</v>
      </c>
      <c r="AE21" s="14">
        <v>0.01</v>
      </c>
      <c r="AF21" s="14">
        <v>0.01</v>
      </c>
    </row>
    <row r="22" spans="1:32" x14ac:dyDescent="0.25">
      <c r="A22" s="19"/>
      <c r="B22" s="11" t="s">
        <v>334</v>
      </c>
      <c r="C22" s="12">
        <v>18029</v>
      </c>
      <c r="D22" s="12">
        <v>648</v>
      </c>
      <c r="E22" s="12">
        <v>531</v>
      </c>
      <c r="F22" s="12">
        <v>538</v>
      </c>
      <c r="G22" s="12">
        <v>885</v>
      </c>
      <c r="H22" s="12">
        <v>1050</v>
      </c>
      <c r="I22" s="12">
        <v>1256</v>
      </c>
      <c r="J22" s="12">
        <v>206</v>
      </c>
      <c r="K22" s="12">
        <v>602</v>
      </c>
      <c r="L22" s="12">
        <v>754</v>
      </c>
      <c r="M22" s="12">
        <v>360</v>
      </c>
      <c r="N22" s="12">
        <v>626</v>
      </c>
      <c r="O22" s="12">
        <v>673</v>
      </c>
      <c r="P22" s="12">
        <v>751</v>
      </c>
      <c r="Q22" s="12">
        <v>597</v>
      </c>
      <c r="R22" s="12">
        <v>174</v>
      </c>
      <c r="S22" s="12">
        <v>566</v>
      </c>
      <c r="T22" s="12">
        <v>604</v>
      </c>
      <c r="U22" s="12">
        <v>401</v>
      </c>
      <c r="V22" s="12">
        <v>544</v>
      </c>
      <c r="W22" s="12">
        <v>380</v>
      </c>
      <c r="X22" s="12">
        <v>806</v>
      </c>
      <c r="Y22" s="12">
        <v>673</v>
      </c>
      <c r="Z22" s="12">
        <v>775</v>
      </c>
      <c r="AA22" s="12">
        <v>877</v>
      </c>
      <c r="AB22" s="12">
        <v>567</v>
      </c>
      <c r="AC22" s="12">
        <v>495</v>
      </c>
      <c r="AD22" s="12">
        <v>684</v>
      </c>
      <c r="AE22" s="12">
        <v>745</v>
      </c>
      <c r="AF22" s="12">
        <v>879</v>
      </c>
    </row>
    <row r="23" spans="1:32" x14ac:dyDescent="0.25">
      <c r="A23" s="19"/>
      <c r="B23" s="13" t="s">
        <v>335</v>
      </c>
      <c r="C23" s="14">
        <v>0.68</v>
      </c>
      <c r="D23" s="14">
        <v>0.64</v>
      </c>
      <c r="E23" s="14">
        <v>0.5</v>
      </c>
      <c r="F23" s="14">
        <v>0.51</v>
      </c>
      <c r="G23" s="14">
        <v>0.87</v>
      </c>
      <c r="H23" s="14">
        <v>0.86</v>
      </c>
      <c r="I23" s="14">
        <v>0.82000000000000006</v>
      </c>
      <c r="J23" s="14">
        <v>0.70000000000000007</v>
      </c>
      <c r="K23" s="14">
        <v>0.6</v>
      </c>
      <c r="L23" s="14">
        <v>0.75</v>
      </c>
      <c r="M23" s="14">
        <v>0.36</v>
      </c>
      <c r="N23" s="14">
        <v>0.61</v>
      </c>
      <c r="O23" s="14">
        <v>0.67</v>
      </c>
      <c r="P23" s="14">
        <v>0.75</v>
      </c>
      <c r="Q23" s="14">
        <v>0.57999999999999996</v>
      </c>
      <c r="R23" s="14">
        <v>0.34</v>
      </c>
      <c r="S23" s="14">
        <v>0.56000000000000005</v>
      </c>
      <c r="T23" s="14">
        <v>0.59</v>
      </c>
      <c r="U23" s="14">
        <v>0.78</v>
      </c>
      <c r="V23" s="14">
        <v>0.53</v>
      </c>
      <c r="W23" s="14">
        <v>0.75</v>
      </c>
      <c r="X23" s="14">
        <v>0.8</v>
      </c>
      <c r="Y23" s="14">
        <v>0.67</v>
      </c>
      <c r="Z23" s="14">
        <v>0.76</v>
      </c>
      <c r="AA23" s="14">
        <v>0.84</v>
      </c>
      <c r="AB23" s="14">
        <v>0.54</v>
      </c>
      <c r="AC23" s="14">
        <v>0.49</v>
      </c>
      <c r="AD23" s="14">
        <v>0.68</v>
      </c>
      <c r="AE23" s="14">
        <v>0.74</v>
      </c>
      <c r="AF23" s="14">
        <v>0.85</v>
      </c>
    </row>
    <row r="24" spans="1:32" x14ac:dyDescent="0.25">
      <c r="A24" s="19"/>
      <c r="B24" s="11" t="s">
        <v>336</v>
      </c>
      <c r="C24" s="12">
        <v>7749</v>
      </c>
      <c r="D24" s="12">
        <v>362</v>
      </c>
      <c r="E24" s="12">
        <v>463</v>
      </c>
      <c r="F24" s="12">
        <v>512</v>
      </c>
      <c r="G24" s="12">
        <v>109</v>
      </c>
      <c r="H24" s="12">
        <v>153</v>
      </c>
      <c r="I24" s="12">
        <v>241</v>
      </c>
      <c r="J24" s="12">
        <v>88</v>
      </c>
      <c r="K24" s="12">
        <v>361</v>
      </c>
      <c r="L24" s="12">
        <v>217</v>
      </c>
      <c r="M24" s="12">
        <v>635</v>
      </c>
      <c r="N24" s="12">
        <v>347</v>
      </c>
      <c r="O24" s="12">
        <v>290</v>
      </c>
      <c r="P24" s="12">
        <v>213</v>
      </c>
      <c r="Q24" s="12">
        <v>418</v>
      </c>
      <c r="R24" s="12">
        <v>300</v>
      </c>
      <c r="S24" s="12">
        <v>395</v>
      </c>
      <c r="T24" s="12">
        <v>364</v>
      </c>
      <c r="U24" s="12">
        <v>89</v>
      </c>
      <c r="V24" s="12">
        <v>474</v>
      </c>
      <c r="W24" s="12">
        <v>119</v>
      </c>
      <c r="X24" s="12">
        <v>198</v>
      </c>
      <c r="Y24" s="12">
        <v>301</v>
      </c>
      <c r="Z24" s="12">
        <v>213</v>
      </c>
      <c r="AA24" s="12">
        <v>145</v>
      </c>
      <c r="AB24" s="12">
        <v>437</v>
      </c>
      <c r="AC24" s="12">
        <v>485</v>
      </c>
      <c r="AD24" s="12">
        <v>300</v>
      </c>
      <c r="AE24" s="12">
        <v>241</v>
      </c>
      <c r="AF24" s="12">
        <v>146</v>
      </c>
    </row>
    <row r="25" spans="1:32" x14ac:dyDescent="0.25">
      <c r="A25" s="19"/>
      <c r="B25" s="13" t="s">
        <v>337</v>
      </c>
      <c r="C25" s="14">
        <v>0.28999999999999998</v>
      </c>
      <c r="D25" s="14">
        <v>0.35</v>
      </c>
      <c r="E25" s="14">
        <v>0.45</v>
      </c>
      <c r="F25" s="14">
        <v>0.48</v>
      </c>
      <c r="G25" s="14">
        <v>0.11</v>
      </c>
      <c r="H25" s="14">
        <v>0.12</v>
      </c>
      <c r="I25" s="14">
        <v>0.16</v>
      </c>
      <c r="J25" s="14">
        <v>0.28999999999999998</v>
      </c>
      <c r="K25" s="14">
        <v>0.36</v>
      </c>
      <c r="L25" s="14">
        <v>0.21</v>
      </c>
      <c r="M25" s="14">
        <v>0.63</v>
      </c>
      <c r="N25" s="14">
        <v>0.35</v>
      </c>
      <c r="O25" s="14">
        <v>0.28999999999999998</v>
      </c>
      <c r="P25" s="14">
        <v>0.21</v>
      </c>
      <c r="Q25" s="14">
        <v>0.41</v>
      </c>
      <c r="R25" s="14">
        <v>0.6</v>
      </c>
      <c r="S25" s="14">
        <v>0.39</v>
      </c>
      <c r="T25" s="14">
        <v>0.36</v>
      </c>
      <c r="U25" s="14">
        <v>0.18</v>
      </c>
      <c r="V25" s="14">
        <v>0.46</v>
      </c>
      <c r="W25" s="14">
        <v>0.24</v>
      </c>
      <c r="X25" s="14">
        <v>0.2</v>
      </c>
      <c r="Y25" s="14">
        <v>0.3</v>
      </c>
      <c r="Z25" s="14">
        <v>0.21</v>
      </c>
      <c r="AA25" s="14">
        <v>0.15</v>
      </c>
      <c r="AB25" s="14">
        <v>0.42</v>
      </c>
      <c r="AC25" s="14">
        <v>0.48</v>
      </c>
      <c r="AD25" s="14">
        <v>0.3</v>
      </c>
      <c r="AE25" s="14">
        <v>0.25</v>
      </c>
      <c r="AF25" s="14">
        <v>0.14000000000000001</v>
      </c>
    </row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F3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48" customHeight="1" x14ac:dyDescent="0.25">
      <c r="B3" s="18" t="s">
        <v>171</v>
      </c>
      <c r="C3" s="18"/>
      <c r="D3" s="18"/>
      <c r="E3" s="18"/>
      <c r="F3" s="18"/>
      <c r="H3" s="18" t="s">
        <v>172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HYPERLINK("#Content!A87","&lt;&lt;Back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821</v>
      </c>
      <c r="C12" s="12">
        <v>875</v>
      </c>
      <c r="D12" s="12">
        <v>24</v>
      </c>
      <c r="E12" s="12">
        <v>43</v>
      </c>
      <c r="F12" s="12">
        <v>30</v>
      </c>
      <c r="G12" s="12">
        <v>51</v>
      </c>
      <c r="H12" s="12">
        <v>25</v>
      </c>
      <c r="I12" s="12">
        <v>42</v>
      </c>
      <c r="J12" s="12">
        <v>17</v>
      </c>
      <c r="K12" s="12">
        <v>33</v>
      </c>
      <c r="L12" s="12">
        <v>15</v>
      </c>
      <c r="M12" s="12">
        <v>15</v>
      </c>
      <c r="N12" s="12">
        <v>34</v>
      </c>
      <c r="O12" s="12">
        <v>29</v>
      </c>
      <c r="P12" s="12">
        <v>36</v>
      </c>
      <c r="Q12" s="12">
        <v>33</v>
      </c>
      <c r="R12" s="12">
        <v>26</v>
      </c>
      <c r="S12" s="12">
        <v>15</v>
      </c>
      <c r="T12" s="12">
        <v>36</v>
      </c>
      <c r="U12" s="12">
        <v>11</v>
      </c>
      <c r="V12" s="12">
        <v>27</v>
      </c>
      <c r="W12" s="12">
        <v>18</v>
      </c>
      <c r="X12" s="12">
        <v>36</v>
      </c>
      <c r="Y12" s="12">
        <v>18</v>
      </c>
      <c r="Z12" s="12">
        <v>30</v>
      </c>
      <c r="AA12" s="12">
        <v>59</v>
      </c>
      <c r="AB12" s="12">
        <v>77</v>
      </c>
      <c r="AC12" s="12">
        <v>40</v>
      </c>
      <c r="AD12" s="12">
        <v>34</v>
      </c>
      <c r="AE12" s="12">
        <v>26</v>
      </c>
      <c r="AF12" s="12">
        <v>63</v>
      </c>
    </row>
    <row r="13" spans="1:32" x14ac:dyDescent="0.25">
      <c r="A13" s="19"/>
      <c r="B13" s="13" t="s">
        <v>822</v>
      </c>
      <c r="C13" s="14">
        <v>0.03</v>
      </c>
      <c r="D13" s="14">
        <v>0.02</v>
      </c>
      <c r="E13" s="14">
        <v>0.04</v>
      </c>
      <c r="F13" s="14">
        <v>0.03</v>
      </c>
      <c r="G13" s="14">
        <v>0.05</v>
      </c>
      <c r="H13" s="14">
        <v>0.02</v>
      </c>
      <c r="I13" s="14">
        <v>0.03</v>
      </c>
      <c r="J13" s="14">
        <v>0.06</v>
      </c>
      <c r="K13" s="14">
        <v>0.03</v>
      </c>
      <c r="L13" s="14">
        <v>0.02</v>
      </c>
      <c r="M13" s="14">
        <v>0.01</v>
      </c>
      <c r="N13" s="14">
        <v>0.03</v>
      </c>
      <c r="O13" s="14">
        <v>0.03</v>
      </c>
      <c r="P13" s="14">
        <v>0.04</v>
      </c>
      <c r="Q13" s="14">
        <v>0.03</v>
      </c>
      <c r="R13" s="14">
        <v>0.05</v>
      </c>
      <c r="S13" s="14">
        <v>0.02</v>
      </c>
      <c r="T13" s="14">
        <v>0.03</v>
      </c>
      <c r="U13" s="14">
        <v>0.02</v>
      </c>
      <c r="V13" s="14">
        <v>0.03</v>
      </c>
      <c r="W13" s="14">
        <v>0.04</v>
      </c>
      <c r="X13" s="14">
        <v>0.03</v>
      </c>
      <c r="Y13" s="14">
        <v>0.02</v>
      </c>
      <c r="Z13" s="14">
        <v>0.03</v>
      </c>
      <c r="AA13" s="14">
        <v>0.06</v>
      </c>
      <c r="AB13" s="14">
        <v>7.0000000000000007E-2</v>
      </c>
      <c r="AC13" s="14">
        <v>0.04</v>
      </c>
      <c r="AD13" s="14">
        <v>0.03</v>
      </c>
      <c r="AE13" s="14">
        <v>0.02</v>
      </c>
      <c r="AF13" s="14">
        <v>0.06</v>
      </c>
    </row>
    <row r="14" spans="1:32" x14ac:dyDescent="0.25">
      <c r="A14" s="19"/>
      <c r="B14" s="11" t="s">
        <v>416</v>
      </c>
      <c r="C14" s="12">
        <v>981</v>
      </c>
      <c r="D14" s="12">
        <v>43</v>
      </c>
      <c r="E14" s="12">
        <v>30</v>
      </c>
      <c r="F14" s="12">
        <v>24</v>
      </c>
      <c r="G14" s="12">
        <v>56</v>
      </c>
      <c r="H14" s="12">
        <v>64</v>
      </c>
      <c r="I14" s="12">
        <v>76</v>
      </c>
      <c r="J14" s="12">
        <v>13</v>
      </c>
      <c r="K14" s="12">
        <v>42</v>
      </c>
      <c r="L14" s="12">
        <v>17</v>
      </c>
      <c r="M14" s="12">
        <v>21</v>
      </c>
      <c r="N14" s="12">
        <v>38</v>
      </c>
      <c r="O14" s="12">
        <v>39</v>
      </c>
      <c r="P14" s="12">
        <v>24</v>
      </c>
      <c r="Q14" s="12">
        <v>26</v>
      </c>
      <c r="R14" s="12">
        <v>10</v>
      </c>
      <c r="S14" s="12">
        <v>9</v>
      </c>
      <c r="T14" s="12">
        <v>18</v>
      </c>
      <c r="U14" s="12">
        <v>9</v>
      </c>
      <c r="V14" s="12">
        <v>20</v>
      </c>
      <c r="W14" s="12">
        <v>20</v>
      </c>
      <c r="X14" s="12">
        <v>81</v>
      </c>
      <c r="Y14" s="12">
        <v>27</v>
      </c>
      <c r="Z14" s="12">
        <v>24</v>
      </c>
      <c r="AA14" s="12">
        <v>12</v>
      </c>
      <c r="AB14" s="12">
        <v>38</v>
      </c>
      <c r="AC14" s="12">
        <v>17</v>
      </c>
      <c r="AD14" s="12">
        <v>18</v>
      </c>
      <c r="AE14" s="12">
        <v>33</v>
      </c>
      <c r="AF14" s="12">
        <v>83</v>
      </c>
    </row>
    <row r="15" spans="1:32" x14ac:dyDescent="0.25">
      <c r="A15" s="19"/>
      <c r="B15" s="13" t="s">
        <v>416</v>
      </c>
      <c r="C15" s="14">
        <v>0.04</v>
      </c>
      <c r="D15" s="14">
        <v>0.04</v>
      </c>
      <c r="E15" s="14">
        <v>0.03</v>
      </c>
      <c r="F15" s="14">
        <v>0.02</v>
      </c>
      <c r="G15" s="14">
        <v>0.06</v>
      </c>
      <c r="H15" s="14">
        <v>0.05</v>
      </c>
      <c r="I15" s="14">
        <v>0.05</v>
      </c>
      <c r="J15" s="14">
        <v>0.04</v>
      </c>
      <c r="K15" s="14">
        <v>0.04</v>
      </c>
      <c r="L15" s="14">
        <v>0.02</v>
      </c>
      <c r="M15" s="14">
        <v>0.02</v>
      </c>
      <c r="N15" s="14">
        <v>0.04</v>
      </c>
      <c r="O15" s="14">
        <v>0.04</v>
      </c>
      <c r="P15" s="14">
        <v>0.02</v>
      </c>
      <c r="Q15" s="14">
        <v>0.03</v>
      </c>
      <c r="R15" s="14">
        <v>0.02</v>
      </c>
      <c r="S15" s="14">
        <v>0.01</v>
      </c>
      <c r="T15" s="14">
        <v>0.02</v>
      </c>
      <c r="U15" s="14">
        <v>0.02</v>
      </c>
      <c r="V15" s="14">
        <v>0.02</v>
      </c>
      <c r="W15" s="14">
        <v>0.04</v>
      </c>
      <c r="X15" s="14">
        <v>0.08</v>
      </c>
      <c r="Y15" s="14">
        <v>0.03</v>
      </c>
      <c r="Z15" s="14">
        <v>0.02</v>
      </c>
      <c r="AA15" s="14">
        <v>0.01</v>
      </c>
      <c r="AB15" s="14">
        <v>0.04</v>
      </c>
      <c r="AC15" s="14">
        <v>0.02</v>
      </c>
      <c r="AD15" s="14">
        <v>0.02</v>
      </c>
      <c r="AE15" s="14">
        <v>0.03</v>
      </c>
      <c r="AF15" s="14">
        <v>0.08</v>
      </c>
    </row>
    <row r="16" spans="1:32" x14ac:dyDescent="0.25">
      <c r="A16" s="19"/>
      <c r="B16" s="11" t="s">
        <v>417</v>
      </c>
      <c r="C16" s="12">
        <v>2275</v>
      </c>
      <c r="D16" s="12">
        <v>79</v>
      </c>
      <c r="E16" s="12">
        <v>65</v>
      </c>
      <c r="F16" s="12">
        <v>62</v>
      </c>
      <c r="G16" s="12">
        <v>126</v>
      </c>
      <c r="H16" s="12">
        <v>110</v>
      </c>
      <c r="I16" s="12">
        <v>131</v>
      </c>
      <c r="J16" s="12">
        <v>20</v>
      </c>
      <c r="K16" s="12">
        <v>69</v>
      </c>
      <c r="L16" s="12">
        <v>62</v>
      </c>
      <c r="M16" s="12">
        <v>92</v>
      </c>
      <c r="N16" s="12">
        <v>123</v>
      </c>
      <c r="O16" s="12">
        <v>103</v>
      </c>
      <c r="P16" s="12">
        <v>64</v>
      </c>
      <c r="Q16" s="12">
        <v>65</v>
      </c>
      <c r="R16" s="12">
        <v>15</v>
      </c>
      <c r="S16" s="12">
        <v>33</v>
      </c>
      <c r="T16" s="12">
        <v>51</v>
      </c>
      <c r="U16" s="12">
        <v>35</v>
      </c>
      <c r="V16" s="12">
        <v>64</v>
      </c>
      <c r="W16" s="12">
        <v>22</v>
      </c>
      <c r="X16" s="12">
        <v>158</v>
      </c>
      <c r="Y16" s="12">
        <v>92</v>
      </c>
      <c r="Z16" s="12">
        <v>48</v>
      </c>
      <c r="AA16" s="12">
        <v>65</v>
      </c>
      <c r="AB16" s="12">
        <v>42</v>
      </c>
      <c r="AC16" s="12">
        <v>69</v>
      </c>
      <c r="AD16" s="12">
        <v>87</v>
      </c>
      <c r="AE16" s="12">
        <v>102</v>
      </c>
      <c r="AF16" s="12">
        <v>161</v>
      </c>
    </row>
    <row r="17" spans="1:32" x14ac:dyDescent="0.25">
      <c r="A17" s="19"/>
      <c r="B17" s="13" t="s">
        <v>417</v>
      </c>
      <c r="C17" s="14">
        <v>0.09</v>
      </c>
      <c r="D17" s="14">
        <v>0.08</v>
      </c>
      <c r="E17" s="14">
        <v>0.06</v>
      </c>
      <c r="F17" s="14">
        <v>0.06</v>
      </c>
      <c r="G17" s="14">
        <v>0.12</v>
      </c>
      <c r="H17" s="14">
        <v>0.09</v>
      </c>
      <c r="I17" s="14">
        <v>0.09</v>
      </c>
      <c r="J17" s="14">
        <v>7.0000000000000007E-2</v>
      </c>
      <c r="K17" s="14">
        <v>7.0000000000000007E-2</v>
      </c>
      <c r="L17" s="14">
        <v>0.06</v>
      </c>
      <c r="M17" s="14">
        <v>0.09</v>
      </c>
      <c r="N17" s="14">
        <v>0.12</v>
      </c>
      <c r="O17" s="14">
        <v>0.1</v>
      </c>
      <c r="P17" s="14">
        <v>0.06</v>
      </c>
      <c r="Q17" s="14">
        <v>0.06</v>
      </c>
      <c r="R17" s="14">
        <v>0.03</v>
      </c>
      <c r="S17" s="14">
        <v>0.03</v>
      </c>
      <c r="T17" s="14">
        <v>0.05</v>
      </c>
      <c r="U17" s="14">
        <v>7.0000000000000007E-2</v>
      </c>
      <c r="V17" s="14">
        <v>0.06</v>
      </c>
      <c r="W17" s="14">
        <v>0.04</v>
      </c>
      <c r="X17" s="14">
        <v>0.16</v>
      </c>
      <c r="Y17" s="14">
        <v>0.09</v>
      </c>
      <c r="Z17" s="14">
        <v>0.05</v>
      </c>
      <c r="AA17" s="14">
        <v>0.06</v>
      </c>
      <c r="AB17" s="14">
        <v>0.04</v>
      </c>
      <c r="AC17" s="14">
        <v>7.0000000000000007E-2</v>
      </c>
      <c r="AD17" s="14">
        <v>0.09</v>
      </c>
      <c r="AE17" s="14">
        <v>0.1</v>
      </c>
      <c r="AF17" s="14">
        <v>0.16</v>
      </c>
    </row>
    <row r="18" spans="1:32" x14ac:dyDescent="0.25">
      <c r="A18" s="19"/>
      <c r="B18" s="11" t="s">
        <v>418</v>
      </c>
      <c r="C18" s="12">
        <v>2905</v>
      </c>
      <c r="D18" s="12">
        <v>116</v>
      </c>
      <c r="E18" s="12">
        <v>62</v>
      </c>
      <c r="F18" s="12">
        <v>104</v>
      </c>
      <c r="G18" s="12">
        <v>117</v>
      </c>
      <c r="H18" s="12">
        <v>168</v>
      </c>
      <c r="I18" s="12">
        <v>203</v>
      </c>
      <c r="J18" s="12">
        <v>35</v>
      </c>
      <c r="K18" s="12">
        <v>92</v>
      </c>
      <c r="L18" s="12">
        <v>112</v>
      </c>
      <c r="M18" s="12">
        <v>110</v>
      </c>
      <c r="N18" s="12">
        <v>130</v>
      </c>
      <c r="O18" s="12">
        <v>87</v>
      </c>
      <c r="P18" s="12">
        <v>112</v>
      </c>
      <c r="Q18" s="12">
        <v>110</v>
      </c>
      <c r="R18" s="12">
        <v>16</v>
      </c>
      <c r="S18" s="12">
        <v>44</v>
      </c>
      <c r="T18" s="12">
        <v>63</v>
      </c>
      <c r="U18" s="12">
        <v>37</v>
      </c>
      <c r="V18" s="12">
        <v>107</v>
      </c>
      <c r="W18" s="12">
        <v>27</v>
      </c>
      <c r="X18" s="12">
        <v>133</v>
      </c>
      <c r="Y18" s="12">
        <v>141</v>
      </c>
      <c r="Z18" s="12">
        <v>92</v>
      </c>
      <c r="AA18" s="12">
        <v>100</v>
      </c>
      <c r="AB18" s="12">
        <v>64</v>
      </c>
      <c r="AC18" s="12">
        <v>72</v>
      </c>
      <c r="AD18" s="12">
        <v>110</v>
      </c>
      <c r="AE18" s="12">
        <v>116</v>
      </c>
      <c r="AF18" s="12">
        <v>197</v>
      </c>
    </row>
    <row r="19" spans="1:32" x14ac:dyDescent="0.25">
      <c r="A19" s="19"/>
      <c r="B19" s="13" t="s">
        <v>418</v>
      </c>
      <c r="C19" s="14">
        <v>0.11</v>
      </c>
      <c r="D19" s="14">
        <v>0.11</v>
      </c>
      <c r="E19" s="14">
        <v>0.06</v>
      </c>
      <c r="F19" s="14">
        <v>0.1</v>
      </c>
      <c r="G19" s="14">
        <v>0.12</v>
      </c>
      <c r="H19" s="14">
        <v>0.14000000000000001</v>
      </c>
      <c r="I19" s="14">
        <v>0.13</v>
      </c>
      <c r="J19" s="14">
        <v>0.12</v>
      </c>
      <c r="K19" s="14">
        <v>0.09</v>
      </c>
      <c r="L19" s="14">
        <v>0.11</v>
      </c>
      <c r="M19" s="14">
        <v>0.11</v>
      </c>
      <c r="N19" s="14">
        <v>0.13</v>
      </c>
      <c r="O19" s="14">
        <v>0.09</v>
      </c>
      <c r="P19" s="14">
        <v>0.11</v>
      </c>
      <c r="Q19" s="14">
        <v>0.11</v>
      </c>
      <c r="R19" s="14">
        <v>0.03</v>
      </c>
      <c r="S19" s="14">
        <v>0.04</v>
      </c>
      <c r="T19" s="14">
        <v>0.06</v>
      </c>
      <c r="U19" s="14">
        <v>7.0000000000000007E-2</v>
      </c>
      <c r="V19" s="14">
        <v>0.1</v>
      </c>
      <c r="W19" s="14">
        <v>0.05</v>
      </c>
      <c r="X19" s="14">
        <v>0.13</v>
      </c>
      <c r="Y19" s="14">
        <v>0.14000000000000001</v>
      </c>
      <c r="Z19" s="14">
        <v>0.09</v>
      </c>
      <c r="AA19" s="14">
        <v>0.1</v>
      </c>
      <c r="AB19" s="14">
        <v>0.06</v>
      </c>
      <c r="AC19" s="14">
        <v>7.0000000000000007E-2</v>
      </c>
      <c r="AD19" s="14">
        <v>0.11</v>
      </c>
      <c r="AE19" s="14">
        <v>0.12</v>
      </c>
      <c r="AF19" s="14">
        <v>0.19</v>
      </c>
    </row>
    <row r="20" spans="1:32" x14ac:dyDescent="0.25">
      <c r="A20" s="19"/>
      <c r="B20" s="11" t="s">
        <v>419</v>
      </c>
      <c r="C20" s="12">
        <v>6416</v>
      </c>
      <c r="D20" s="12">
        <v>275</v>
      </c>
      <c r="E20" s="12">
        <v>148</v>
      </c>
      <c r="F20" s="12">
        <v>332</v>
      </c>
      <c r="G20" s="12">
        <v>213</v>
      </c>
      <c r="H20" s="12">
        <v>409</v>
      </c>
      <c r="I20" s="12">
        <v>508</v>
      </c>
      <c r="J20" s="12">
        <v>99</v>
      </c>
      <c r="K20" s="12">
        <v>214</v>
      </c>
      <c r="L20" s="12">
        <v>461</v>
      </c>
      <c r="M20" s="12">
        <v>236</v>
      </c>
      <c r="N20" s="12">
        <v>289</v>
      </c>
      <c r="O20" s="12">
        <v>234</v>
      </c>
      <c r="P20" s="12">
        <v>207</v>
      </c>
      <c r="Q20" s="12">
        <v>187</v>
      </c>
      <c r="R20" s="12">
        <v>89</v>
      </c>
      <c r="S20" s="12">
        <v>220</v>
      </c>
      <c r="T20" s="12">
        <v>265</v>
      </c>
      <c r="U20" s="12">
        <v>212</v>
      </c>
      <c r="V20" s="12">
        <v>226</v>
      </c>
      <c r="W20" s="12">
        <v>117</v>
      </c>
      <c r="X20" s="12">
        <v>167</v>
      </c>
      <c r="Y20" s="12">
        <v>198</v>
      </c>
      <c r="Z20" s="12">
        <v>223</v>
      </c>
      <c r="AA20" s="12">
        <v>221</v>
      </c>
      <c r="AB20" s="12">
        <v>153</v>
      </c>
      <c r="AC20" s="12">
        <v>315</v>
      </c>
      <c r="AD20" s="12">
        <v>225</v>
      </c>
      <c r="AE20" s="12">
        <v>185</v>
      </c>
      <c r="AF20" s="12">
        <v>128</v>
      </c>
    </row>
    <row r="21" spans="1:32" x14ac:dyDescent="0.25">
      <c r="A21" s="19"/>
      <c r="B21" s="13" t="s">
        <v>419</v>
      </c>
      <c r="C21" s="14">
        <v>0.24</v>
      </c>
      <c r="D21" s="14">
        <v>0.27</v>
      </c>
      <c r="E21" s="14">
        <v>0.14000000000000001</v>
      </c>
      <c r="F21" s="14">
        <v>0.31</v>
      </c>
      <c r="G21" s="14">
        <v>0.21</v>
      </c>
      <c r="H21" s="14">
        <v>0.33</v>
      </c>
      <c r="I21" s="14">
        <v>0.33</v>
      </c>
      <c r="J21" s="14">
        <v>0.33</v>
      </c>
      <c r="K21" s="14">
        <v>0.21</v>
      </c>
      <c r="L21" s="14">
        <v>0.46</v>
      </c>
      <c r="M21" s="14">
        <v>0.24</v>
      </c>
      <c r="N21" s="14">
        <v>0.28999999999999998</v>
      </c>
      <c r="O21" s="14">
        <v>0.23</v>
      </c>
      <c r="P21" s="14">
        <v>0.21</v>
      </c>
      <c r="Q21" s="14">
        <v>0.18</v>
      </c>
      <c r="R21" s="14">
        <v>0.18</v>
      </c>
      <c r="S21" s="14">
        <v>0.22</v>
      </c>
      <c r="T21" s="14">
        <v>0.26</v>
      </c>
      <c r="U21" s="14">
        <v>0.42</v>
      </c>
      <c r="V21" s="14">
        <v>0.22</v>
      </c>
      <c r="W21" s="14">
        <v>0.23</v>
      </c>
      <c r="X21" s="14">
        <v>0.16</v>
      </c>
      <c r="Y21" s="14">
        <v>0.2</v>
      </c>
      <c r="Z21" s="14">
        <v>0.22</v>
      </c>
      <c r="AA21" s="14">
        <v>0.21</v>
      </c>
      <c r="AB21" s="14">
        <v>0.15</v>
      </c>
      <c r="AC21" s="14">
        <v>0.31</v>
      </c>
      <c r="AD21" s="14">
        <v>0.22</v>
      </c>
      <c r="AE21" s="14">
        <v>0.18</v>
      </c>
      <c r="AF21" s="14">
        <v>0.12</v>
      </c>
    </row>
    <row r="22" spans="1:32" x14ac:dyDescent="0.25">
      <c r="A22" s="19"/>
      <c r="B22" s="11" t="s">
        <v>420</v>
      </c>
      <c r="C22" s="12">
        <v>3319</v>
      </c>
      <c r="D22" s="12">
        <v>142</v>
      </c>
      <c r="E22" s="12">
        <v>128</v>
      </c>
      <c r="F22" s="12">
        <v>198</v>
      </c>
      <c r="G22" s="12">
        <v>129</v>
      </c>
      <c r="H22" s="12">
        <v>168</v>
      </c>
      <c r="I22" s="12">
        <v>211</v>
      </c>
      <c r="J22" s="12">
        <v>43</v>
      </c>
      <c r="K22" s="12">
        <v>97</v>
      </c>
      <c r="L22" s="12">
        <v>144</v>
      </c>
      <c r="M22" s="12">
        <v>73</v>
      </c>
      <c r="N22" s="12">
        <v>75</v>
      </c>
      <c r="O22" s="12">
        <v>89</v>
      </c>
      <c r="P22" s="12">
        <v>143</v>
      </c>
      <c r="Q22" s="12">
        <v>151</v>
      </c>
      <c r="R22" s="12">
        <v>40</v>
      </c>
      <c r="S22" s="12">
        <v>165</v>
      </c>
      <c r="T22" s="12">
        <v>98</v>
      </c>
      <c r="U22" s="12">
        <v>75</v>
      </c>
      <c r="V22" s="12">
        <v>190</v>
      </c>
      <c r="W22" s="12">
        <v>56</v>
      </c>
      <c r="X22" s="12">
        <v>135</v>
      </c>
      <c r="Y22" s="12">
        <v>164</v>
      </c>
      <c r="Z22" s="12">
        <v>175</v>
      </c>
      <c r="AA22" s="12">
        <v>86</v>
      </c>
      <c r="AB22" s="12">
        <v>140</v>
      </c>
      <c r="AC22" s="12">
        <v>75</v>
      </c>
      <c r="AD22" s="12">
        <v>138</v>
      </c>
      <c r="AE22" s="12">
        <v>154</v>
      </c>
      <c r="AF22" s="12">
        <v>101</v>
      </c>
    </row>
    <row r="23" spans="1:32" x14ac:dyDescent="0.25">
      <c r="A23" s="19"/>
      <c r="B23" s="13" t="s">
        <v>420</v>
      </c>
      <c r="C23" s="14">
        <v>0.12</v>
      </c>
      <c r="D23" s="14">
        <v>0.14000000000000001</v>
      </c>
      <c r="E23" s="14">
        <v>0.12</v>
      </c>
      <c r="F23" s="14">
        <v>0.19</v>
      </c>
      <c r="G23" s="14">
        <v>0.13</v>
      </c>
      <c r="H23" s="14">
        <v>0.14000000000000001</v>
      </c>
      <c r="I23" s="14">
        <v>0.14000000000000001</v>
      </c>
      <c r="J23" s="14">
        <v>0.14000000000000001</v>
      </c>
      <c r="K23" s="14">
        <v>0.1</v>
      </c>
      <c r="L23" s="14">
        <v>0.14000000000000001</v>
      </c>
      <c r="M23" s="14">
        <v>7.0000000000000007E-2</v>
      </c>
      <c r="N23" s="14">
        <v>7.0000000000000007E-2</v>
      </c>
      <c r="O23" s="14">
        <v>0.09</v>
      </c>
      <c r="P23" s="14">
        <v>0.14000000000000001</v>
      </c>
      <c r="Q23" s="14">
        <v>0.15</v>
      </c>
      <c r="R23" s="14">
        <v>0.08</v>
      </c>
      <c r="S23" s="14">
        <v>0.16</v>
      </c>
      <c r="T23" s="14">
        <v>0.1</v>
      </c>
      <c r="U23" s="14">
        <v>0.15</v>
      </c>
      <c r="V23" s="14">
        <v>0.19</v>
      </c>
      <c r="W23" s="14">
        <v>0.11</v>
      </c>
      <c r="X23" s="14">
        <v>0.13</v>
      </c>
      <c r="Y23" s="14">
        <v>0.16</v>
      </c>
      <c r="Z23" s="14">
        <v>0.17</v>
      </c>
      <c r="AA23" s="14">
        <v>0.08</v>
      </c>
      <c r="AB23" s="14">
        <v>0.13</v>
      </c>
      <c r="AC23" s="14">
        <v>7.0000000000000007E-2</v>
      </c>
      <c r="AD23" s="14">
        <v>0.14000000000000001</v>
      </c>
      <c r="AE23" s="14">
        <v>0.15</v>
      </c>
      <c r="AF23" s="14">
        <v>0.1</v>
      </c>
    </row>
    <row r="24" spans="1:32" x14ac:dyDescent="0.25">
      <c r="A24" s="19"/>
      <c r="B24" s="11" t="s">
        <v>421</v>
      </c>
      <c r="C24" s="12">
        <v>3199</v>
      </c>
      <c r="D24" s="12">
        <v>164</v>
      </c>
      <c r="E24" s="12">
        <v>143</v>
      </c>
      <c r="F24" s="12">
        <v>119</v>
      </c>
      <c r="G24" s="12">
        <v>154</v>
      </c>
      <c r="H24" s="12">
        <v>139</v>
      </c>
      <c r="I24" s="12">
        <v>168</v>
      </c>
      <c r="J24" s="12">
        <v>28</v>
      </c>
      <c r="K24" s="12">
        <v>114</v>
      </c>
      <c r="L24" s="12">
        <v>68</v>
      </c>
      <c r="M24" s="12">
        <v>111</v>
      </c>
      <c r="N24" s="12">
        <v>85</v>
      </c>
      <c r="O24" s="12">
        <v>76</v>
      </c>
      <c r="P24" s="12">
        <v>118</v>
      </c>
      <c r="Q24" s="12">
        <v>174</v>
      </c>
      <c r="R24" s="12">
        <v>41</v>
      </c>
      <c r="S24" s="12">
        <v>138</v>
      </c>
      <c r="T24" s="12">
        <v>54</v>
      </c>
      <c r="U24" s="12">
        <v>48</v>
      </c>
      <c r="V24" s="12">
        <v>130</v>
      </c>
      <c r="W24" s="12">
        <v>30</v>
      </c>
      <c r="X24" s="12">
        <v>170</v>
      </c>
      <c r="Y24" s="12">
        <v>118</v>
      </c>
      <c r="Z24" s="12">
        <v>153</v>
      </c>
      <c r="AA24" s="12">
        <v>146</v>
      </c>
      <c r="AB24" s="12">
        <v>153</v>
      </c>
      <c r="AC24" s="12">
        <v>62</v>
      </c>
      <c r="AD24" s="12">
        <v>161</v>
      </c>
      <c r="AE24" s="12">
        <v>147</v>
      </c>
      <c r="AF24" s="12">
        <v>134</v>
      </c>
    </row>
    <row r="25" spans="1:32" x14ac:dyDescent="0.25">
      <c r="A25" s="19"/>
      <c r="B25" s="13" t="s">
        <v>421</v>
      </c>
      <c r="C25" s="14">
        <v>0.12</v>
      </c>
      <c r="D25" s="14">
        <v>0.16</v>
      </c>
      <c r="E25" s="14">
        <v>0.14000000000000001</v>
      </c>
      <c r="F25" s="14">
        <v>0.11</v>
      </c>
      <c r="G25" s="14">
        <v>0.15</v>
      </c>
      <c r="H25" s="14">
        <v>0.11</v>
      </c>
      <c r="I25" s="14">
        <v>0.11</v>
      </c>
      <c r="J25" s="14">
        <v>0.1</v>
      </c>
      <c r="K25" s="14">
        <v>0.11</v>
      </c>
      <c r="L25" s="14">
        <v>7.0000000000000007E-2</v>
      </c>
      <c r="M25" s="14">
        <v>0.11</v>
      </c>
      <c r="N25" s="14">
        <v>0.08</v>
      </c>
      <c r="O25" s="14">
        <v>0.08</v>
      </c>
      <c r="P25" s="14">
        <v>0.12</v>
      </c>
      <c r="Q25" s="14">
        <v>0.17</v>
      </c>
      <c r="R25" s="14">
        <v>0.08</v>
      </c>
      <c r="S25" s="14">
        <v>0.14000000000000001</v>
      </c>
      <c r="T25" s="14">
        <v>0.05</v>
      </c>
      <c r="U25" s="14">
        <v>0.09</v>
      </c>
      <c r="V25" s="14">
        <v>0.13</v>
      </c>
      <c r="W25" s="14">
        <v>0.06</v>
      </c>
      <c r="X25" s="14">
        <v>0.17</v>
      </c>
      <c r="Y25" s="14">
        <v>0.12</v>
      </c>
      <c r="Z25" s="14">
        <v>0.15</v>
      </c>
      <c r="AA25" s="14">
        <v>0.14000000000000001</v>
      </c>
      <c r="AB25" s="14">
        <v>0.15</v>
      </c>
      <c r="AC25" s="14">
        <v>0.06</v>
      </c>
      <c r="AD25" s="14">
        <v>0.16</v>
      </c>
      <c r="AE25" s="14">
        <v>0.15</v>
      </c>
      <c r="AF25" s="14">
        <v>0.13</v>
      </c>
    </row>
    <row r="26" spans="1:32" x14ac:dyDescent="0.25">
      <c r="A26" s="19"/>
      <c r="B26" s="11" t="s">
        <v>422</v>
      </c>
      <c r="C26" s="12">
        <v>2127</v>
      </c>
      <c r="D26" s="12">
        <v>103</v>
      </c>
      <c r="E26" s="12">
        <v>139</v>
      </c>
      <c r="F26" s="12">
        <v>115</v>
      </c>
      <c r="G26" s="12">
        <v>86</v>
      </c>
      <c r="H26" s="12">
        <v>81</v>
      </c>
      <c r="I26" s="12">
        <v>100</v>
      </c>
      <c r="J26" s="12">
        <v>19</v>
      </c>
      <c r="K26" s="12">
        <v>69</v>
      </c>
      <c r="L26" s="12">
        <v>36</v>
      </c>
      <c r="M26" s="12">
        <v>67</v>
      </c>
      <c r="N26" s="12">
        <v>56</v>
      </c>
      <c r="O26" s="12">
        <v>64</v>
      </c>
      <c r="P26" s="12">
        <v>88</v>
      </c>
      <c r="Q26" s="12">
        <v>86</v>
      </c>
      <c r="R26" s="12">
        <v>20</v>
      </c>
      <c r="S26" s="12">
        <v>85</v>
      </c>
      <c r="T26" s="12">
        <v>45</v>
      </c>
      <c r="U26" s="12">
        <v>19</v>
      </c>
      <c r="V26" s="12">
        <v>101</v>
      </c>
      <c r="W26" s="12">
        <v>43</v>
      </c>
      <c r="X26" s="12">
        <v>88</v>
      </c>
      <c r="Y26" s="12">
        <v>112</v>
      </c>
      <c r="Z26" s="12">
        <v>110</v>
      </c>
      <c r="AA26" s="12">
        <v>92</v>
      </c>
      <c r="AB26" s="12">
        <v>132</v>
      </c>
      <c r="AC26" s="12">
        <v>59</v>
      </c>
      <c r="AD26" s="12">
        <v>106</v>
      </c>
      <c r="AE26" s="12">
        <v>117</v>
      </c>
      <c r="AF26" s="12">
        <v>99</v>
      </c>
    </row>
    <row r="27" spans="1:32" x14ac:dyDescent="0.25">
      <c r="A27" s="19"/>
      <c r="B27" s="13" t="s">
        <v>422</v>
      </c>
      <c r="C27" s="14">
        <v>0.08</v>
      </c>
      <c r="D27" s="14">
        <v>0.1</v>
      </c>
      <c r="E27" s="14">
        <v>0.14000000000000001</v>
      </c>
      <c r="F27" s="14">
        <v>0.11</v>
      </c>
      <c r="G27" s="14">
        <v>0.08</v>
      </c>
      <c r="H27" s="14">
        <v>7.0000000000000007E-2</v>
      </c>
      <c r="I27" s="14">
        <v>7.0000000000000007E-2</v>
      </c>
      <c r="J27" s="14">
        <v>0.06</v>
      </c>
      <c r="K27" s="14">
        <v>7.0000000000000007E-2</v>
      </c>
      <c r="L27" s="14">
        <v>0.04</v>
      </c>
      <c r="M27" s="14">
        <v>7.0000000000000007E-2</v>
      </c>
      <c r="N27" s="14">
        <v>0.06</v>
      </c>
      <c r="O27" s="14">
        <v>0.06</v>
      </c>
      <c r="P27" s="14">
        <v>0.09</v>
      </c>
      <c r="Q27" s="14">
        <v>0.08</v>
      </c>
      <c r="R27" s="14">
        <v>0.04</v>
      </c>
      <c r="S27" s="14">
        <v>0.09</v>
      </c>
      <c r="T27" s="14">
        <v>0.04</v>
      </c>
      <c r="U27" s="14">
        <v>0.04</v>
      </c>
      <c r="V27" s="14">
        <v>0.1</v>
      </c>
      <c r="W27" s="14">
        <v>0.09</v>
      </c>
      <c r="X27" s="14">
        <v>0.09</v>
      </c>
      <c r="Y27" s="14">
        <v>0.11</v>
      </c>
      <c r="Z27" s="14">
        <v>0.11</v>
      </c>
      <c r="AA27" s="14">
        <v>0.09</v>
      </c>
      <c r="AB27" s="14">
        <v>0.13</v>
      </c>
      <c r="AC27" s="14">
        <v>0.06</v>
      </c>
      <c r="AD27" s="14">
        <v>0.1</v>
      </c>
      <c r="AE27" s="14">
        <v>0.12</v>
      </c>
      <c r="AF27" s="14">
        <v>0.1</v>
      </c>
    </row>
    <row r="28" spans="1:32" x14ac:dyDescent="0.25">
      <c r="A28" s="19"/>
      <c r="B28" s="11" t="s">
        <v>423</v>
      </c>
      <c r="C28" s="12">
        <v>619</v>
      </c>
      <c r="D28" s="12">
        <v>41</v>
      </c>
      <c r="E28" s="12">
        <v>31</v>
      </c>
      <c r="F28" s="12">
        <v>22</v>
      </c>
      <c r="G28" s="12">
        <v>30</v>
      </c>
      <c r="H28" s="12">
        <v>12</v>
      </c>
      <c r="I28" s="12">
        <v>20</v>
      </c>
      <c r="J28" s="12">
        <v>8</v>
      </c>
      <c r="K28" s="12">
        <v>40</v>
      </c>
      <c r="L28" s="12">
        <v>3</v>
      </c>
      <c r="M28" s="12">
        <v>15</v>
      </c>
      <c r="N28" s="12">
        <v>9</v>
      </c>
      <c r="O28" s="12">
        <v>34</v>
      </c>
      <c r="P28" s="12">
        <v>42</v>
      </c>
      <c r="Q28" s="12">
        <v>20</v>
      </c>
      <c r="R28" s="12">
        <v>6</v>
      </c>
      <c r="S28" s="12">
        <v>20</v>
      </c>
      <c r="T28" s="12">
        <v>23</v>
      </c>
      <c r="U28" s="12">
        <v>2</v>
      </c>
      <c r="V28" s="12">
        <v>42</v>
      </c>
      <c r="W28" s="12">
        <v>22</v>
      </c>
      <c r="X28" s="12">
        <v>17</v>
      </c>
      <c r="Y28" s="12">
        <v>22</v>
      </c>
      <c r="Z28" s="12">
        <v>45</v>
      </c>
      <c r="AA28" s="12">
        <v>10</v>
      </c>
      <c r="AB28" s="12">
        <v>43</v>
      </c>
      <c r="AC28" s="12">
        <v>11</v>
      </c>
      <c r="AD28" s="12">
        <v>37</v>
      </c>
      <c r="AE28" s="12">
        <v>39</v>
      </c>
      <c r="AF28" s="12">
        <v>14</v>
      </c>
    </row>
    <row r="29" spans="1:32" x14ac:dyDescent="0.25">
      <c r="A29" s="19"/>
      <c r="B29" s="13" t="s">
        <v>423</v>
      </c>
      <c r="C29" s="14">
        <v>0.02</v>
      </c>
      <c r="D29" s="14">
        <v>0.04</v>
      </c>
      <c r="E29" s="14">
        <v>0.03</v>
      </c>
      <c r="F29" s="14">
        <v>0.02</v>
      </c>
      <c r="G29" s="14">
        <v>0.03</v>
      </c>
      <c r="H29" s="14">
        <v>0.01</v>
      </c>
      <c r="I29" s="14">
        <v>0.01</v>
      </c>
      <c r="J29" s="14">
        <v>0.02</v>
      </c>
      <c r="K29" s="14">
        <v>0.04</v>
      </c>
      <c r="L29" s="15" t="s">
        <v>213</v>
      </c>
      <c r="M29" s="14">
        <v>0.02</v>
      </c>
      <c r="N29" s="14">
        <v>0.01</v>
      </c>
      <c r="O29" s="14">
        <v>0.03</v>
      </c>
      <c r="P29" s="14">
        <v>0.04</v>
      </c>
      <c r="Q29" s="14">
        <v>0.02</v>
      </c>
      <c r="R29" s="14">
        <v>0.01</v>
      </c>
      <c r="S29" s="14">
        <v>0.02</v>
      </c>
      <c r="T29" s="14">
        <v>0.02</v>
      </c>
      <c r="U29" s="15" t="s">
        <v>213</v>
      </c>
      <c r="V29" s="14">
        <v>0.04</v>
      </c>
      <c r="W29" s="14">
        <v>0.04</v>
      </c>
      <c r="X29" s="14">
        <v>0.02</v>
      </c>
      <c r="Y29" s="14">
        <v>0.02</v>
      </c>
      <c r="Z29" s="14">
        <v>0.05</v>
      </c>
      <c r="AA29" s="14">
        <v>0.01</v>
      </c>
      <c r="AB29" s="14">
        <v>0.04</v>
      </c>
      <c r="AC29" s="14">
        <v>0.01</v>
      </c>
      <c r="AD29" s="14">
        <v>0.04</v>
      </c>
      <c r="AE29" s="14">
        <v>0.04</v>
      </c>
      <c r="AF29" s="14">
        <v>0.01</v>
      </c>
    </row>
    <row r="30" spans="1:32" x14ac:dyDescent="0.25">
      <c r="A30" s="19"/>
      <c r="B30" s="11" t="s">
        <v>823</v>
      </c>
      <c r="C30" s="12">
        <v>969</v>
      </c>
      <c r="D30" s="12">
        <v>15</v>
      </c>
      <c r="E30" s="12">
        <v>73</v>
      </c>
      <c r="F30" s="12">
        <v>42</v>
      </c>
      <c r="G30" s="12">
        <v>23</v>
      </c>
      <c r="H30" s="12">
        <v>16</v>
      </c>
      <c r="I30" s="12">
        <v>21</v>
      </c>
      <c r="J30" s="12">
        <v>5</v>
      </c>
      <c r="K30" s="12">
        <v>46</v>
      </c>
      <c r="L30" s="12">
        <v>12</v>
      </c>
      <c r="M30" s="12">
        <v>14</v>
      </c>
      <c r="N30" s="12">
        <v>33</v>
      </c>
      <c r="O30" s="12">
        <v>59</v>
      </c>
      <c r="P30" s="12">
        <v>119</v>
      </c>
      <c r="Q30" s="12">
        <v>26</v>
      </c>
      <c r="R30" s="12">
        <v>30</v>
      </c>
      <c r="S30" s="12">
        <v>24</v>
      </c>
      <c r="T30" s="12">
        <v>50</v>
      </c>
      <c r="U30" s="12">
        <v>13</v>
      </c>
      <c r="V30" s="12">
        <v>56</v>
      </c>
      <c r="W30" s="12">
        <v>33</v>
      </c>
      <c r="X30" s="12">
        <v>18</v>
      </c>
      <c r="Y30" s="12">
        <v>24</v>
      </c>
      <c r="Z30" s="12">
        <v>73</v>
      </c>
      <c r="AA30" s="12">
        <v>70</v>
      </c>
      <c r="AB30" s="12">
        <v>52</v>
      </c>
      <c r="AC30" s="12">
        <v>65</v>
      </c>
      <c r="AD30" s="12">
        <v>32</v>
      </c>
      <c r="AE30" s="12">
        <v>26</v>
      </c>
      <c r="AF30" s="12">
        <v>27</v>
      </c>
    </row>
    <row r="31" spans="1:32" x14ac:dyDescent="0.25">
      <c r="A31" s="19"/>
      <c r="B31" s="13" t="s">
        <v>824</v>
      </c>
      <c r="C31" s="14">
        <v>0.04</v>
      </c>
      <c r="D31" s="14">
        <v>0.02</v>
      </c>
      <c r="E31" s="14">
        <v>7.0000000000000007E-2</v>
      </c>
      <c r="F31" s="14">
        <v>0.04</v>
      </c>
      <c r="G31" s="14">
        <v>0.02</v>
      </c>
      <c r="H31" s="14">
        <v>0.01</v>
      </c>
      <c r="I31" s="14">
        <v>0.01</v>
      </c>
      <c r="J31" s="14">
        <v>0.02</v>
      </c>
      <c r="K31" s="14">
        <v>0.05</v>
      </c>
      <c r="L31" s="14">
        <v>0.01</v>
      </c>
      <c r="M31" s="14">
        <v>0.01</v>
      </c>
      <c r="N31" s="14">
        <v>0.03</v>
      </c>
      <c r="O31" s="14">
        <v>0.06</v>
      </c>
      <c r="P31" s="14">
        <v>0.12</v>
      </c>
      <c r="Q31" s="14">
        <v>0.02</v>
      </c>
      <c r="R31" s="14">
        <v>0.06</v>
      </c>
      <c r="S31" s="14">
        <v>0.02</v>
      </c>
      <c r="T31" s="14">
        <v>0.05</v>
      </c>
      <c r="U31" s="14">
        <v>0.03</v>
      </c>
      <c r="V31" s="14">
        <v>0.05</v>
      </c>
      <c r="W31" s="14">
        <v>7.0000000000000007E-2</v>
      </c>
      <c r="X31" s="14">
        <v>0.02</v>
      </c>
      <c r="Y31" s="14">
        <v>0.02</v>
      </c>
      <c r="Z31" s="14">
        <v>7.0000000000000007E-2</v>
      </c>
      <c r="AA31" s="14">
        <v>7.0000000000000007E-2</v>
      </c>
      <c r="AB31" s="14">
        <v>0.05</v>
      </c>
      <c r="AC31" s="14">
        <v>7.0000000000000007E-2</v>
      </c>
      <c r="AD31" s="14">
        <v>0.03</v>
      </c>
      <c r="AE31" s="14">
        <v>0.03</v>
      </c>
      <c r="AF31" s="14">
        <v>0.03</v>
      </c>
    </row>
    <row r="32" spans="1:32" x14ac:dyDescent="0.25">
      <c r="A32" s="19"/>
      <c r="B32" s="11" t="s">
        <v>555</v>
      </c>
      <c r="C32" s="12">
        <v>1269</v>
      </c>
      <c r="D32" s="12">
        <v>5</v>
      </c>
      <c r="E32" s="12">
        <v>76</v>
      </c>
      <c r="F32" s="12">
        <v>9</v>
      </c>
      <c r="G32" s="12">
        <v>16</v>
      </c>
      <c r="H32" s="12">
        <v>9</v>
      </c>
      <c r="I32" s="12">
        <v>18</v>
      </c>
      <c r="J32" s="12">
        <v>8</v>
      </c>
      <c r="K32" s="12">
        <v>65</v>
      </c>
      <c r="L32" s="12">
        <v>4</v>
      </c>
      <c r="M32" s="12">
        <v>122</v>
      </c>
      <c r="N32" s="12">
        <v>70</v>
      </c>
      <c r="O32" s="12">
        <v>56</v>
      </c>
      <c r="P32" s="12">
        <v>29</v>
      </c>
      <c r="Q32" s="12">
        <v>111</v>
      </c>
      <c r="R32" s="12">
        <v>128</v>
      </c>
      <c r="S32" s="12">
        <v>21</v>
      </c>
      <c r="T32" s="12">
        <v>79</v>
      </c>
      <c r="U32" s="12">
        <v>15</v>
      </c>
      <c r="V32" s="12">
        <v>52</v>
      </c>
      <c r="W32" s="12">
        <v>6</v>
      </c>
      <c r="X32" s="12">
        <v>0</v>
      </c>
      <c r="Y32" s="12">
        <v>56</v>
      </c>
      <c r="Z32" s="12">
        <v>23</v>
      </c>
      <c r="AA32" s="12">
        <v>82</v>
      </c>
      <c r="AB32" s="12">
        <v>59</v>
      </c>
      <c r="AC32" s="12">
        <v>111</v>
      </c>
      <c r="AD32" s="12">
        <v>11</v>
      </c>
      <c r="AE32" s="12">
        <v>16</v>
      </c>
      <c r="AF32" s="12">
        <v>2</v>
      </c>
    </row>
    <row r="33" spans="1:32" x14ac:dyDescent="0.25">
      <c r="A33" s="19"/>
      <c r="B33" s="13" t="s">
        <v>556</v>
      </c>
      <c r="C33" s="14">
        <v>0.05</v>
      </c>
      <c r="D33" s="14">
        <v>0.01</v>
      </c>
      <c r="E33" s="14">
        <v>7.0000000000000007E-2</v>
      </c>
      <c r="F33" s="14">
        <v>0.01</v>
      </c>
      <c r="G33" s="14">
        <v>0.02</v>
      </c>
      <c r="H33" s="14">
        <v>0.01</v>
      </c>
      <c r="I33" s="14">
        <v>0.01</v>
      </c>
      <c r="J33" s="14">
        <v>0.03</v>
      </c>
      <c r="K33" s="14">
        <v>0.06</v>
      </c>
      <c r="L33" s="15" t="s">
        <v>213</v>
      </c>
      <c r="M33" s="14">
        <v>0.12</v>
      </c>
      <c r="N33" s="14">
        <v>7.0000000000000007E-2</v>
      </c>
      <c r="O33" s="14">
        <v>0.06</v>
      </c>
      <c r="P33" s="14">
        <v>0.03</v>
      </c>
      <c r="Q33" s="14">
        <v>0.11</v>
      </c>
      <c r="R33" s="14">
        <v>0.26</v>
      </c>
      <c r="S33" s="14">
        <v>0.02</v>
      </c>
      <c r="T33" s="14">
        <v>0.08</v>
      </c>
      <c r="U33" s="14">
        <v>0.03</v>
      </c>
      <c r="V33" s="14">
        <v>0.05</v>
      </c>
      <c r="W33" s="14">
        <v>0.01</v>
      </c>
      <c r="X33" s="15" t="s">
        <v>213</v>
      </c>
      <c r="Y33" s="14">
        <v>0.06</v>
      </c>
      <c r="Z33" s="14">
        <v>0.02</v>
      </c>
      <c r="AA33" s="14">
        <v>0.08</v>
      </c>
      <c r="AB33" s="14">
        <v>0.06</v>
      </c>
      <c r="AC33" s="14">
        <v>0.11</v>
      </c>
      <c r="AD33" s="14">
        <v>0.01</v>
      </c>
      <c r="AE33" s="14">
        <v>0.02</v>
      </c>
      <c r="AF33" s="15" t="s">
        <v>213</v>
      </c>
    </row>
    <row r="34" spans="1:32" x14ac:dyDescent="0.25">
      <c r="A34" s="19"/>
      <c r="B34" s="11" t="s">
        <v>224</v>
      </c>
      <c r="C34" s="12">
        <v>1499</v>
      </c>
      <c r="D34" s="12">
        <v>14</v>
      </c>
      <c r="E34" s="12">
        <v>107</v>
      </c>
      <c r="F34" s="12">
        <v>6</v>
      </c>
      <c r="G34" s="12">
        <v>15</v>
      </c>
      <c r="H34" s="12">
        <v>28</v>
      </c>
      <c r="I34" s="12">
        <v>30</v>
      </c>
      <c r="J34" s="12">
        <v>2</v>
      </c>
      <c r="K34" s="12">
        <v>127</v>
      </c>
      <c r="L34" s="12">
        <v>71</v>
      </c>
      <c r="M34" s="12">
        <v>132</v>
      </c>
      <c r="N34" s="12">
        <v>69</v>
      </c>
      <c r="O34" s="12">
        <v>134</v>
      </c>
      <c r="P34" s="12">
        <v>21</v>
      </c>
      <c r="Q34" s="12">
        <v>43</v>
      </c>
      <c r="R34" s="12">
        <v>78</v>
      </c>
      <c r="S34" s="12">
        <v>230</v>
      </c>
      <c r="T34" s="12">
        <v>241</v>
      </c>
      <c r="U34" s="12">
        <v>33</v>
      </c>
      <c r="V34" s="12">
        <v>9</v>
      </c>
      <c r="W34" s="12">
        <v>108</v>
      </c>
      <c r="X34" s="12">
        <v>6</v>
      </c>
      <c r="Y34" s="12">
        <v>31</v>
      </c>
      <c r="Z34" s="12">
        <v>19</v>
      </c>
      <c r="AA34" s="12">
        <v>93</v>
      </c>
      <c r="AB34" s="12">
        <v>87</v>
      </c>
      <c r="AC34" s="12">
        <v>108</v>
      </c>
      <c r="AD34" s="12">
        <v>47</v>
      </c>
      <c r="AE34" s="12">
        <v>40</v>
      </c>
      <c r="AF34" s="12">
        <v>22</v>
      </c>
    </row>
    <row r="35" spans="1:32" x14ac:dyDescent="0.25">
      <c r="A35" s="19"/>
      <c r="B35" s="13" t="s">
        <v>237</v>
      </c>
      <c r="C35" s="14">
        <v>0.06</v>
      </c>
      <c r="D35" s="14">
        <v>0.01</v>
      </c>
      <c r="E35" s="14">
        <v>0.1</v>
      </c>
      <c r="F35" s="15" t="s">
        <v>213</v>
      </c>
      <c r="G35" s="14">
        <v>0.01</v>
      </c>
      <c r="H35" s="14">
        <v>0.02</v>
      </c>
      <c r="I35" s="14">
        <v>0.02</v>
      </c>
      <c r="J35" s="14">
        <v>0.01</v>
      </c>
      <c r="K35" s="14">
        <v>0.13</v>
      </c>
      <c r="L35" s="14">
        <v>7.0000000000000007E-2</v>
      </c>
      <c r="M35" s="14">
        <v>0.13</v>
      </c>
      <c r="N35" s="14">
        <v>7.0000000000000007E-2</v>
      </c>
      <c r="O35" s="14">
        <v>0.13</v>
      </c>
      <c r="P35" s="14">
        <v>0.02</v>
      </c>
      <c r="Q35" s="14">
        <v>0.04</v>
      </c>
      <c r="R35" s="14">
        <v>0.16</v>
      </c>
      <c r="S35" s="14">
        <v>0.23</v>
      </c>
      <c r="T35" s="14">
        <v>0.24</v>
      </c>
      <c r="U35" s="14">
        <v>0.06</v>
      </c>
      <c r="V35" s="14">
        <v>0.01</v>
      </c>
      <c r="W35" s="14">
        <v>0.22</v>
      </c>
      <c r="X35" s="14">
        <v>0.01</v>
      </c>
      <c r="Y35" s="14">
        <v>0.03</v>
      </c>
      <c r="Z35" s="14">
        <v>0.02</v>
      </c>
      <c r="AA35" s="14">
        <v>0.09</v>
      </c>
      <c r="AB35" s="14">
        <v>0.08</v>
      </c>
      <c r="AC35" s="14">
        <v>0.11</v>
      </c>
      <c r="AD35" s="14">
        <v>0.05</v>
      </c>
      <c r="AE35" s="14">
        <v>0.04</v>
      </c>
      <c r="AF35" s="14">
        <v>0.02</v>
      </c>
    </row>
    <row r="36" spans="1:32" x14ac:dyDescent="0.25">
      <c r="A36" s="19"/>
      <c r="B36" s="11" t="s">
        <v>568</v>
      </c>
      <c r="C36" s="12">
        <v>5.4</v>
      </c>
      <c r="D36" s="12">
        <v>5.52</v>
      </c>
      <c r="E36" s="12">
        <v>6.01</v>
      </c>
      <c r="F36" s="12">
        <v>5.63</v>
      </c>
      <c r="G36" s="12">
        <v>5.19</v>
      </c>
      <c r="H36" s="12">
        <v>5.1100000000000003</v>
      </c>
      <c r="I36" s="12">
        <v>5.1100000000000003</v>
      </c>
      <c r="J36" s="12">
        <v>5.0999999999999996</v>
      </c>
      <c r="K36" s="12">
        <v>5.53</v>
      </c>
      <c r="L36" s="12">
        <v>5.12</v>
      </c>
      <c r="M36" s="12">
        <v>5.28</v>
      </c>
      <c r="N36" s="12">
        <v>4.9800000000000004</v>
      </c>
      <c r="O36" s="12">
        <v>5.42</v>
      </c>
      <c r="P36" s="12">
        <v>6</v>
      </c>
      <c r="Q36" s="12">
        <v>5.59</v>
      </c>
      <c r="R36" s="12">
        <v>5.6</v>
      </c>
      <c r="S36" s="12">
        <v>5.93</v>
      </c>
      <c r="T36" s="12">
        <v>5.45</v>
      </c>
      <c r="U36" s="12">
        <v>5.27</v>
      </c>
      <c r="V36" s="12">
        <v>5.83</v>
      </c>
      <c r="W36" s="12">
        <v>5.76</v>
      </c>
      <c r="X36" s="12">
        <v>5.0599999999999996</v>
      </c>
      <c r="Y36" s="12">
        <v>5.51</v>
      </c>
      <c r="Z36" s="12">
        <v>6</v>
      </c>
      <c r="AA36" s="12">
        <v>5.63</v>
      </c>
      <c r="AB36" s="12">
        <v>5.79</v>
      </c>
      <c r="AC36" s="12">
        <v>5.42</v>
      </c>
      <c r="AD36" s="12">
        <v>5.64</v>
      </c>
      <c r="AE36" s="12">
        <v>5.6</v>
      </c>
      <c r="AF36" s="12">
        <v>4.84</v>
      </c>
    </row>
    <row r="37" spans="1:32" x14ac:dyDescent="0.25">
      <c r="A37" s="19"/>
      <c r="B37" s="13" t="s">
        <v>569</v>
      </c>
      <c r="C37" s="15" t="s">
        <v>213</v>
      </c>
      <c r="D37" s="15" t="s">
        <v>213</v>
      </c>
      <c r="E37" s="15" t="s">
        <v>213</v>
      </c>
      <c r="F37" s="15" t="s">
        <v>213</v>
      </c>
      <c r="G37" s="15" t="s">
        <v>213</v>
      </c>
      <c r="H37" s="15" t="s">
        <v>213</v>
      </c>
      <c r="I37" s="15" t="s">
        <v>213</v>
      </c>
      <c r="J37" s="15" t="s">
        <v>213</v>
      </c>
      <c r="K37" s="15" t="s">
        <v>213</v>
      </c>
      <c r="L37" s="15" t="s">
        <v>213</v>
      </c>
      <c r="M37" s="15" t="s">
        <v>213</v>
      </c>
      <c r="N37" s="15" t="s">
        <v>213</v>
      </c>
      <c r="O37" s="15" t="s">
        <v>213</v>
      </c>
      <c r="P37" s="15" t="s">
        <v>213</v>
      </c>
      <c r="Q37" s="15" t="s">
        <v>213</v>
      </c>
      <c r="R37" s="15" t="s">
        <v>213</v>
      </c>
      <c r="S37" s="15" t="s">
        <v>213</v>
      </c>
      <c r="T37" s="15" t="s">
        <v>213</v>
      </c>
      <c r="U37" s="15" t="s">
        <v>213</v>
      </c>
      <c r="V37" s="15" t="s">
        <v>213</v>
      </c>
      <c r="W37" s="15" t="s">
        <v>213</v>
      </c>
      <c r="X37" s="15" t="s">
        <v>213</v>
      </c>
      <c r="Y37" s="15" t="s">
        <v>213</v>
      </c>
      <c r="Z37" s="15" t="s">
        <v>213</v>
      </c>
      <c r="AA37" s="15" t="s">
        <v>213</v>
      </c>
      <c r="AB37" s="15" t="s">
        <v>213</v>
      </c>
      <c r="AC37" s="15" t="s">
        <v>213</v>
      </c>
      <c r="AD37" s="15" t="s">
        <v>213</v>
      </c>
      <c r="AE37" s="15" t="s">
        <v>213</v>
      </c>
      <c r="AF37" s="15" t="s">
        <v>213</v>
      </c>
    </row>
  </sheetData>
  <mergeCells count="9">
    <mergeCell ref="H3:L3"/>
    <mergeCell ref="C8:AF8"/>
    <mergeCell ref="B3:F3"/>
    <mergeCell ref="B5:F5"/>
    <mergeCell ref="A10:A37"/>
    <mergeCell ref="H5:L5"/>
    <mergeCell ref="B10:B11"/>
    <mergeCell ref="H4:L4"/>
    <mergeCell ref="B4:F4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F23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173</v>
      </c>
      <c r="C3" s="18"/>
      <c r="D3" s="18"/>
      <c r="E3" s="18"/>
      <c r="F3" s="18"/>
      <c r="H3" s="18" t="s">
        <v>174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HYPERLINK("#Content!A88","&lt;&lt;Back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825</v>
      </c>
      <c r="C12" s="12">
        <v>7036</v>
      </c>
      <c r="D12" s="12">
        <v>262</v>
      </c>
      <c r="E12" s="12">
        <v>200</v>
      </c>
      <c r="F12" s="12">
        <v>220</v>
      </c>
      <c r="G12" s="12">
        <v>349</v>
      </c>
      <c r="H12" s="12">
        <v>367</v>
      </c>
      <c r="I12" s="12">
        <v>452</v>
      </c>
      <c r="J12" s="12">
        <v>85</v>
      </c>
      <c r="K12" s="12">
        <v>236</v>
      </c>
      <c r="L12" s="12">
        <v>207</v>
      </c>
      <c r="M12" s="12">
        <v>237</v>
      </c>
      <c r="N12" s="12">
        <v>326</v>
      </c>
      <c r="O12" s="12">
        <v>258</v>
      </c>
      <c r="P12" s="12">
        <v>236</v>
      </c>
      <c r="Q12" s="12">
        <v>234</v>
      </c>
      <c r="R12" s="12">
        <v>68</v>
      </c>
      <c r="S12" s="12">
        <v>101</v>
      </c>
      <c r="T12" s="12">
        <v>168</v>
      </c>
      <c r="U12" s="12">
        <v>92</v>
      </c>
      <c r="V12" s="12">
        <v>219</v>
      </c>
      <c r="W12" s="12">
        <v>87</v>
      </c>
      <c r="X12" s="12">
        <v>409</v>
      </c>
      <c r="Y12" s="12">
        <v>278</v>
      </c>
      <c r="Z12" s="12">
        <v>195</v>
      </c>
      <c r="AA12" s="12">
        <v>236</v>
      </c>
      <c r="AB12" s="12">
        <v>221</v>
      </c>
      <c r="AC12" s="12">
        <v>198</v>
      </c>
      <c r="AD12" s="12">
        <v>248</v>
      </c>
      <c r="AE12" s="12">
        <v>277</v>
      </c>
      <c r="AF12" s="12">
        <v>504</v>
      </c>
    </row>
    <row r="13" spans="1:32" x14ac:dyDescent="0.25">
      <c r="A13" s="19"/>
      <c r="B13" s="13" t="s">
        <v>826</v>
      </c>
      <c r="C13" s="14">
        <v>0.26</v>
      </c>
      <c r="D13" s="14">
        <v>0.26</v>
      </c>
      <c r="E13" s="14">
        <v>0.19</v>
      </c>
      <c r="F13" s="14">
        <v>0.21</v>
      </c>
      <c r="G13" s="14">
        <v>0.34</v>
      </c>
      <c r="H13" s="14">
        <v>0.3</v>
      </c>
      <c r="I13" s="14">
        <v>0.3</v>
      </c>
      <c r="J13" s="14">
        <v>0.28000000000000003</v>
      </c>
      <c r="K13" s="14">
        <v>0.23</v>
      </c>
      <c r="L13" s="14">
        <v>0.21</v>
      </c>
      <c r="M13" s="14">
        <v>0.23</v>
      </c>
      <c r="N13" s="14">
        <v>0.32</v>
      </c>
      <c r="O13" s="14">
        <v>0.26</v>
      </c>
      <c r="P13" s="14">
        <v>0.23</v>
      </c>
      <c r="Q13" s="14">
        <v>0.23</v>
      </c>
      <c r="R13" s="14">
        <v>0.14000000000000001</v>
      </c>
      <c r="S13" s="14">
        <v>0.1</v>
      </c>
      <c r="T13" s="14">
        <v>0.16</v>
      </c>
      <c r="U13" s="14">
        <v>0.18</v>
      </c>
      <c r="V13" s="14">
        <v>0.21</v>
      </c>
      <c r="W13" s="14">
        <v>0.17</v>
      </c>
      <c r="X13" s="14">
        <v>0.4</v>
      </c>
      <c r="Y13" s="14">
        <v>0.28000000000000003</v>
      </c>
      <c r="Z13" s="14">
        <v>0.19</v>
      </c>
      <c r="AA13" s="14">
        <v>0.23</v>
      </c>
      <c r="AB13" s="14">
        <v>0.21</v>
      </c>
      <c r="AC13" s="14">
        <v>0.19</v>
      </c>
      <c r="AD13" s="14">
        <v>0.25</v>
      </c>
      <c r="AE13" s="14">
        <v>0.28000000000000003</v>
      </c>
      <c r="AF13" s="14">
        <v>0.49</v>
      </c>
    </row>
    <row r="14" spans="1:32" x14ac:dyDescent="0.25">
      <c r="A14" s="19"/>
      <c r="B14" s="11" t="s">
        <v>827</v>
      </c>
      <c r="C14" s="12">
        <v>9734</v>
      </c>
      <c r="D14" s="12">
        <v>417</v>
      </c>
      <c r="E14" s="12">
        <v>276</v>
      </c>
      <c r="F14" s="12">
        <v>530</v>
      </c>
      <c r="G14" s="12">
        <v>343</v>
      </c>
      <c r="H14" s="12">
        <v>578</v>
      </c>
      <c r="I14" s="12">
        <v>719</v>
      </c>
      <c r="J14" s="12">
        <v>142</v>
      </c>
      <c r="K14" s="12">
        <v>310</v>
      </c>
      <c r="L14" s="12">
        <v>605</v>
      </c>
      <c r="M14" s="12">
        <v>310</v>
      </c>
      <c r="N14" s="12">
        <v>363</v>
      </c>
      <c r="O14" s="12">
        <v>323</v>
      </c>
      <c r="P14" s="12">
        <v>350</v>
      </c>
      <c r="Q14" s="12">
        <v>337</v>
      </c>
      <c r="R14" s="12">
        <v>129</v>
      </c>
      <c r="S14" s="12">
        <v>385</v>
      </c>
      <c r="T14" s="12">
        <v>363</v>
      </c>
      <c r="U14" s="12">
        <v>286</v>
      </c>
      <c r="V14" s="12">
        <v>417</v>
      </c>
      <c r="W14" s="12">
        <v>173</v>
      </c>
      <c r="X14" s="12">
        <v>302</v>
      </c>
      <c r="Y14" s="12">
        <v>362</v>
      </c>
      <c r="Z14" s="12">
        <v>398</v>
      </c>
      <c r="AA14" s="12">
        <v>308</v>
      </c>
      <c r="AB14" s="12">
        <v>293</v>
      </c>
      <c r="AC14" s="12">
        <v>390</v>
      </c>
      <c r="AD14" s="12">
        <v>363</v>
      </c>
      <c r="AE14" s="12">
        <v>339</v>
      </c>
      <c r="AF14" s="12">
        <v>229</v>
      </c>
    </row>
    <row r="15" spans="1:32" x14ac:dyDescent="0.25">
      <c r="A15" s="19"/>
      <c r="B15" s="13" t="s">
        <v>827</v>
      </c>
      <c r="C15" s="14">
        <v>0.37</v>
      </c>
      <c r="D15" s="14">
        <v>0.41</v>
      </c>
      <c r="E15" s="14">
        <v>0.27</v>
      </c>
      <c r="F15" s="14">
        <v>0.5</v>
      </c>
      <c r="G15" s="14">
        <v>0.34</v>
      </c>
      <c r="H15" s="14">
        <v>0.47</v>
      </c>
      <c r="I15" s="14">
        <v>0.47</v>
      </c>
      <c r="J15" s="14">
        <v>0.48</v>
      </c>
      <c r="K15" s="14">
        <v>0.31</v>
      </c>
      <c r="L15" s="14">
        <v>0.6</v>
      </c>
      <c r="M15" s="14">
        <v>0.31</v>
      </c>
      <c r="N15" s="14">
        <v>0.36</v>
      </c>
      <c r="O15" s="14">
        <v>0.32</v>
      </c>
      <c r="P15" s="14">
        <v>0.35</v>
      </c>
      <c r="Q15" s="14">
        <v>0.33</v>
      </c>
      <c r="R15" s="14">
        <v>0.26</v>
      </c>
      <c r="S15" s="14">
        <v>0.38</v>
      </c>
      <c r="T15" s="14">
        <v>0.35</v>
      </c>
      <c r="U15" s="14">
        <v>0.56000000000000005</v>
      </c>
      <c r="V15" s="14">
        <v>0.41</v>
      </c>
      <c r="W15" s="14">
        <v>0.35</v>
      </c>
      <c r="X15" s="14">
        <v>0.3</v>
      </c>
      <c r="Y15" s="14">
        <v>0.36</v>
      </c>
      <c r="Z15" s="14">
        <v>0.39</v>
      </c>
      <c r="AA15" s="14">
        <v>0.28999999999999998</v>
      </c>
      <c r="AB15" s="14">
        <v>0.28000000000000003</v>
      </c>
      <c r="AC15" s="14">
        <v>0.39</v>
      </c>
      <c r="AD15" s="14">
        <v>0.36</v>
      </c>
      <c r="AE15" s="14">
        <v>0.34</v>
      </c>
      <c r="AF15" s="14">
        <v>0.22</v>
      </c>
    </row>
    <row r="16" spans="1:32" x14ac:dyDescent="0.25">
      <c r="A16" s="19"/>
      <c r="B16" s="11" t="s">
        <v>828</v>
      </c>
      <c r="C16" s="12">
        <v>6915</v>
      </c>
      <c r="D16" s="12">
        <v>323</v>
      </c>
      <c r="E16" s="12">
        <v>387</v>
      </c>
      <c r="F16" s="12">
        <v>298</v>
      </c>
      <c r="G16" s="12">
        <v>293</v>
      </c>
      <c r="H16" s="12">
        <v>248</v>
      </c>
      <c r="I16" s="12">
        <v>308</v>
      </c>
      <c r="J16" s="12">
        <v>60</v>
      </c>
      <c r="K16" s="12">
        <v>268</v>
      </c>
      <c r="L16" s="12">
        <v>119</v>
      </c>
      <c r="M16" s="12">
        <v>207</v>
      </c>
      <c r="N16" s="12">
        <v>182</v>
      </c>
      <c r="O16" s="12">
        <v>233</v>
      </c>
      <c r="P16" s="12">
        <v>367</v>
      </c>
      <c r="Q16" s="12">
        <v>306</v>
      </c>
      <c r="R16" s="12">
        <v>98</v>
      </c>
      <c r="S16" s="12">
        <v>267</v>
      </c>
      <c r="T16" s="12">
        <v>172</v>
      </c>
      <c r="U16" s="12">
        <v>82</v>
      </c>
      <c r="V16" s="12">
        <v>329</v>
      </c>
      <c r="W16" s="12">
        <v>128</v>
      </c>
      <c r="X16" s="12">
        <v>293</v>
      </c>
      <c r="Y16" s="12">
        <v>277</v>
      </c>
      <c r="Z16" s="12">
        <v>381</v>
      </c>
      <c r="AA16" s="12">
        <v>318</v>
      </c>
      <c r="AB16" s="12">
        <v>380</v>
      </c>
      <c r="AC16" s="12">
        <v>198</v>
      </c>
      <c r="AD16" s="12">
        <v>335</v>
      </c>
      <c r="AE16" s="12">
        <v>330</v>
      </c>
      <c r="AF16" s="12">
        <v>274</v>
      </c>
    </row>
    <row r="17" spans="1:32" x14ac:dyDescent="0.25">
      <c r="A17" s="19"/>
      <c r="B17" s="13" t="s">
        <v>829</v>
      </c>
      <c r="C17" s="14">
        <v>0.26</v>
      </c>
      <c r="D17" s="14">
        <v>0.32</v>
      </c>
      <c r="E17" s="14">
        <v>0.37</v>
      </c>
      <c r="F17" s="14">
        <v>0.28000000000000003</v>
      </c>
      <c r="G17" s="14">
        <v>0.28999999999999998</v>
      </c>
      <c r="H17" s="14">
        <v>0.2</v>
      </c>
      <c r="I17" s="14">
        <v>0.2</v>
      </c>
      <c r="J17" s="14">
        <v>0.2</v>
      </c>
      <c r="K17" s="14">
        <v>0.27</v>
      </c>
      <c r="L17" s="14">
        <v>0.12</v>
      </c>
      <c r="M17" s="14">
        <v>0.21</v>
      </c>
      <c r="N17" s="14">
        <v>0.18</v>
      </c>
      <c r="O17" s="14">
        <v>0.23</v>
      </c>
      <c r="P17" s="14">
        <v>0.37</v>
      </c>
      <c r="Q17" s="14">
        <v>0.28999999999999998</v>
      </c>
      <c r="R17" s="14">
        <v>0.19</v>
      </c>
      <c r="S17" s="14">
        <v>0.27</v>
      </c>
      <c r="T17" s="14">
        <v>0.17</v>
      </c>
      <c r="U17" s="14">
        <v>0.16</v>
      </c>
      <c r="V17" s="14">
        <v>0.32</v>
      </c>
      <c r="W17" s="14">
        <v>0.26</v>
      </c>
      <c r="X17" s="14">
        <v>0.28999999999999998</v>
      </c>
      <c r="Y17" s="14">
        <v>0.28000000000000003</v>
      </c>
      <c r="Z17" s="14">
        <v>0.38</v>
      </c>
      <c r="AA17" s="14">
        <v>0.31</v>
      </c>
      <c r="AB17" s="14">
        <v>0.37</v>
      </c>
      <c r="AC17" s="14">
        <v>0.2</v>
      </c>
      <c r="AD17" s="14">
        <v>0.33</v>
      </c>
      <c r="AE17" s="14">
        <v>0.33</v>
      </c>
      <c r="AF17" s="14">
        <v>0.27</v>
      </c>
    </row>
    <row r="18" spans="1:32" x14ac:dyDescent="0.25">
      <c r="A18" s="19"/>
      <c r="B18" s="11" t="s">
        <v>555</v>
      </c>
      <c r="C18" s="12">
        <v>1269</v>
      </c>
      <c r="D18" s="12">
        <v>5</v>
      </c>
      <c r="E18" s="12">
        <v>76</v>
      </c>
      <c r="F18" s="12">
        <v>9</v>
      </c>
      <c r="G18" s="12">
        <v>16</v>
      </c>
      <c r="H18" s="12">
        <v>9</v>
      </c>
      <c r="I18" s="12">
        <v>18</v>
      </c>
      <c r="J18" s="12">
        <v>8</v>
      </c>
      <c r="K18" s="12">
        <v>65</v>
      </c>
      <c r="L18" s="12">
        <v>4</v>
      </c>
      <c r="M18" s="12">
        <v>122</v>
      </c>
      <c r="N18" s="12">
        <v>70</v>
      </c>
      <c r="O18" s="12">
        <v>56</v>
      </c>
      <c r="P18" s="12">
        <v>29</v>
      </c>
      <c r="Q18" s="12">
        <v>111</v>
      </c>
      <c r="R18" s="12">
        <v>128</v>
      </c>
      <c r="S18" s="12">
        <v>21</v>
      </c>
      <c r="T18" s="12">
        <v>79</v>
      </c>
      <c r="U18" s="12">
        <v>15</v>
      </c>
      <c r="V18" s="12">
        <v>52</v>
      </c>
      <c r="W18" s="12">
        <v>6</v>
      </c>
      <c r="X18" s="12">
        <v>0</v>
      </c>
      <c r="Y18" s="12">
        <v>56</v>
      </c>
      <c r="Z18" s="12">
        <v>23</v>
      </c>
      <c r="AA18" s="12">
        <v>82</v>
      </c>
      <c r="AB18" s="12">
        <v>59</v>
      </c>
      <c r="AC18" s="12">
        <v>111</v>
      </c>
      <c r="AD18" s="12">
        <v>11</v>
      </c>
      <c r="AE18" s="12">
        <v>16</v>
      </c>
      <c r="AF18" s="12">
        <v>2</v>
      </c>
    </row>
    <row r="19" spans="1:32" x14ac:dyDescent="0.25">
      <c r="A19" s="19"/>
      <c r="B19" s="13" t="s">
        <v>556</v>
      </c>
      <c r="C19" s="14">
        <v>0.05</v>
      </c>
      <c r="D19" s="15" t="s">
        <v>213</v>
      </c>
      <c r="E19" s="14">
        <v>7.0000000000000007E-2</v>
      </c>
      <c r="F19" s="14">
        <v>0.01</v>
      </c>
      <c r="G19" s="14">
        <v>0.02</v>
      </c>
      <c r="H19" s="14">
        <v>0.01</v>
      </c>
      <c r="I19" s="14">
        <v>0.01</v>
      </c>
      <c r="J19" s="14">
        <v>0.03</v>
      </c>
      <c r="K19" s="14">
        <v>0.06</v>
      </c>
      <c r="L19" s="15" t="s">
        <v>213</v>
      </c>
      <c r="M19" s="14">
        <v>0.12</v>
      </c>
      <c r="N19" s="14">
        <v>7.0000000000000007E-2</v>
      </c>
      <c r="O19" s="14">
        <v>0.06</v>
      </c>
      <c r="P19" s="14">
        <v>0.03</v>
      </c>
      <c r="Q19" s="14">
        <v>0.11</v>
      </c>
      <c r="R19" s="14">
        <v>0.25</v>
      </c>
      <c r="S19" s="14">
        <v>0.02</v>
      </c>
      <c r="T19" s="14">
        <v>0.08</v>
      </c>
      <c r="U19" s="14">
        <v>0.03</v>
      </c>
      <c r="V19" s="14">
        <v>0.05</v>
      </c>
      <c r="W19" s="14">
        <v>0.01</v>
      </c>
      <c r="X19" s="15" t="s">
        <v>213</v>
      </c>
      <c r="Y19" s="14">
        <v>0.05</v>
      </c>
      <c r="Z19" s="14">
        <v>0.02</v>
      </c>
      <c r="AA19" s="14">
        <v>0.08</v>
      </c>
      <c r="AB19" s="14">
        <v>0.06</v>
      </c>
      <c r="AC19" s="14">
        <v>0.11</v>
      </c>
      <c r="AD19" s="14">
        <v>0.01</v>
      </c>
      <c r="AE19" s="14">
        <v>0.01</v>
      </c>
      <c r="AF19" s="15" t="s">
        <v>213</v>
      </c>
    </row>
    <row r="20" spans="1:32" x14ac:dyDescent="0.25">
      <c r="A20" s="19"/>
      <c r="B20" s="11" t="s">
        <v>224</v>
      </c>
      <c r="C20" s="12">
        <v>1499</v>
      </c>
      <c r="D20" s="12">
        <v>14</v>
      </c>
      <c r="E20" s="12">
        <v>107</v>
      </c>
      <c r="F20" s="12">
        <v>6</v>
      </c>
      <c r="G20" s="12">
        <v>15</v>
      </c>
      <c r="H20" s="12">
        <v>28</v>
      </c>
      <c r="I20" s="12">
        <v>30</v>
      </c>
      <c r="J20" s="12">
        <v>2</v>
      </c>
      <c r="K20" s="12">
        <v>127</v>
      </c>
      <c r="L20" s="12">
        <v>71</v>
      </c>
      <c r="M20" s="12">
        <v>132</v>
      </c>
      <c r="N20" s="12">
        <v>69</v>
      </c>
      <c r="O20" s="12">
        <v>134</v>
      </c>
      <c r="P20" s="12">
        <v>21</v>
      </c>
      <c r="Q20" s="12">
        <v>43</v>
      </c>
      <c r="R20" s="12">
        <v>78</v>
      </c>
      <c r="S20" s="12">
        <v>230</v>
      </c>
      <c r="T20" s="12">
        <v>241</v>
      </c>
      <c r="U20" s="12">
        <v>33</v>
      </c>
      <c r="V20" s="12">
        <v>9</v>
      </c>
      <c r="W20" s="12">
        <v>108</v>
      </c>
      <c r="X20" s="12">
        <v>6</v>
      </c>
      <c r="Y20" s="12">
        <v>31</v>
      </c>
      <c r="Z20" s="12">
        <v>19</v>
      </c>
      <c r="AA20" s="12">
        <v>93</v>
      </c>
      <c r="AB20" s="12">
        <v>87</v>
      </c>
      <c r="AC20" s="12">
        <v>108</v>
      </c>
      <c r="AD20" s="12">
        <v>47</v>
      </c>
      <c r="AE20" s="12">
        <v>40</v>
      </c>
      <c r="AF20" s="12">
        <v>22</v>
      </c>
    </row>
    <row r="21" spans="1:32" x14ac:dyDescent="0.25">
      <c r="A21" s="19"/>
      <c r="B21" s="13" t="s">
        <v>237</v>
      </c>
      <c r="C21" s="14">
        <v>0.06</v>
      </c>
      <c r="D21" s="14">
        <v>0.01</v>
      </c>
      <c r="E21" s="14">
        <v>0.1</v>
      </c>
      <c r="F21" s="15" t="s">
        <v>213</v>
      </c>
      <c r="G21" s="14">
        <v>0.01</v>
      </c>
      <c r="H21" s="14">
        <v>0.02</v>
      </c>
      <c r="I21" s="14">
        <v>0.02</v>
      </c>
      <c r="J21" s="14">
        <v>0.01</v>
      </c>
      <c r="K21" s="14">
        <v>0.13</v>
      </c>
      <c r="L21" s="14">
        <v>7.0000000000000007E-2</v>
      </c>
      <c r="M21" s="14">
        <v>0.13</v>
      </c>
      <c r="N21" s="14">
        <v>7.0000000000000007E-2</v>
      </c>
      <c r="O21" s="14">
        <v>0.13</v>
      </c>
      <c r="P21" s="14">
        <v>0.02</v>
      </c>
      <c r="Q21" s="14">
        <v>0.04</v>
      </c>
      <c r="R21" s="14">
        <v>0.16</v>
      </c>
      <c r="S21" s="14">
        <v>0.23</v>
      </c>
      <c r="T21" s="14">
        <v>0.24</v>
      </c>
      <c r="U21" s="14">
        <v>7.0000000000000007E-2</v>
      </c>
      <c r="V21" s="14">
        <v>0.01</v>
      </c>
      <c r="W21" s="14">
        <v>0.21</v>
      </c>
      <c r="X21" s="14">
        <v>0.01</v>
      </c>
      <c r="Y21" s="14">
        <v>0.03</v>
      </c>
      <c r="Z21" s="14">
        <v>0.02</v>
      </c>
      <c r="AA21" s="14">
        <v>0.09</v>
      </c>
      <c r="AB21" s="14">
        <v>0.08</v>
      </c>
      <c r="AC21" s="14">
        <v>0.11</v>
      </c>
      <c r="AD21" s="14">
        <v>0.05</v>
      </c>
      <c r="AE21" s="14">
        <v>0.04</v>
      </c>
      <c r="AF21" s="14">
        <v>0.02</v>
      </c>
    </row>
    <row r="22" spans="1:32" x14ac:dyDescent="0.25">
      <c r="A22" s="19"/>
      <c r="B22" s="11" t="s">
        <v>568</v>
      </c>
      <c r="C22" s="12">
        <v>5.4</v>
      </c>
      <c r="D22" s="12">
        <v>5.52</v>
      </c>
      <c r="E22" s="12">
        <v>6.01</v>
      </c>
      <c r="F22" s="12">
        <v>5.63</v>
      </c>
      <c r="G22" s="12">
        <v>5.19</v>
      </c>
      <c r="H22" s="12">
        <v>5.1100000000000003</v>
      </c>
      <c r="I22" s="12">
        <v>5.1100000000000003</v>
      </c>
      <c r="J22" s="12">
        <v>5.0999999999999996</v>
      </c>
      <c r="K22" s="12">
        <v>5.53</v>
      </c>
      <c r="L22" s="12">
        <v>5.12</v>
      </c>
      <c r="M22" s="12">
        <v>5.28</v>
      </c>
      <c r="N22" s="12">
        <v>4.9800000000000004</v>
      </c>
      <c r="O22" s="12">
        <v>5.42</v>
      </c>
      <c r="P22" s="12">
        <v>6</v>
      </c>
      <c r="Q22" s="12">
        <v>5.59</v>
      </c>
      <c r="R22" s="12">
        <v>5.6</v>
      </c>
      <c r="S22" s="12">
        <v>5.93</v>
      </c>
      <c r="T22" s="12">
        <v>5.45</v>
      </c>
      <c r="U22" s="12">
        <v>5.27</v>
      </c>
      <c r="V22" s="12">
        <v>5.83</v>
      </c>
      <c r="W22" s="12">
        <v>5.76</v>
      </c>
      <c r="X22" s="12">
        <v>5.0599999999999996</v>
      </c>
      <c r="Y22" s="12">
        <v>5.51</v>
      </c>
      <c r="Z22" s="12">
        <v>6</v>
      </c>
      <c r="AA22" s="12">
        <v>5.63</v>
      </c>
      <c r="AB22" s="12">
        <v>5.79</v>
      </c>
      <c r="AC22" s="12">
        <v>5.42</v>
      </c>
      <c r="AD22" s="12">
        <v>5.64</v>
      </c>
      <c r="AE22" s="12">
        <v>5.6</v>
      </c>
      <c r="AF22" s="12">
        <v>4.84</v>
      </c>
    </row>
    <row r="23" spans="1:32" x14ac:dyDescent="0.25">
      <c r="A23" s="19"/>
      <c r="B23" s="13" t="s">
        <v>569</v>
      </c>
      <c r="C23" s="15" t="s">
        <v>213</v>
      </c>
      <c r="D23" s="15" t="s">
        <v>213</v>
      </c>
      <c r="E23" s="15" t="s">
        <v>213</v>
      </c>
      <c r="F23" s="15" t="s">
        <v>213</v>
      </c>
      <c r="G23" s="15" t="s">
        <v>213</v>
      </c>
      <c r="H23" s="15" t="s">
        <v>213</v>
      </c>
      <c r="I23" s="15" t="s">
        <v>213</v>
      </c>
      <c r="J23" s="15" t="s">
        <v>213</v>
      </c>
      <c r="K23" s="15" t="s">
        <v>213</v>
      </c>
      <c r="L23" s="15" t="s">
        <v>213</v>
      </c>
      <c r="M23" s="15" t="s">
        <v>213</v>
      </c>
      <c r="N23" s="15" t="s">
        <v>213</v>
      </c>
      <c r="O23" s="15" t="s">
        <v>213</v>
      </c>
      <c r="P23" s="15" t="s">
        <v>213</v>
      </c>
      <c r="Q23" s="15" t="s">
        <v>213</v>
      </c>
      <c r="R23" s="15" t="s">
        <v>213</v>
      </c>
      <c r="S23" s="15" t="s">
        <v>213</v>
      </c>
      <c r="T23" s="15" t="s">
        <v>213</v>
      </c>
      <c r="U23" s="15" t="s">
        <v>213</v>
      </c>
      <c r="V23" s="15" t="s">
        <v>213</v>
      </c>
      <c r="W23" s="15" t="s">
        <v>213</v>
      </c>
      <c r="X23" s="15" t="s">
        <v>213</v>
      </c>
      <c r="Y23" s="15" t="s">
        <v>213</v>
      </c>
      <c r="Z23" s="15" t="s">
        <v>213</v>
      </c>
      <c r="AA23" s="15" t="s">
        <v>213</v>
      </c>
      <c r="AB23" s="15" t="s">
        <v>213</v>
      </c>
      <c r="AC23" s="15" t="s">
        <v>213</v>
      </c>
      <c r="AD23" s="15" t="s">
        <v>213</v>
      </c>
      <c r="AE23" s="15" t="s">
        <v>213</v>
      </c>
      <c r="AF23" s="15" t="s">
        <v>213</v>
      </c>
    </row>
  </sheetData>
  <mergeCells count="9">
    <mergeCell ref="B10:B11"/>
    <mergeCell ref="H4:L4"/>
    <mergeCell ref="A10:A23"/>
    <mergeCell ref="B4:F4"/>
    <mergeCell ref="H3:L3"/>
    <mergeCell ref="C8:AF8"/>
    <mergeCell ref="B3:F3"/>
    <mergeCell ref="B5:F5"/>
    <mergeCell ref="H5:L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F27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customWidth="1"/>
    <col min="2" max="2" width="19.28515625" customWidth="1"/>
    <col min="3" max="32" width="12.42578125" customWidth="1"/>
  </cols>
  <sheetData>
    <row r="1" spans="1:32" x14ac:dyDescent="0.25">
      <c r="I1" s="7" t="s">
        <v>177</v>
      </c>
    </row>
    <row r="2" spans="1:32" x14ac:dyDescent="0.25">
      <c r="C2" s="7" t="s">
        <v>178</v>
      </c>
      <c r="H2" s="7" t="s">
        <v>179</v>
      </c>
    </row>
    <row r="3" spans="1:32" ht="12" customHeight="1" x14ac:dyDescent="0.25">
      <c r="B3" s="18" t="s">
        <v>175</v>
      </c>
      <c r="C3" s="18"/>
      <c r="D3" s="18"/>
      <c r="E3" s="18"/>
      <c r="F3" s="18"/>
      <c r="H3" s="18" t="s">
        <v>176</v>
      </c>
      <c r="I3" s="18"/>
      <c r="J3" s="18"/>
      <c r="K3" s="18"/>
      <c r="L3" s="18"/>
    </row>
    <row r="4" spans="1:32" ht="27" customHeight="1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1:32" ht="12" customHeight="1" x14ac:dyDescent="0.25">
      <c r="B5" s="18" t="s">
        <v>180</v>
      </c>
      <c r="C5" s="18"/>
      <c r="D5" s="18"/>
      <c r="E5" s="18"/>
      <c r="F5" s="18"/>
      <c r="H5" s="18" t="s">
        <v>181</v>
      </c>
      <c r="I5" s="18"/>
      <c r="J5" s="18"/>
      <c r="K5" s="18"/>
      <c r="L5" s="18"/>
    </row>
    <row r="6" spans="1:32" ht="0.95" customHeight="1" x14ac:dyDescent="0.25"/>
    <row r="7" spans="1:32" ht="0.95" customHeight="1" x14ac:dyDescent="0.25"/>
    <row r="8" spans="1:32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8" x14ac:dyDescent="0.25">
      <c r="A9" s="5" t="str">
        <f>HYPERLINK("#Content!A89","&lt;&lt;Back to content")</f>
        <v>&lt;&lt;Back to content</v>
      </c>
      <c r="C9" s="8" t="s">
        <v>182</v>
      </c>
      <c r="D9" s="8" t="s">
        <v>183</v>
      </c>
      <c r="E9" s="8" t="s">
        <v>184</v>
      </c>
      <c r="F9" s="8" t="s">
        <v>185</v>
      </c>
      <c r="G9" s="8" t="s">
        <v>186</v>
      </c>
      <c r="H9" s="8" t="s">
        <v>187</v>
      </c>
      <c r="I9" s="8" t="s">
        <v>188</v>
      </c>
      <c r="J9" s="8" t="s">
        <v>189</v>
      </c>
      <c r="K9" s="8" t="s">
        <v>190</v>
      </c>
      <c r="L9" s="8" t="s">
        <v>191</v>
      </c>
      <c r="M9" s="8" t="s">
        <v>192</v>
      </c>
      <c r="N9" s="8" t="s">
        <v>193</v>
      </c>
      <c r="O9" s="8" t="s">
        <v>194</v>
      </c>
      <c r="P9" s="8" t="s">
        <v>195</v>
      </c>
      <c r="Q9" s="8" t="s">
        <v>196</v>
      </c>
      <c r="R9" s="8" t="s">
        <v>197</v>
      </c>
      <c r="S9" s="8" t="s">
        <v>198</v>
      </c>
      <c r="T9" s="8" t="s">
        <v>199</v>
      </c>
      <c r="U9" s="8" t="s">
        <v>200</v>
      </c>
      <c r="V9" s="8" t="s">
        <v>201</v>
      </c>
      <c r="W9" s="8" t="s">
        <v>202</v>
      </c>
      <c r="X9" s="8" t="s">
        <v>203</v>
      </c>
      <c r="Y9" s="8" t="s">
        <v>204</v>
      </c>
      <c r="Z9" s="8" t="s">
        <v>205</v>
      </c>
      <c r="AA9" s="8" t="s">
        <v>206</v>
      </c>
      <c r="AB9" s="8" t="s">
        <v>207</v>
      </c>
      <c r="AC9" s="8" t="s">
        <v>208</v>
      </c>
      <c r="AD9" s="8" t="s">
        <v>209</v>
      </c>
      <c r="AE9" s="8" t="s">
        <v>210</v>
      </c>
      <c r="AF9" s="8" t="s">
        <v>211</v>
      </c>
    </row>
    <row r="10" spans="1:32" x14ac:dyDescent="0.25">
      <c r="A10" s="19"/>
      <c r="B10" s="16" t="s">
        <v>212</v>
      </c>
      <c r="C10" s="10">
        <v>26453</v>
      </c>
      <c r="D10" s="10">
        <v>1021</v>
      </c>
      <c r="E10" s="10">
        <v>1046</v>
      </c>
      <c r="F10" s="10">
        <v>1064</v>
      </c>
      <c r="G10" s="10">
        <v>1016</v>
      </c>
      <c r="H10" s="10">
        <v>1230</v>
      </c>
      <c r="I10" s="10">
        <v>1527</v>
      </c>
      <c r="J10" s="10">
        <v>297</v>
      </c>
      <c r="K10" s="10">
        <v>1006</v>
      </c>
      <c r="L10" s="10">
        <v>1006</v>
      </c>
      <c r="M10" s="10">
        <v>1007</v>
      </c>
      <c r="N10" s="10">
        <v>1011</v>
      </c>
      <c r="O10" s="10">
        <v>1004</v>
      </c>
      <c r="P10" s="10">
        <v>1003</v>
      </c>
      <c r="Q10" s="10">
        <v>1031</v>
      </c>
      <c r="R10" s="10">
        <v>501</v>
      </c>
      <c r="S10" s="10">
        <v>1004</v>
      </c>
      <c r="T10" s="10">
        <v>1023</v>
      </c>
      <c r="U10" s="10">
        <v>508</v>
      </c>
      <c r="V10" s="10">
        <v>1026</v>
      </c>
      <c r="W10" s="10">
        <v>502</v>
      </c>
      <c r="X10" s="10">
        <v>1010</v>
      </c>
      <c r="Y10" s="10">
        <v>1003</v>
      </c>
      <c r="Z10" s="10">
        <v>1016</v>
      </c>
      <c r="AA10" s="10">
        <v>1037</v>
      </c>
      <c r="AB10" s="10">
        <v>1041</v>
      </c>
      <c r="AC10" s="10">
        <v>1005</v>
      </c>
      <c r="AD10" s="10">
        <v>1003</v>
      </c>
      <c r="AE10" s="10">
        <v>1001</v>
      </c>
      <c r="AF10" s="10">
        <v>1031</v>
      </c>
    </row>
    <row r="11" spans="1:32" x14ac:dyDescent="0.25">
      <c r="A11" s="20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19"/>
      <c r="B12" s="11" t="s">
        <v>830</v>
      </c>
      <c r="C12" s="12">
        <v>1856</v>
      </c>
      <c r="D12" s="12">
        <v>67</v>
      </c>
      <c r="E12" s="12">
        <v>73</v>
      </c>
      <c r="F12" s="12">
        <v>54</v>
      </c>
      <c r="G12" s="12">
        <v>107</v>
      </c>
      <c r="H12" s="12">
        <v>89</v>
      </c>
      <c r="I12" s="12">
        <v>119</v>
      </c>
      <c r="J12" s="12">
        <v>30</v>
      </c>
      <c r="K12" s="12">
        <v>75</v>
      </c>
      <c r="L12" s="12">
        <v>32</v>
      </c>
      <c r="M12" s="12">
        <v>35</v>
      </c>
      <c r="N12" s="12">
        <v>72</v>
      </c>
      <c r="O12" s="12">
        <v>68</v>
      </c>
      <c r="P12" s="12">
        <v>60</v>
      </c>
      <c r="Q12" s="12">
        <v>59</v>
      </c>
      <c r="R12" s="12">
        <v>36</v>
      </c>
      <c r="S12" s="12">
        <v>24</v>
      </c>
      <c r="T12" s="12">
        <v>54</v>
      </c>
      <c r="U12" s="12">
        <v>20</v>
      </c>
      <c r="V12" s="12">
        <v>47</v>
      </c>
      <c r="W12" s="12">
        <v>38</v>
      </c>
      <c r="X12" s="12">
        <v>117</v>
      </c>
      <c r="Y12" s="12">
        <v>45</v>
      </c>
      <c r="Z12" s="12">
        <v>54</v>
      </c>
      <c r="AA12" s="12">
        <v>71</v>
      </c>
      <c r="AB12" s="12">
        <v>115</v>
      </c>
      <c r="AC12" s="12">
        <v>57</v>
      </c>
      <c r="AD12" s="12">
        <v>52</v>
      </c>
      <c r="AE12" s="12">
        <v>59</v>
      </c>
      <c r="AF12" s="12">
        <v>146</v>
      </c>
    </row>
    <row r="13" spans="1:32" x14ac:dyDescent="0.25">
      <c r="A13" s="19"/>
      <c r="B13" s="13" t="s">
        <v>831</v>
      </c>
      <c r="C13" s="14">
        <v>7.0000000000000007E-2</v>
      </c>
      <c r="D13" s="14">
        <v>7.0000000000000007E-2</v>
      </c>
      <c r="E13" s="14">
        <v>7.0000000000000007E-2</v>
      </c>
      <c r="F13" s="14">
        <v>0.05</v>
      </c>
      <c r="G13" s="14">
        <v>0.1</v>
      </c>
      <c r="H13" s="14">
        <v>7.0000000000000007E-2</v>
      </c>
      <c r="I13" s="14">
        <v>0.08</v>
      </c>
      <c r="J13" s="14">
        <v>0.1</v>
      </c>
      <c r="K13" s="14">
        <v>7.0000000000000007E-2</v>
      </c>
      <c r="L13" s="14">
        <v>0.03</v>
      </c>
      <c r="M13" s="14">
        <v>0.03</v>
      </c>
      <c r="N13" s="14">
        <v>7.0000000000000007E-2</v>
      </c>
      <c r="O13" s="14">
        <v>7.0000000000000007E-2</v>
      </c>
      <c r="P13" s="14">
        <v>0.06</v>
      </c>
      <c r="Q13" s="14">
        <v>0.06</v>
      </c>
      <c r="R13" s="14">
        <v>7.0000000000000007E-2</v>
      </c>
      <c r="S13" s="14">
        <v>0.03</v>
      </c>
      <c r="T13" s="14">
        <v>0.05</v>
      </c>
      <c r="U13" s="14">
        <v>0.04</v>
      </c>
      <c r="V13" s="14">
        <v>0.05</v>
      </c>
      <c r="W13" s="14">
        <v>0.08</v>
      </c>
      <c r="X13" s="14">
        <v>0.12</v>
      </c>
      <c r="Y13" s="14">
        <v>0.04</v>
      </c>
      <c r="Z13" s="14">
        <v>0.05</v>
      </c>
      <c r="AA13" s="14">
        <v>7.0000000000000007E-2</v>
      </c>
      <c r="AB13" s="14">
        <v>0.11</v>
      </c>
      <c r="AC13" s="14">
        <v>0.06</v>
      </c>
      <c r="AD13" s="14">
        <v>0.05</v>
      </c>
      <c r="AE13" s="14">
        <v>0.06</v>
      </c>
      <c r="AF13" s="14">
        <v>0.14000000000000001</v>
      </c>
    </row>
    <row r="14" spans="1:32" x14ac:dyDescent="0.25">
      <c r="A14" s="19"/>
      <c r="B14" s="11" t="s">
        <v>832</v>
      </c>
      <c r="C14" s="12">
        <v>5180</v>
      </c>
      <c r="D14" s="12">
        <v>195</v>
      </c>
      <c r="E14" s="12">
        <v>127</v>
      </c>
      <c r="F14" s="12">
        <v>166</v>
      </c>
      <c r="G14" s="12">
        <v>243</v>
      </c>
      <c r="H14" s="12">
        <v>278</v>
      </c>
      <c r="I14" s="12">
        <v>333</v>
      </c>
      <c r="J14" s="12">
        <v>55</v>
      </c>
      <c r="K14" s="12">
        <v>161</v>
      </c>
      <c r="L14" s="12">
        <v>174</v>
      </c>
      <c r="M14" s="12">
        <v>202</v>
      </c>
      <c r="N14" s="12">
        <v>253</v>
      </c>
      <c r="O14" s="12">
        <v>190</v>
      </c>
      <c r="P14" s="12">
        <v>176</v>
      </c>
      <c r="Q14" s="12">
        <v>175</v>
      </c>
      <c r="R14" s="12">
        <v>32</v>
      </c>
      <c r="S14" s="12">
        <v>77</v>
      </c>
      <c r="T14" s="12">
        <v>114</v>
      </c>
      <c r="U14" s="12">
        <v>72</v>
      </c>
      <c r="V14" s="12">
        <v>172</v>
      </c>
      <c r="W14" s="12">
        <v>49</v>
      </c>
      <c r="X14" s="12">
        <v>292</v>
      </c>
      <c r="Y14" s="12">
        <v>232</v>
      </c>
      <c r="Z14" s="12">
        <v>140</v>
      </c>
      <c r="AA14" s="12">
        <v>165</v>
      </c>
      <c r="AB14" s="12">
        <v>106</v>
      </c>
      <c r="AC14" s="12">
        <v>141</v>
      </c>
      <c r="AD14" s="12">
        <v>196</v>
      </c>
      <c r="AE14" s="12">
        <v>218</v>
      </c>
      <c r="AF14" s="12">
        <v>358</v>
      </c>
    </row>
    <row r="15" spans="1:32" x14ac:dyDescent="0.25">
      <c r="A15" s="19"/>
      <c r="B15" s="13" t="s">
        <v>832</v>
      </c>
      <c r="C15" s="14">
        <v>0.19</v>
      </c>
      <c r="D15" s="14">
        <v>0.19</v>
      </c>
      <c r="E15" s="14">
        <v>0.12</v>
      </c>
      <c r="F15" s="14">
        <v>0.16</v>
      </c>
      <c r="G15" s="14">
        <v>0.24</v>
      </c>
      <c r="H15" s="14">
        <v>0.23</v>
      </c>
      <c r="I15" s="14">
        <v>0.22</v>
      </c>
      <c r="J15" s="14">
        <v>0.18</v>
      </c>
      <c r="K15" s="14">
        <v>0.16</v>
      </c>
      <c r="L15" s="14">
        <v>0.17</v>
      </c>
      <c r="M15" s="14">
        <v>0.2</v>
      </c>
      <c r="N15" s="14">
        <v>0.25</v>
      </c>
      <c r="O15" s="14">
        <v>0.19</v>
      </c>
      <c r="P15" s="14">
        <v>0.17</v>
      </c>
      <c r="Q15" s="14">
        <v>0.17</v>
      </c>
      <c r="R15" s="14">
        <v>0.06</v>
      </c>
      <c r="S15" s="14">
        <v>0.08</v>
      </c>
      <c r="T15" s="14">
        <v>0.11</v>
      </c>
      <c r="U15" s="14">
        <v>0.14000000000000001</v>
      </c>
      <c r="V15" s="14">
        <v>0.17</v>
      </c>
      <c r="W15" s="14">
        <v>0.1</v>
      </c>
      <c r="X15" s="14">
        <v>0.28999999999999998</v>
      </c>
      <c r="Y15" s="14">
        <v>0.23</v>
      </c>
      <c r="Z15" s="14">
        <v>0.14000000000000001</v>
      </c>
      <c r="AA15" s="14">
        <v>0.16</v>
      </c>
      <c r="AB15" s="14">
        <v>0.1</v>
      </c>
      <c r="AC15" s="14">
        <v>0.14000000000000001</v>
      </c>
      <c r="AD15" s="14">
        <v>0.2</v>
      </c>
      <c r="AE15" s="14">
        <v>0.22</v>
      </c>
      <c r="AF15" s="14">
        <v>0.35</v>
      </c>
    </row>
    <row r="16" spans="1:32" x14ac:dyDescent="0.25">
      <c r="A16" s="19"/>
      <c r="B16" s="11" t="s">
        <v>833</v>
      </c>
      <c r="C16" s="12">
        <v>9734</v>
      </c>
      <c r="D16" s="12">
        <v>417</v>
      </c>
      <c r="E16" s="12">
        <v>276</v>
      </c>
      <c r="F16" s="12">
        <v>530</v>
      </c>
      <c r="G16" s="12">
        <v>343</v>
      </c>
      <c r="H16" s="12">
        <v>578</v>
      </c>
      <c r="I16" s="12">
        <v>719</v>
      </c>
      <c r="J16" s="12">
        <v>142</v>
      </c>
      <c r="K16" s="12">
        <v>310</v>
      </c>
      <c r="L16" s="12">
        <v>605</v>
      </c>
      <c r="M16" s="12">
        <v>310</v>
      </c>
      <c r="N16" s="12">
        <v>363</v>
      </c>
      <c r="O16" s="12">
        <v>323</v>
      </c>
      <c r="P16" s="12">
        <v>350</v>
      </c>
      <c r="Q16" s="12">
        <v>337</v>
      </c>
      <c r="R16" s="12">
        <v>129</v>
      </c>
      <c r="S16" s="12">
        <v>385</v>
      </c>
      <c r="T16" s="12">
        <v>363</v>
      </c>
      <c r="U16" s="12">
        <v>286</v>
      </c>
      <c r="V16" s="12">
        <v>417</v>
      </c>
      <c r="W16" s="12">
        <v>173</v>
      </c>
      <c r="X16" s="12">
        <v>302</v>
      </c>
      <c r="Y16" s="12">
        <v>362</v>
      </c>
      <c r="Z16" s="12">
        <v>398</v>
      </c>
      <c r="AA16" s="12">
        <v>308</v>
      </c>
      <c r="AB16" s="12">
        <v>293</v>
      </c>
      <c r="AC16" s="12">
        <v>390</v>
      </c>
      <c r="AD16" s="12">
        <v>363</v>
      </c>
      <c r="AE16" s="12">
        <v>339</v>
      </c>
      <c r="AF16" s="12">
        <v>229</v>
      </c>
    </row>
    <row r="17" spans="1:32" x14ac:dyDescent="0.25">
      <c r="A17" s="19"/>
      <c r="B17" s="13" t="s">
        <v>833</v>
      </c>
      <c r="C17" s="14">
        <v>0.37</v>
      </c>
      <c r="D17" s="14">
        <v>0.41</v>
      </c>
      <c r="E17" s="14">
        <v>0.27</v>
      </c>
      <c r="F17" s="14">
        <v>0.5</v>
      </c>
      <c r="G17" s="14">
        <v>0.34</v>
      </c>
      <c r="H17" s="14">
        <v>0.47</v>
      </c>
      <c r="I17" s="14">
        <v>0.47</v>
      </c>
      <c r="J17" s="14">
        <v>0.48</v>
      </c>
      <c r="K17" s="14">
        <v>0.31</v>
      </c>
      <c r="L17" s="14">
        <v>0.6</v>
      </c>
      <c r="M17" s="14">
        <v>0.31</v>
      </c>
      <c r="N17" s="14">
        <v>0.36</v>
      </c>
      <c r="O17" s="14">
        <v>0.32</v>
      </c>
      <c r="P17" s="14">
        <v>0.35</v>
      </c>
      <c r="Q17" s="14">
        <v>0.33</v>
      </c>
      <c r="R17" s="14">
        <v>0.26</v>
      </c>
      <c r="S17" s="14">
        <v>0.38</v>
      </c>
      <c r="T17" s="14">
        <v>0.35</v>
      </c>
      <c r="U17" s="14">
        <v>0.56000000000000005</v>
      </c>
      <c r="V17" s="14">
        <v>0.41</v>
      </c>
      <c r="W17" s="14">
        <v>0.35</v>
      </c>
      <c r="X17" s="14">
        <v>0.3</v>
      </c>
      <c r="Y17" s="14">
        <v>0.36</v>
      </c>
      <c r="Z17" s="14">
        <v>0.39</v>
      </c>
      <c r="AA17" s="14">
        <v>0.28999999999999998</v>
      </c>
      <c r="AB17" s="14">
        <v>0.28000000000000003</v>
      </c>
      <c r="AC17" s="14">
        <v>0.39</v>
      </c>
      <c r="AD17" s="14">
        <v>0.36</v>
      </c>
      <c r="AE17" s="14">
        <v>0.34</v>
      </c>
      <c r="AF17" s="14">
        <v>0.22</v>
      </c>
    </row>
    <row r="18" spans="1:32" x14ac:dyDescent="0.25">
      <c r="A18" s="19"/>
      <c r="B18" s="11" t="s">
        <v>834</v>
      </c>
      <c r="C18" s="12">
        <v>5327</v>
      </c>
      <c r="D18" s="12">
        <v>267</v>
      </c>
      <c r="E18" s="12">
        <v>282</v>
      </c>
      <c r="F18" s="12">
        <v>234</v>
      </c>
      <c r="G18" s="12">
        <v>240</v>
      </c>
      <c r="H18" s="12">
        <v>220</v>
      </c>
      <c r="I18" s="12">
        <v>268</v>
      </c>
      <c r="J18" s="12">
        <v>47</v>
      </c>
      <c r="K18" s="12">
        <v>183</v>
      </c>
      <c r="L18" s="12">
        <v>104</v>
      </c>
      <c r="M18" s="12">
        <v>178</v>
      </c>
      <c r="N18" s="12">
        <v>141</v>
      </c>
      <c r="O18" s="12">
        <v>140</v>
      </c>
      <c r="P18" s="12">
        <v>206</v>
      </c>
      <c r="Q18" s="12">
        <v>260</v>
      </c>
      <c r="R18" s="12">
        <v>62</v>
      </c>
      <c r="S18" s="12">
        <v>223</v>
      </c>
      <c r="T18" s="12">
        <v>98</v>
      </c>
      <c r="U18" s="12">
        <v>67</v>
      </c>
      <c r="V18" s="12">
        <v>231</v>
      </c>
      <c r="W18" s="12">
        <v>72</v>
      </c>
      <c r="X18" s="12">
        <v>258</v>
      </c>
      <c r="Y18" s="12">
        <v>231</v>
      </c>
      <c r="Z18" s="12">
        <v>263</v>
      </c>
      <c r="AA18" s="12">
        <v>238</v>
      </c>
      <c r="AB18" s="12">
        <v>286</v>
      </c>
      <c r="AC18" s="12">
        <v>122</v>
      </c>
      <c r="AD18" s="12">
        <v>266</v>
      </c>
      <c r="AE18" s="12">
        <v>264</v>
      </c>
      <c r="AF18" s="12">
        <v>232</v>
      </c>
    </row>
    <row r="19" spans="1:32" x14ac:dyDescent="0.25">
      <c r="A19" s="19"/>
      <c r="B19" s="13" t="s">
        <v>834</v>
      </c>
      <c r="C19" s="14">
        <v>0.2</v>
      </c>
      <c r="D19" s="14">
        <v>0.26</v>
      </c>
      <c r="E19" s="14">
        <v>0.27</v>
      </c>
      <c r="F19" s="14">
        <v>0.22</v>
      </c>
      <c r="G19" s="14">
        <v>0.24</v>
      </c>
      <c r="H19" s="14">
        <v>0.18</v>
      </c>
      <c r="I19" s="14">
        <v>0.17</v>
      </c>
      <c r="J19" s="14">
        <v>0.16</v>
      </c>
      <c r="K19" s="14">
        <v>0.18</v>
      </c>
      <c r="L19" s="14">
        <v>0.1</v>
      </c>
      <c r="M19" s="14">
        <v>0.18</v>
      </c>
      <c r="N19" s="14">
        <v>0.14000000000000001</v>
      </c>
      <c r="O19" s="14">
        <v>0.14000000000000001</v>
      </c>
      <c r="P19" s="14">
        <v>0.21</v>
      </c>
      <c r="Q19" s="14">
        <v>0.25</v>
      </c>
      <c r="R19" s="14">
        <v>0.12</v>
      </c>
      <c r="S19" s="14">
        <v>0.22</v>
      </c>
      <c r="T19" s="14">
        <v>0.1</v>
      </c>
      <c r="U19" s="14">
        <v>0.13</v>
      </c>
      <c r="V19" s="14">
        <v>0.22</v>
      </c>
      <c r="W19" s="14">
        <v>0.14000000000000001</v>
      </c>
      <c r="X19" s="14">
        <v>0.25</v>
      </c>
      <c r="Y19" s="14">
        <v>0.23</v>
      </c>
      <c r="Z19" s="14">
        <v>0.26</v>
      </c>
      <c r="AA19" s="14">
        <v>0.23</v>
      </c>
      <c r="AB19" s="14">
        <v>0.28000000000000003</v>
      </c>
      <c r="AC19" s="14">
        <v>0.12</v>
      </c>
      <c r="AD19" s="14">
        <v>0.26</v>
      </c>
      <c r="AE19" s="14">
        <v>0.26</v>
      </c>
      <c r="AF19" s="14">
        <v>0.23</v>
      </c>
    </row>
    <row r="20" spans="1:32" x14ac:dyDescent="0.25">
      <c r="A20" s="19"/>
      <c r="B20" s="11" t="s">
        <v>835</v>
      </c>
      <c r="C20" s="12">
        <v>1588</v>
      </c>
      <c r="D20" s="12">
        <v>56</v>
      </c>
      <c r="E20" s="12">
        <v>104</v>
      </c>
      <c r="F20" s="12">
        <v>64</v>
      </c>
      <c r="G20" s="12">
        <v>53</v>
      </c>
      <c r="H20" s="12">
        <v>28</v>
      </c>
      <c r="I20" s="12">
        <v>40</v>
      </c>
      <c r="J20" s="12">
        <v>13</v>
      </c>
      <c r="K20" s="12">
        <v>86</v>
      </c>
      <c r="L20" s="12">
        <v>15</v>
      </c>
      <c r="M20" s="12">
        <v>29</v>
      </c>
      <c r="N20" s="12">
        <v>42</v>
      </c>
      <c r="O20" s="12">
        <v>93</v>
      </c>
      <c r="P20" s="12">
        <v>161</v>
      </c>
      <c r="Q20" s="12">
        <v>46</v>
      </c>
      <c r="R20" s="12">
        <v>36</v>
      </c>
      <c r="S20" s="12">
        <v>44</v>
      </c>
      <c r="T20" s="12">
        <v>73</v>
      </c>
      <c r="U20" s="12">
        <v>15</v>
      </c>
      <c r="V20" s="12">
        <v>98</v>
      </c>
      <c r="W20" s="12">
        <v>56</v>
      </c>
      <c r="X20" s="12">
        <v>35</v>
      </c>
      <c r="Y20" s="12">
        <v>46</v>
      </c>
      <c r="Z20" s="12">
        <v>118</v>
      </c>
      <c r="AA20" s="12">
        <v>80</v>
      </c>
      <c r="AB20" s="12">
        <v>94</v>
      </c>
      <c r="AC20" s="12">
        <v>77</v>
      </c>
      <c r="AD20" s="12">
        <v>68</v>
      </c>
      <c r="AE20" s="12">
        <v>65</v>
      </c>
      <c r="AF20" s="12">
        <v>41</v>
      </c>
    </row>
    <row r="21" spans="1:32" x14ac:dyDescent="0.25">
      <c r="A21" s="19"/>
      <c r="B21" s="13" t="s">
        <v>836</v>
      </c>
      <c r="C21" s="14">
        <v>0.06</v>
      </c>
      <c r="D21" s="14">
        <v>0.06</v>
      </c>
      <c r="E21" s="14">
        <v>0.1</v>
      </c>
      <c r="F21" s="14">
        <v>0.06</v>
      </c>
      <c r="G21" s="14">
        <v>0.05</v>
      </c>
      <c r="H21" s="14">
        <v>0.02</v>
      </c>
      <c r="I21" s="14">
        <v>0.03</v>
      </c>
      <c r="J21" s="14">
        <v>0.04</v>
      </c>
      <c r="K21" s="14">
        <v>0.09</v>
      </c>
      <c r="L21" s="14">
        <v>0.02</v>
      </c>
      <c r="M21" s="14">
        <v>0.03</v>
      </c>
      <c r="N21" s="14">
        <v>0.04</v>
      </c>
      <c r="O21" s="14">
        <v>0.09</v>
      </c>
      <c r="P21" s="14">
        <v>0.16</v>
      </c>
      <c r="Q21" s="14">
        <v>0.04</v>
      </c>
      <c r="R21" s="14">
        <v>7.0000000000000007E-2</v>
      </c>
      <c r="S21" s="14">
        <v>0.04</v>
      </c>
      <c r="T21" s="14">
        <v>7.0000000000000007E-2</v>
      </c>
      <c r="U21" s="14">
        <v>0.03</v>
      </c>
      <c r="V21" s="14">
        <v>0.09</v>
      </c>
      <c r="W21" s="14">
        <v>0.11</v>
      </c>
      <c r="X21" s="14">
        <v>0.03</v>
      </c>
      <c r="Y21" s="14">
        <v>0.05</v>
      </c>
      <c r="Z21" s="14">
        <v>0.12</v>
      </c>
      <c r="AA21" s="14">
        <v>0.08</v>
      </c>
      <c r="AB21" s="14">
        <v>0.09</v>
      </c>
      <c r="AC21" s="14">
        <v>7.0000000000000007E-2</v>
      </c>
      <c r="AD21" s="14">
        <v>7.0000000000000007E-2</v>
      </c>
      <c r="AE21" s="14">
        <v>0.06</v>
      </c>
      <c r="AF21" s="14">
        <v>0.04</v>
      </c>
    </row>
    <row r="22" spans="1:32" x14ac:dyDescent="0.25">
      <c r="A22" s="19"/>
      <c r="B22" s="11" t="s">
        <v>837</v>
      </c>
      <c r="C22" s="12">
        <v>1269</v>
      </c>
      <c r="D22" s="12">
        <v>5</v>
      </c>
      <c r="E22" s="12">
        <v>76</v>
      </c>
      <c r="F22" s="12">
        <v>9</v>
      </c>
      <c r="G22" s="12">
        <v>16</v>
      </c>
      <c r="H22" s="12">
        <v>9</v>
      </c>
      <c r="I22" s="12">
        <v>18</v>
      </c>
      <c r="J22" s="12">
        <v>8</v>
      </c>
      <c r="K22" s="12">
        <v>65</v>
      </c>
      <c r="L22" s="12">
        <v>4</v>
      </c>
      <c r="M22" s="12">
        <v>122</v>
      </c>
      <c r="N22" s="12">
        <v>70</v>
      </c>
      <c r="O22" s="12">
        <v>56</v>
      </c>
      <c r="P22" s="12">
        <v>29</v>
      </c>
      <c r="Q22" s="12">
        <v>111</v>
      </c>
      <c r="R22" s="12">
        <v>128</v>
      </c>
      <c r="S22" s="12">
        <v>21</v>
      </c>
      <c r="T22" s="12">
        <v>79</v>
      </c>
      <c r="U22" s="12">
        <v>15</v>
      </c>
      <c r="V22" s="12">
        <v>52</v>
      </c>
      <c r="W22" s="12">
        <v>6</v>
      </c>
      <c r="X22" s="12">
        <v>0</v>
      </c>
      <c r="Y22" s="12">
        <v>56</v>
      </c>
      <c r="Z22" s="12">
        <v>23</v>
      </c>
      <c r="AA22" s="12">
        <v>82</v>
      </c>
      <c r="AB22" s="12">
        <v>59</v>
      </c>
      <c r="AC22" s="12">
        <v>111</v>
      </c>
      <c r="AD22" s="12">
        <v>11</v>
      </c>
      <c r="AE22" s="12">
        <v>16</v>
      </c>
      <c r="AF22" s="12">
        <v>2</v>
      </c>
    </row>
    <row r="23" spans="1:32" x14ac:dyDescent="0.25">
      <c r="A23" s="19"/>
      <c r="B23" s="13" t="s">
        <v>838</v>
      </c>
      <c r="C23" s="14">
        <v>0.05</v>
      </c>
      <c r="D23" s="15" t="s">
        <v>213</v>
      </c>
      <c r="E23" s="14">
        <v>7.0000000000000007E-2</v>
      </c>
      <c r="F23" s="14">
        <v>0.01</v>
      </c>
      <c r="G23" s="14">
        <v>0.02</v>
      </c>
      <c r="H23" s="14">
        <v>0.01</v>
      </c>
      <c r="I23" s="14">
        <v>0.01</v>
      </c>
      <c r="J23" s="14">
        <v>0.03</v>
      </c>
      <c r="K23" s="14">
        <v>0.06</v>
      </c>
      <c r="L23" s="14">
        <v>0.01</v>
      </c>
      <c r="M23" s="14">
        <v>0.12</v>
      </c>
      <c r="N23" s="14">
        <v>7.0000000000000007E-2</v>
      </c>
      <c r="O23" s="14">
        <v>0.06</v>
      </c>
      <c r="P23" s="14">
        <v>0.03</v>
      </c>
      <c r="Q23" s="14">
        <v>0.11</v>
      </c>
      <c r="R23" s="14">
        <v>0.26</v>
      </c>
      <c r="S23" s="14">
        <v>0.02</v>
      </c>
      <c r="T23" s="14">
        <v>0.08</v>
      </c>
      <c r="U23" s="14">
        <v>0.03</v>
      </c>
      <c r="V23" s="14">
        <v>0.05</v>
      </c>
      <c r="W23" s="14">
        <v>0.01</v>
      </c>
      <c r="X23" s="15" t="s">
        <v>213</v>
      </c>
      <c r="Y23" s="14">
        <v>0.06</v>
      </c>
      <c r="Z23" s="14">
        <v>0.02</v>
      </c>
      <c r="AA23" s="14">
        <v>0.08</v>
      </c>
      <c r="AB23" s="14">
        <v>0.06</v>
      </c>
      <c r="AC23" s="14">
        <v>0.11</v>
      </c>
      <c r="AD23" s="14">
        <v>0.01</v>
      </c>
      <c r="AE23" s="14">
        <v>0.02</v>
      </c>
      <c r="AF23" s="15" t="s">
        <v>213</v>
      </c>
    </row>
    <row r="24" spans="1:32" x14ac:dyDescent="0.25">
      <c r="A24" s="19"/>
      <c r="B24" s="11" t="s">
        <v>224</v>
      </c>
      <c r="C24" s="12">
        <v>1499</v>
      </c>
      <c r="D24" s="12">
        <v>14</v>
      </c>
      <c r="E24" s="12">
        <v>107</v>
      </c>
      <c r="F24" s="12">
        <v>6</v>
      </c>
      <c r="G24" s="12">
        <v>15</v>
      </c>
      <c r="H24" s="12">
        <v>28</v>
      </c>
      <c r="I24" s="12">
        <v>30</v>
      </c>
      <c r="J24" s="12">
        <v>2</v>
      </c>
      <c r="K24" s="12">
        <v>127</v>
      </c>
      <c r="L24" s="12">
        <v>71</v>
      </c>
      <c r="M24" s="12">
        <v>132</v>
      </c>
      <c r="N24" s="12">
        <v>69</v>
      </c>
      <c r="O24" s="12">
        <v>134</v>
      </c>
      <c r="P24" s="12">
        <v>21</v>
      </c>
      <c r="Q24" s="12">
        <v>43</v>
      </c>
      <c r="R24" s="12">
        <v>78</v>
      </c>
      <c r="S24" s="12">
        <v>230</v>
      </c>
      <c r="T24" s="12">
        <v>241</v>
      </c>
      <c r="U24" s="12">
        <v>33</v>
      </c>
      <c r="V24" s="12">
        <v>9</v>
      </c>
      <c r="W24" s="12">
        <v>108</v>
      </c>
      <c r="X24" s="12">
        <v>6</v>
      </c>
      <c r="Y24" s="12">
        <v>31</v>
      </c>
      <c r="Z24" s="12">
        <v>19</v>
      </c>
      <c r="AA24" s="12">
        <v>93</v>
      </c>
      <c r="AB24" s="12">
        <v>87</v>
      </c>
      <c r="AC24" s="12">
        <v>108</v>
      </c>
      <c r="AD24" s="12">
        <v>47</v>
      </c>
      <c r="AE24" s="12">
        <v>40</v>
      </c>
      <c r="AF24" s="12">
        <v>22</v>
      </c>
    </row>
    <row r="25" spans="1:32" x14ac:dyDescent="0.25">
      <c r="A25" s="19"/>
      <c r="B25" s="13" t="s">
        <v>237</v>
      </c>
      <c r="C25" s="14">
        <v>0.06</v>
      </c>
      <c r="D25" s="14">
        <v>0.01</v>
      </c>
      <c r="E25" s="14">
        <v>0.1</v>
      </c>
      <c r="F25" s="15" t="s">
        <v>213</v>
      </c>
      <c r="G25" s="14">
        <v>0.01</v>
      </c>
      <c r="H25" s="14">
        <v>0.02</v>
      </c>
      <c r="I25" s="14">
        <v>0.02</v>
      </c>
      <c r="J25" s="14">
        <v>0.01</v>
      </c>
      <c r="K25" s="14">
        <v>0.13</v>
      </c>
      <c r="L25" s="14">
        <v>7.0000000000000007E-2</v>
      </c>
      <c r="M25" s="14">
        <v>0.13</v>
      </c>
      <c r="N25" s="14">
        <v>7.0000000000000007E-2</v>
      </c>
      <c r="O25" s="14">
        <v>0.13</v>
      </c>
      <c r="P25" s="14">
        <v>0.02</v>
      </c>
      <c r="Q25" s="14">
        <v>0.04</v>
      </c>
      <c r="R25" s="14">
        <v>0.16</v>
      </c>
      <c r="S25" s="14">
        <v>0.23</v>
      </c>
      <c r="T25" s="14">
        <v>0.24</v>
      </c>
      <c r="U25" s="14">
        <v>7.0000000000000007E-2</v>
      </c>
      <c r="V25" s="14">
        <v>0.01</v>
      </c>
      <c r="W25" s="14">
        <v>0.21</v>
      </c>
      <c r="X25" s="14">
        <v>0.01</v>
      </c>
      <c r="Y25" s="14">
        <v>0.03</v>
      </c>
      <c r="Z25" s="14">
        <v>0.02</v>
      </c>
      <c r="AA25" s="14">
        <v>0.09</v>
      </c>
      <c r="AB25" s="14">
        <v>0.08</v>
      </c>
      <c r="AC25" s="14">
        <v>0.11</v>
      </c>
      <c r="AD25" s="14">
        <v>0.05</v>
      </c>
      <c r="AE25" s="14">
        <v>0.04</v>
      </c>
      <c r="AF25" s="14">
        <v>0.02</v>
      </c>
    </row>
    <row r="26" spans="1:32" x14ac:dyDescent="0.25">
      <c r="A26" s="19"/>
      <c r="B26" s="11" t="s">
        <v>568</v>
      </c>
      <c r="C26" s="12">
        <v>5.4</v>
      </c>
      <c r="D26" s="12">
        <v>5.52</v>
      </c>
      <c r="E26" s="12">
        <v>6.01</v>
      </c>
      <c r="F26" s="12">
        <v>5.63</v>
      </c>
      <c r="G26" s="12">
        <v>5.19</v>
      </c>
      <c r="H26" s="12">
        <v>5.1100000000000003</v>
      </c>
      <c r="I26" s="12">
        <v>5.1100000000000003</v>
      </c>
      <c r="J26" s="12">
        <v>5.0999999999999996</v>
      </c>
      <c r="K26" s="12">
        <v>5.53</v>
      </c>
      <c r="L26" s="12">
        <v>5.12</v>
      </c>
      <c r="M26" s="12">
        <v>5.28</v>
      </c>
      <c r="N26" s="12">
        <v>4.9800000000000004</v>
      </c>
      <c r="O26" s="12">
        <v>5.42</v>
      </c>
      <c r="P26" s="12">
        <v>6</v>
      </c>
      <c r="Q26" s="12">
        <v>5.59</v>
      </c>
      <c r="R26" s="12">
        <v>5.6</v>
      </c>
      <c r="S26" s="12">
        <v>5.93</v>
      </c>
      <c r="T26" s="12">
        <v>5.45</v>
      </c>
      <c r="U26" s="12">
        <v>5.27</v>
      </c>
      <c r="V26" s="12">
        <v>5.83</v>
      </c>
      <c r="W26" s="12">
        <v>5.76</v>
      </c>
      <c r="X26" s="12">
        <v>5.0599999999999996</v>
      </c>
      <c r="Y26" s="12">
        <v>5.51</v>
      </c>
      <c r="Z26" s="12">
        <v>6</v>
      </c>
      <c r="AA26" s="12">
        <v>5.63</v>
      </c>
      <c r="AB26" s="12">
        <v>5.79</v>
      </c>
      <c r="AC26" s="12">
        <v>5.42</v>
      </c>
      <c r="AD26" s="12">
        <v>5.64</v>
      </c>
      <c r="AE26" s="12">
        <v>5.6</v>
      </c>
      <c r="AF26" s="12">
        <v>4.84</v>
      </c>
    </row>
    <row r="27" spans="1:32" x14ac:dyDescent="0.25">
      <c r="A27" s="19"/>
      <c r="B27" s="13" t="s">
        <v>569</v>
      </c>
      <c r="C27" s="15" t="s">
        <v>213</v>
      </c>
      <c r="D27" s="15" t="s">
        <v>213</v>
      </c>
      <c r="E27" s="15" t="s">
        <v>213</v>
      </c>
      <c r="F27" s="15" t="s">
        <v>213</v>
      </c>
      <c r="G27" s="15" t="s">
        <v>213</v>
      </c>
      <c r="H27" s="15" t="s">
        <v>213</v>
      </c>
      <c r="I27" s="15" t="s">
        <v>213</v>
      </c>
      <c r="J27" s="15" t="s">
        <v>213</v>
      </c>
      <c r="K27" s="15" t="s">
        <v>213</v>
      </c>
      <c r="L27" s="15" t="s">
        <v>213</v>
      </c>
      <c r="M27" s="15" t="s">
        <v>213</v>
      </c>
      <c r="N27" s="15" t="s">
        <v>213</v>
      </c>
      <c r="O27" s="15" t="s">
        <v>213</v>
      </c>
      <c r="P27" s="15" t="s">
        <v>213</v>
      </c>
      <c r="Q27" s="15" t="s">
        <v>213</v>
      </c>
      <c r="R27" s="15" t="s">
        <v>213</v>
      </c>
      <c r="S27" s="15" t="s">
        <v>213</v>
      </c>
      <c r="T27" s="15" t="s">
        <v>213</v>
      </c>
      <c r="U27" s="15" t="s">
        <v>213</v>
      </c>
      <c r="V27" s="15" t="s">
        <v>213</v>
      </c>
      <c r="W27" s="15" t="s">
        <v>213</v>
      </c>
      <c r="X27" s="15" t="s">
        <v>213</v>
      </c>
      <c r="Y27" s="15" t="s">
        <v>213</v>
      </c>
      <c r="Z27" s="15" t="s">
        <v>213</v>
      </c>
      <c r="AA27" s="15" t="s">
        <v>213</v>
      </c>
      <c r="AB27" s="15" t="s">
        <v>213</v>
      </c>
      <c r="AC27" s="15" t="s">
        <v>213</v>
      </c>
      <c r="AD27" s="15" t="s">
        <v>213</v>
      </c>
      <c r="AE27" s="15" t="s">
        <v>213</v>
      </c>
      <c r="AF27" s="15" t="s">
        <v>213</v>
      </c>
    </row>
  </sheetData>
  <mergeCells count="9">
    <mergeCell ref="H3:L3"/>
    <mergeCell ref="C8:AF8"/>
    <mergeCell ref="B3:F3"/>
    <mergeCell ref="B5:F5"/>
    <mergeCell ref="A10:A27"/>
    <mergeCell ref="B10:B11"/>
    <mergeCell ref="H4:L4"/>
    <mergeCell ref="B4:F4"/>
    <mergeCell ref="H5:L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03f1b-f167-4bdd-950c-c078a55f9e00">
      <Terms xmlns="http://schemas.microsoft.com/office/infopath/2007/PartnerControls"/>
    </lcf76f155ced4ddcb4097134ff3c332f>
    <TaxCatchAll xmlns="77026baa-052c-4d5b-952c-980b3d83ea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26863410B8D43B2C7871CF0B33B1D" ma:contentTypeVersion="10" ma:contentTypeDescription="Create a new document." ma:contentTypeScope="" ma:versionID="01003105abed04137fe39ed2aa7d2632">
  <xsd:schema xmlns:xsd="http://www.w3.org/2001/XMLSchema" xmlns:xs="http://www.w3.org/2001/XMLSchema" xmlns:p="http://schemas.microsoft.com/office/2006/metadata/properties" xmlns:ns2="6d103f1b-f167-4bdd-950c-c078a55f9e00" xmlns:ns3="77026baa-052c-4d5b-952c-980b3d83eaeb" targetNamespace="http://schemas.microsoft.com/office/2006/metadata/properties" ma:root="true" ma:fieldsID="cab5d917c589872f72bcc25f490c2bde" ns2:_="" ns3:_="">
    <xsd:import namespace="6d103f1b-f167-4bdd-950c-c078a55f9e00"/>
    <xsd:import namespace="77026baa-052c-4d5b-952c-980b3d83e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03f1b-f167-4bdd-950c-c078a55f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f03ee4-0c36-4230-a835-ae45e77fcb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6baa-052c-4d5b-952c-980b3d83ea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263623-9061-41a8-82d3-1c902315b0d4}" ma:internalName="TaxCatchAll" ma:showField="CatchAllData" ma:web="77026baa-052c-4d5b-952c-980b3d83e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F70FE-101B-45E1-A4E7-62B558F64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F7F480-5748-435A-A04B-7A08DA74BE75}">
  <ds:schemaRefs>
    <ds:schemaRef ds:uri="http://purl.org/dc/dcmitype/"/>
    <ds:schemaRef ds:uri="637aacdb-c387-4ea0-89e8-ea3f50f4bc69"/>
    <ds:schemaRef ds:uri="4ed66ea5-57f6-4ab0-b6fd-42c455cfd624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1205cbf-0c9f-43ab-933a-e4a5a41668e1"/>
    <ds:schemaRef ds:uri="7e6d735e-8e15-4fea-907e-58913c344cbe"/>
    <ds:schemaRef ds:uri="http://schemas.microsoft.com/office/2006/metadata/properties"/>
    <ds:schemaRef ds:uri="http://purl.org/dc/terms/"/>
    <ds:schemaRef ds:uri="6d103f1b-f167-4bdd-950c-c078a55f9e00"/>
    <ds:schemaRef ds:uri="77026baa-052c-4d5b-952c-980b3d83eaeb"/>
  </ds:schemaRefs>
</ds:datastoreItem>
</file>

<file path=customXml/itemProps3.xml><?xml version="1.0" encoding="utf-8"?>
<ds:datastoreItem xmlns:ds="http://schemas.openxmlformats.org/officeDocument/2006/customXml" ds:itemID="{BCF7D598-631B-4B62-AE0C-C070CCFB85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03f1b-f167-4bdd-950c-c078a55f9e00"/>
    <ds:schemaRef ds:uri="77026baa-052c-4d5b-952c-980b3d83e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Content</vt:lpstr>
      <vt:lpstr>B</vt:lpstr>
      <vt:lpstr>QA1</vt:lpstr>
      <vt:lpstr>QA2</vt:lpstr>
      <vt:lpstr>D78</vt:lpstr>
      <vt:lpstr>QA3</vt:lpstr>
      <vt:lpstr>QA4a</vt:lpstr>
      <vt:lpstr>QA4b</vt:lpstr>
      <vt:lpstr>QA4ab</vt:lpstr>
      <vt:lpstr>QA5a</vt:lpstr>
      <vt:lpstr>QA5b</vt:lpstr>
      <vt:lpstr>QA5ab</vt:lpstr>
      <vt:lpstr>QA6</vt:lpstr>
      <vt:lpstr>QA7_1</vt:lpstr>
      <vt:lpstr>QA7_2</vt:lpstr>
      <vt:lpstr>QA7_3</vt:lpstr>
      <vt:lpstr>QA8a</vt:lpstr>
      <vt:lpstr>QA8b</vt:lpstr>
      <vt:lpstr>QA8ab</vt:lpstr>
      <vt:lpstr>QA9_1</vt:lpstr>
      <vt:lpstr>QA9_2</vt:lpstr>
      <vt:lpstr>QA9_3</vt:lpstr>
      <vt:lpstr>QA9_4</vt:lpstr>
      <vt:lpstr>QA10</vt:lpstr>
      <vt:lpstr>QA11_1</vt:lpstr>
      <vt:lpstr>QA11_2</vt:lpstr>
      <vt:lpstr>QA11_3</vt:lpstr>
      <vt:lpstr>QA11_4</vt:lpstr>
      <vt:lpstr>QA11_5</vt:lpstr>
      <vt:lpstr>QA11_6</vt:lpstr>
      <vt:lpstr>QA11_7</vt:lpstr>
      <vt:lpstr>QA11_8</vt:lpstr>
      <vt:lpstr>QA11_9</vt:lpstr>
      <vt:lpstr>QA12_1</vt:lpstr>
      <vt:lpstr>QA12_2</vt:lpstr>
      <vt:lpstr>QA12_3</vt:lpstr>
      <vt:lpstr>QA12_4</vt:lpstr>
      <vt:lpstr>QA12_5</vt:lpstr>
      <vt:lpstr>QA12_6</vt:lpstr>
      <vt:lpstr>QA12_7</vt:lpstr>
      <vt:lpstr>QA12_8</vt:lpstr>
      <vt:lpstr>QA12_9</vt:lpstr>
      <vt:lpstr>SD27</vt:lpstr>
      <vt:lpstr>SOC</vt:lpstr>
      <vt:lpstr>QDSD1</vt:lpstr>
      <vt:lpstr>QDSD1R</vt:lpstr>
      <vt:lpstr>D11</vt:lpstr>
      <vt:lpstr>D11R</vt:lpstr>
      <vt:lpstr>D11bis</vt:lpstr>
      <vt:lpstr>D11G</vt:lpstr>
      <vt:lpstr>D8</vt:lpstr>
      <vt:lpstr>D8c</vt:lpstr>
      <vt:lpstr>D8cR2</vt:lpstr>
      <vt:lpstr>D10</vt:lpstr>
      <vt:lpstr>D15a</vt:lpstr>
      <vt:lpstr>D15a2</vt:lpstr>
      <vt:lpstr>C14</vt:lpstr>
      <vt:lpstr>D15b</vt:lpstr>
      <vt:lpstr>D15b2</vt:lpstr>
      <vt:lpstr>D25</vt:lpstr>
      <vt:lpstr>D60</vt:lpstr>
      <vt:lpstr>D70</vt:lpstr>
      <vt:lpstr>D70a</vt:lpstr>
      <vt:lpstr>D62_1</vt:lpstr>
      <vt:lpstr>D62_2</vt:lpstr>
      <vt:lpstr>D62_3</vt:lpstr>
      <vt:lpstr>D62_4</vt:lpstr>
      <vt:lpstr>D62R</vt:lpstr>
      <vt:lpstr>D63</vt:lpstr>
      <vt:lpstr>D73_1</vt:lpstr>
      <vt:lpstr>D73_2</vt:lpstr>
      <vt:lpstr>D73_3</vt:lpstr>
      <vt:lpstr>D73_4</vt:lpstr>
      <vt:lpstr>D71_1</vt:lpstr>
      <vt:lpstr>D71_2</vt:lpstr>
      <vt:lpstr>D71_3</vt:lpstr>
      <vt:lpstr>C2</vt:lpstr>
      <vt:lpstr>SD18a</vt:lpstr>
      <vt:lpstr>SD18b</vt:lpstr>
      <vt:lpstr>SD19a_1</vt:lpstr>
      <vt:lpstr>SD19a_2</vt:lpstr>
      <vt:lpstr>SD19a_3</vt:lpstr>
      <vt:lpstr>D1</vt:lpstr>
      <vt:lpstr>D1R1</vt:lpstr>
      <vt:lpstr>D1R2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TSOULOU MALAKOUDI Dimitra</cp:lastModifiedBy>
  <cp:revision/>
  <dcterms:created xsi:type="dcterms:W3CDTF">2025-12-18T17:19:15Z</dcterms:created>
  <dcterms:modified xsi:type="dcterms:W3CDTF">2026-01-27T12:52:14Z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1664200</vt:r8>
  </property>
  <property fmtid="{D5CDD505-2E9C-101B-9397-08002B2CF9AE}" pid="3" name="ContentTypeId">
    <vt:lpwstr>0x01010091926863410B8D43B2C7871CF0B33B1D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